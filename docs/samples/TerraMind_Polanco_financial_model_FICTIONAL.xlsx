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tonio\OneDrive\Desktop\Yale\Courses\Fall 2026\AI Foundations for Managers\Final Project\terramind-ai\docs\samples\"/>
    </mc:Choice>
  </mc:AlternateContent>
  <xr:revisionPtr revIDLastSave="0" documentId="8_{8C08ACDA-BDBF-4F06-8CD2-1FC8AD79935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ver" sheetId="1" r:id="rId1"/>
    <sheet name="Outputs" sheetId="2" r:id="rId2"/>
    <sheet name="Assumptions" sheetId="3" r:id="rId3"/>
    <sheet name="Development" sheetId="4" r:id="rId4"/>
    <sheet name="Construction" sheetId="5" r:id="rId5"/>
    <sheet name="Sales" sheetId="6" r:id="rId6"/>
    <sheet name="Rental" sheetId="7" state="hidden" r:id="rId7"/>
    <sheet name="Cash Flow" sheetId="8" r:id="rId8"/>
    <sheet name="Waterfall" sheetId="9" r:id="rId9"/>
    <sheet name="Budget" sheetId="10" r:id="rId10"/>
    <sheet name="Sensitivity" sheetId="11" r:id="rId11"/>
  </sheets>
  <definedNames>
    <definedName name="anchor_months">Assumptions!$B$135:$B$138</definedName>
    <definedName name="anchor_names">Assumptions!$A$135:$A$138</definedName>
    <definedName name="C_Contingency">Construction!$B$14</definedName>
    <definedName name="C_CVSpread">Construction!$B$16</definedName>
    <definedName name="C_DevFee">Construction!$B$15</definedName>
    <definedName name="C_FixedSite">Construction!$B$11</definedName>
    <definedName name="C_HardAbove">Construction!$B$9</definedName>
    <definedName name="C_HardBase">Construction!$B$12</definedName>
    <definedName name="C_HardBelow">Construction!$B$10</definedName>
    <definedName name="C_Soft">Construction!$B$13</definedName>
    <definedName name="cf_amount">Assumptions!$C$173:$C$182</definedName>
    <definedName name="cf_month">Assumptions!$F$173:$F$182</definedName>
    <definedName name="cf_type">Assumptions!$B$173:$B$182</definedName>
    <definedName name="cv_effect">Assumptions!$B$186:$B$197</definedName>
    <definedName name="cv_end">Assumptions!$I$186:$I$197</definedName>
    <definedName name="CV_PriceMult">Development!$B$25</definedName>
    <definedName name="cv_start">Assumptions!$H$186:$H$197</definedName>
    <definedName name="cv_timing">Assumptions!$D$186:$D$197</definedName>
    <definedName name="cv_value">Assumptions!$C$186:$C$197</definedName>
    <definedName name="D_AvgPrice">Development!$B$26</definedName>
    <definedName name="D_Below">Development!$B$29</definedName>
    <definedName name="D_Capacity">Development!$B$7</definedName>
    <definedName name="D_Footprint">Development!$B$8</definedName>
    <definedName name="D_GBA">Development!$B$9</definedName>
    <definedName name="D_Land">Development!$B$4</definedName>
    <definedName name="D_MaxCov">Development!$B$5</definedName>
    <definedName name="D_MaxFAR">Development!$B$6</definedName>
    <definedName name="D_MaxUnits">Development!$B$31</definedName>
    <definedName name="D_Parking">Development!$B$28</definedName>
    <definedName name="D_PriceRange">Development!$D$14:$D$21</definedName>
    <definedName name="D_Saleable">Development!$B$10</definedName>
    <definedName name="D_SoldArea">Development!$C$22</definedName>
    <definedName name="D_Units">Development!$B$22</definedName>
    <definedName name="D_UnitsRange">Development!$B$14:$B$21</definedName>
    <definedName name="F_AmortPrincipal">'Cash Flow'!$B$13</definedName>
    <definedName name="F_EquityCap">'Cash Flow'!$B$12</definedName>
    <definedName name="F_MezzCommit">'Cash Flow'!$B$11</definedName>
    <definedName name="F_SeniorCommit">'Cash Flow'!$B$10</definedName>
    <definedName name="F_SeniorRate">'Cash Flow'!$B$9</definedName>
    <definedName name="FinCost">'Cash Flow'!$B$7</definedName>
    <definedName name="FinCostSizing">'Cash Flow'!$B$14</definedName>
    <definedName name="in_circ_switch">Assumptions!$B$10</definedName>
    <definedName name="in_cost_below_grade_per_area">Assumptions!$B$65</definedName>
    <definedName name="in_cost_contingency_pct">Assumptions!$B$73</definedName>
    <definedName name="in_cost_curve">Assumptions!$B$74</definedName>
    <definedName name="in_cost_demolition">Assumptions!$B$66</definedName>
    <definedName name="in_cost_design_pct">Assumptions!$B$69</definedName>
    <definedName name="in_cost_developer_fee_pct">Assumptions!$B$76</definedName>
    <definedName name="in_cost_escalation_pct">Assumptions!$B$75</definedName>
    <definedName name="in_cost_hard_per_area">Assumptions!$B$64</definedName>
    <definedName name="in_cost_infrastructure_fees">Assumptions!$B$67</definedName>
    <definedName name="in_cost_insurance_other_pct">Assumptions!$B$72</definedName>
    <definedName name="in_cost_permits_pct">Assumptions!$B$70</definedName>
    <definedName name="in_cost_pm_supervision_pct">Assumptions!$B$71</definedName>
    <definedName name="in_cost_renovation_budget">Assumptions!$B$68</definedName>
    <definedName name="in_dev_amenity_area">Assumptions!$B$36</definedName>
    <definedName name="in_dev_buildings">Assumptions!$B$29</definedName>
    <definedName name="in_dev_efficiency_pct">Assumptions!$B$33</definedName>
    <definedName name="in_dev_existing_rentable_area">Assumptions!$B$38</definedName>
    <definedName name="in_dev_footprint">Assumptions!$B$32</definedName>
    <definedName name="in_dev_levels_below">Assumptions!$B$31</definedName>
    <definedName name="in_dev_parking_area_per_space">Assumptions!$B$35</definedName>
    <definedName name="in_dev_parking_spaces">Assumptions!$B$34</definedName>
    <definedName name="in_dev_quality">Assumptions!$B$37</definedName>
    <definedName name="in_dev_stories">Assumptions!$B$30</definedName>
    <definedName name="in_fin_amortization_years">Assumptions!$B$91</definedName>
    <definedName name="in_fin_commitment_fee_pct">Assumptions!$B$87</definedName>
    <definedName name="in_fin_interest_capitalized">Assumptions!$B$88</definedName>
    <definedName name="in_fin_max_ltc_covenant_pct">Assumptions!$B$97</definedName>
    <definedName name="in_fin_max_ltv_covenant_pct">Assumptions!$B$98</definedName>
    <definedName name="in_fin_mezz_ltc_pct">Assumptions!$B$92</definedName>
    <definedName name="in_fin_mezz_rate_pct">Assumptions!$B$93</definedName>
    <definedName name="in_fin_min_dscr">Assumptions!$B$100</definedName>
    <definedName name="in_fin_min_presales_pct">Assumptions!$B$99</definedName>
    <definedName name="in_fin_origination_fee_pct">Assumptions!$B$86</definedName>
    <definedName name="in_fin_pref_return_pct">Assumptions!$B$95</definedName>
    <definedName name="in_fin_promote_pct">Assumptions!$B$96</definedName>
    <definedName name="in_fin_reference_rate_pct">Assumptions!$B$83</definedName>
    <definedName name="in_fin_senior_fixed_rate_pct">Assumptions!$B$85</definedName>
    <definedName name="in_fin_senior_ltc_pct">Assumptions!$B$81</definedName>
    <definedName name="in_fin_senior_rate_type">Assumptions!$B$82</definedName>
    <definedName name="in_fin_senior_spread_pct">Assumptions!$B$84</definedName>
    <definedName name="in_fin_senior_term_months">Assumptions!$B$89</definedName>
    <definedName name="in_fin_sponsor_equity_share_pct">Assumptions!$B$94</definedName>
    <definedName name="in_fin_sweep_pct">Assumptions!$B$90</definedName>
    <definedName name="in_green_capex">Assumptions!$B$105</definedName>
    <definedName name="in_green_rent_prem">Assumptions!$B$107</definedName>
    <definedName name="in_green_sale_prem">Assumptions!$B$106</definedName>
    <definedName name="in_green_savings">Assumptions!$B$108</definedName>
    <definedName name="in_ground_up">Assumptions!$B$9</definedName>
    <definedName name="in_mode_sale">Assumptions!$B$8</definedName>
    <definedName name="in_reg_max_far">Assumptions!$B$21</definedName>
    <definedName name="in_reg_max_height_m">Assumptions!$B$22</definedName>
    <definedName name="in_reg_max_stories">Assumptions!$B$19</definedName>
    <definedName name="in_reg_max_underground_levels">Assumptions!$B$25</definedName>
    <definedName name="in_reg_max_units">Assumptions!$B$24</definedName>
    <definedName name="in_reg_min_land_per_unit">Assumptions!$B$23</definedName>
    <definedName name="in_reg_min_open_area_pct">Assumptions!$B$20</definedName>
    <definedName name="in_reg_parking_max_per_unit">Assumptions!$B$27</definedName>
    <definedName name="in_reg_parking_min_per_unit">Assumptions!$B$26</definedName>
    <definedName name="in_rent_concessions_pct">Assumptions!$B$56</definedName>
    <definedName name="in_rent_exit_cap_pct">Assumptions!$B$60</definedName>
    <definedName name="in_rent_growth_pct">Assumptions!$B$58</definedName>
    <definedName name="in_rent_hold_years">Assumptions!$B$62</definedName>
    <definedName name="in_rent_lease_up_months">Assumptions!$B$59</definedName>
    <definedName name="in_rent_opex_pct_egi">Assumptions!$B$57</definedName>
    <definedName name="in_rent_rent_per_area_month">Assumptions!$B$54</definedName>
    <definedName name="in_rent_selling_costs_pct">Assumptions!$B$61</definedName>
    <definedName name="in_rent_vacancy_pct">Assumptions!$B$55</definedName>
    <definedName name="in_rev_absorption_per_month">Assumptions!$B$45</definedName>
    <definedName name="in_rev_cancellation_pct">Assumptions!$B$46</definedName>
    <definedName name="in_rev_closing_pct">Assumptions!$B$50</definedName>
    <definedName name="in_rev_commission_pct">Assumptions!$B$51</definedName>
    <definedName name="in_rev_deposit_pct">Assumptions!$B$48</definedName>
    <definedName name="in_rev_discount_pct">Assumptions!$B$43</definedName>
    <definedName name="in_rev_escalation_pct">Assumptions!$B$44</definedName>
    <definedName name="in_rev_floor_view_premium_pct">Assumptions!$B$41</definedName>
    <definedName name="in_rev_installments_pct">Assumptions!$B$49</definedName>
    <definedName name="in_rev_marketing_pct">Assumptions!$B$52</definedName>
    <definedName name="in_rev_price_per_area">Assumptions!$B$40</definedName>
    <definedName name="in_rev_sales_start_offset">Assumptions!$B$47</definedName>
    <definedName name="in_rev_terrace_value_pct">Assumptions!$B$42</definedName>
    <definedName name="in_sch_construction_months">Assumptions!$B$79</definedName>
    <definedName name="in_sch_predev_months">Assumptions!$B$78</definedName>
    <definedName name="in_site_brokerage_pct">Assumptions!$B$16</definedName>
    <definedName name="in_site_due_diligence">Assumptions!$B$17</definedName>
    <definedName name="in_site_land_area">Assumptions!$B$12</definedName>
    <definedName name="in_site_land_price">Assumptions!$B$13</definedName>
    <definedName name="in_site_legal_notary_pct">Assumptions!$B$15</definedName>
    <definedName name="in_site_transfer_tax_pct">Assumptions!$B$14</definedName>
    <definedName name="in_val_discount_rate_pct">Assumptions!$B$102</definedName>
    <definedName name="in_val_equity_discount_rate_pct">Assumptions!$B$103</definedName>
    <definedName name="lp_month">Assumptions!$A$162:$A$169</definedName>
    <definedName name="lp_pct">Assumptions!$B$162:$B$169</definedName>
    <definedName name="M_acq">Construction!$D$25:$CU$25</definedName>
    <definedName name="M_cflow">Construction!$D$31:$CU$31</definedName>
    <definedName name="M_ConCost">Construction!$D$32:$CU$32</definedName>
    <definedName name="M_cont">Construction!$D$28:$CU$28</definedName>
    <definedName name="M_Contract">Sales!$D$17:$CU$17</definedName>
    <definedName name="M_Contrib">'Cash Flow'!$D$60:$CU$60</definedName>
    <definedName name="M_CumSold">Sales!$D$15:$CU$15</definedName>
    <definedName name="M_CumUnlev">'Cash Flow'!$D$27:$CU$27</definedName>
    <definedName name="M_cv">Construction!$D$30:$CU$30</definedName>
    <definedName name="M_Dist">'Cash Flow'!$D$61:$CU$61</definedName>
    <definedName name="M_fee">Construction!$D$29:$CU$29</definedName>
    <definedName name="M_hard">Construction!$D$26:$CU$26</definedName>
    <definedName name="M_Inflow">'Cash Flow'!$D$25:$CU$25</definedName>
    <definedName name="M_Investor">Waterfall!$D$20:$CU$20</definedName>
    <definedName name="M_land">Construction!$D$24:$CU$24</definedName>
    <definedName name="M_Lev">'Cash Flow'!$D$62:$CU$62</definedName>
    <definedName name="M_Mezz">'Cash Flow'!$D$57:$CU$57</definedName>
    <definedName name="M_NetEquity">'Cash Flow'!$D$63:$CU$63</definedName>
    <definedName name="M_NOI">Rental!$D$18:$CU$18</definedName>
    <definedName name="M_Outflow">'Cash Flow'!$D$22:$CU$22</definedName>
    <definedName name="M_RentCash">Rental!$D$20:$CU$20</definedName>
    <definedName name="M_SalesCash">Sales!$D$25:$CU$25</definedName>
    <definedName name="M_SalesCost">Sales!$D$30:$CU$30</definedName>
    <definedName name="M_Senior">'Cash Flow'!$D$56:$CU$56</definedName>
    <definedName name="M_soft">Construction!$D$27:$CU$27</definedName>
    <definedName name="M_Sold">Sales!$D$13:$CU$13</definedName>
    <definedName name="M_Sponsor">Waterfall!$D$21:$CU$21</definedName>
    <definedName name="M_UnitsIncome">Sales!$D$24:$CU$24</definedName>
    <definedName name="M_Unlev">'Cash Flow'!$D$26:$CU$26</definedName>
    <definedName name="mix_name">Assumptions!$A$112:$A$119</definedName>
    <definedName name="mix_prem">Assumptions!$E$112:$E$119</definedName>
    <definedName name="mix_share">Assumptions!$C$112:$C$119</definedName>
    <definedName name="mix_size">Assumptions!$B$112:$B$119</definedName>
    <definedName name="mix_terrace">Assumptions!$D$112:$D$119</definedName>
    <definedName name="P_Eff">Development!$B$24</definedName>
    <definedName name="pp_end">Assumptions!$G$153:$G$158</definedName>
    <definedName name="pp_pct">Assumptions!$E$153:$E$158</definedName>
    <definedName name="pp_start">Assumptions!$F$153:$F$158</definedName>
    <definedName name="R_Exit">Rental!$B$6</definedName>
    <definedName name="R_ExitValue">Rental!$B$10</definedName>
    <definedName name="R_FwdNOI">Rental!$B$9</definedName>
    <definedName name="R_q">Rental!$B$8</definedName>
    <definedName name="R_Rent">Rental!$B$7</definedName>
    <definedName name="R_StabNOI">Rental!$B$11</definedName>
    <definedName name="R_Start">Rental!$B$5</definedName>
    <definedName name="S_GDV">Sales!$B$9</definedName>
    <definedName name="S_Units">Sales!$B$7</definedName>
    <definedName name="Sales_BaseStart">Sales!$B$5</definedName>
    <definedName name="Sales_Last">Sales!$B$8</definedName>
    <definedName name="Sales_Start">Sales!$B$6</definedName>
    <definedName name="sp_end">Assumptions!$G$142:$G$149</definedName>
    <definedName name="sp_rate">Assumptions!$E$142:$E$149</definedName>
    <definedName name="sp_start">Assumptions!$F$142:$F$149</definedName>
    <definedName name="T_Con">Construction!$B$6</definedName>
    <definedName name="T_ConStart">Construction!$B$7</definedName>
    <definedName name="T_Delivery">Construction!$B$8</definedName>
    <definedName name="T_End">'Cash Flow'!$B$5</definedName>
    <definedName name="T_Predev">Construction!$B$5</definedName>
    <definedName name="TDC">'Cash Flow'!$B$6</definedName>
    <definedName name="TotalCost">'Cash Flow'!$B$8</definedName>
    <definedName name="W_promote">Waterfall!$B$7</definedName>
    <definedName name="W_rp">Waterfall!$B$6</definedName>
    <definedName name="W_s">Waterfall!$B$5</definedName>
  </definedNames>
  <calcPr calcId="191029" iterate="1" iterateCount="200" iterateDelta="0.0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2" i="10" l="1"/>
  <c r="A31" i="10"/>
  <c r="A30" i="10"/>
  <c r="A29" i="10"/>
  <c r="A28" i="10"/>
  <c r="A27" i="10"/>
  <c r="A26" i="10"/>
  <c r="A25" i="10"/>
  <c r="A24" i="10"/>
  <c r="A23" i="10"/>
  <c r="D13" i="9"/>
  <c r="D12" i="9"/>
  <c r="B7" i="9"/>
  <c r="B6" i="9"/>
  <c r="B5" i="9"/>
  <c r="E4" i="9"/>
  <c r="F4" i="9" s="1"/>
  <c r="G4" i="9" s="1"/>
  <c r="H4" i="9" s="1"/>
  <c r="I4" i="9" s="1"/>
  <c r="J4" i="9" s="1"/>
  <c r="K4" i="9" s="1"/>
  <c r="L4" i="9" s="1"/>
  <c r="M4" i="9" s="1"/>
  <c r="N4" i="9" s="1"/>
  <c r="O4" i="9" s="1"/>
  <c r="P4" i="9" s="1"/>
  <c r="Q4" i="9" s="1"/>
  <c r="R4" i="9" s="1"/>
  <c r="S4" i="9" s="1"/>
  <c r="T4" i="9" s="1"/>
  <c r="U4" i="9" s="1"/>
  <c r="V4" i="9" s="1"/>
  <c r="W4" i="9" s="1"/>
  <c r="X4" i="9" s="1"/>
  <c r="Y4" i="9" s="1"/>
  <c r="Z4" i="9" s="1"/>
  <c r="AA4" i="9" s="1"/>
  <c r="AB4" i="9" s="1"/>
  <c r="AC4" i="9" s="1"/>
  <c r="AD4" i="9" s="1"/>
  <c r="AE4" i="9" s="1"/>
  <c r="AF4" i="9" s="1"/>
  <c r="AG4" i="9" s="1"/>
  <c r="AH4" i="9" s="1"/>
  <c r="AI4" i="9" s="1"/>
  <c r="AJ4" i="9" s="1"/>
  <c r="AK4" i="9" s="1"/>
  <c r="AL4" i="9" s="1"/>
  <c r="AM4" i="9" s="1"/>
  <c r="AN4" i="9" s="1"/>
  <c r="AO4" i="9" s="1"/>
  <c r="AP4" i="9" s="1"/>
  <c r="AQ4" i="9" s="1"/>
  <c r="AR4" i="9" s="1"/>
  <c r="AS4" i="9" s="1"/>
  <c r="AT4" i="9" s="1"/>
  <c r="AU4" i="9" s="1"/>
  <c r="AV4" i="9" s="1"/>
  <c r="AW4" i="9" s="1"/>
  <c r="AX4" i="9" s="1"/>
  <c r="AY4" i="9" s="1"/>
  <c r="AZ4" i="9" s="1"/>
  <c r="BA4" i="9" s="1"/>
  <c r="BB4" i="9" s="1"/>
  <c r="BC4" i="9" s="1"/>
  <c r="BD4" i="9" s="1"/>
  <c r="BE4" i="9" s="1"/>
  <c r="BF4" i="9" s="1"/>
  <c r="BG4" i="9" s="1"/>
  <c r="BH4" i="9" s="1"/>
  <c r="BI4" i="9" s="1"/>
  <c r="BJ4" i="9" s="1"/>
  <c r="BK4" i="9" s="1"/>
  <c r="BL4" i="9" s="1"/>
  <c r="BM4" i="9" s="1"/>
  <c r="BN4" i="9" s="1"/>
  <c r="BO4" i="9" s="1"/>
  <c r="BP4" i="9" s="1"/>
  <c r="BQ4" i="9" s="1"/>
  <c r="BR4" i="9" s="1"/>
  <c r="BS4" i="9" s="1"/>
  <c r="BT4" i="9" s="1"/>
  <c r="BU4" i="9" s="1"/>
  <c r="BV4" i="9" s="1"/>
  <c r="BW4" i="9" s="1"/>
  <c r="BX4" i="9" s="1"/>
  <c r="BY4" i="9" s="1"/>
  <c r="BZ4" i="9" s="1"/>
  <c r="CA4" i="9" s="1"/>
  <c r="CB4" i="9" s="1"/>
  <c r="CC4" i="9" s="1"/>
  <c r="CD4" i="9" s="1"/>
  <c r="CE4" i="9" s="1"/>
  <c r="CF4" i="9" s="1"/>
  <c r="CG4" i="9" s="1"/>
  <c r="CH4" i="9" s="1"/>
  <c r="CI4" i="9" s="1"/>
  <c r="CJ4" i="9" s="1"/>
  <c r="CK4" i="9" s="1"/>
  <c r="CL4" i="9" s="1"/>
  <c r="CM4" i="9" s="1"/>
  <c r="CN4" i="9" s="1"/>
  <c r="CO4" i="9" s="1"/>
  <c r="CP4" i="9" s="1"/>
  <c r="CQ4" i="9" s="1"/>
  <c r="CR4" i="9" s="1"/>
  <c r="CS4" i="9" s="1"/>
  <c r="CT4" i="9" s="1"/>
  <c r="CU4" i="9" s="1"/>
  <c r="D39" i="8"/>
  <c r="D31" i="8"/>
  <c r="D32" i="8" s="1"/>
  <c r="D29" i="8"/>
  <c r="B9" i="8"/>
  <c r="E4" i="8"/>
  <c r="B10" i="7"/>
  <c r="B8" i="7"/>
  <c r="E4" i="7"/>
  <c r="F4" i="7" s="1"/>
  <c r="E4" i="6"/>
  <c r="F4" i="6" s="1"/>
  <c r="D25" i="5"/>
  <c r="D24" i="5"/>
  <c r="D22" i="5"/>
  <c r="B11" i="5"/>
  <c r="B6" i="5"/>
  <c r="B5" i="5"/>
  <c r="E4" i="5"/>
  <c r="E25" i="5" s="1"/>
  <c r="B37" i="4"/>
  <c r="B34" i="4"/>
  <c r="B31" i="4"/>
  <c r="B36" i="4" s="1"/>
  <c r="B28" i="4"/>
  <c r="B29" i="4" s="1"/>
  <c r="B10" i="5" s="1"/>
  <c r="B25" i="4"/>
  <c r="B7" i="7" s="1"/>
  <c r="E21" i="4"/>
  <c r="C21" i="4"/>
  <c r="B21" i="4"/>
  <c r="A21" i="4"/>
  <c r="E20" i="4"/>
  <c r="B20" i="4"/>
  <c r="C20" i="4" s="1"/>
  <c r="A20" i="4"/>
  <c r="E19" i="4"/>
  <c r="B19" i="4"/>
  <c r="C19" i="4" s="1"/>
  <c r="A19" i="4"/>
  <c r="E18" i="4"/>
  <c r="B18" i="4"/>
  <c r="C18" i="4" s="1"/>
  <c r="A18" i="4"/>
  <c r="E17" i="4"/>
  <c r="C17" i="4"/>
  <c r="B17" i="4"/>
  <c r="A17" i="4"/>
  <c r="A16" i="4"/>
  <c r="A15" i="4"/>
  <c r="A14" i="4"/>
  <c r="B6" i="4"/>
  <c r="B4" i="4"/>
  <c r="H197" i="3"/>
  <c r="I197" i="3" s="1"/>
  <c r="H196" i="3"/>
  <c r="I196" i="3" s="1"/>
  <c r="H195" i="3"/>
  <c r="I195" i="3" s="1"/>
  <c r="H194" i="3"/>
  <c r="I194" i="3" s="1"/>
  <c r="H193" i="3"/>
  <c r="I193" i="3" s="1"/>
  <c r="H192" i="3"/>
  <c r="I192" i="3" s="1"/>
  <c r="H191" i="3"/>
  <c r="I191" i="3" s="1"/>
  <c r="H190" i="3"/>
  <c r="I190" i="3" s="1"/>
  <c r="H189" i="3"/>
  <c r="I189" i="3" s="1"/>
  <c r="H188" i="3"/>
  <c r="I188" i="3" s="1"/>
  <c r="H187" i="3"/>
  <c r="I187" i="3" s="1"/>
  <c r="H186" i="3"/>
  <c r="I186" i="3" s="1"/>
  <c r="F182" i="3"/>
  <c r="F181" i="3"/>
  <c r="F180" i="3"/>
  <c r="F179" i="3"/>
  <c r="F178" i="3"/>
  <c r="F177" i="3"/>
  <c r="F176" i="3"/>
  <c r="F175" i="3"/>
  <c r="F174" i="3"/>
  <c r="F173" i="3"/>
  <c r="F158" i="3"/>
  <c r="G158" i="3" s="1"/>
  <c r="F157" i="3"/>
  <c r="G157" i="3" s="1"/>
  <c r="F156" i="3"/>
  <c r="G156" i="3" s="1"/>
  <c r="F155" i="3"/>
  <c r="G155" i="3" s="1"/>
  <c r="F154" i="3"/>
  <c r="G154" i="3" s="1"/>
  <c r="F153" i="3"/>
  <c r="F149" i="3"/>
  <c r="G149" i="3" s="1"/>
  <c r="F148" i="3"/>
  <c r="G148" i="3" s="1"/>
  <c r="F147" i="3"/>
  <c r="G147" i="3" s="1"/>
  <c r="F146" i="3"/>
  <c r="G146" i="3" s="1"/>
  <c r="F145" i="3"/>
  <c r="G145" i="3" s="1"/>
  <c r="F144" i="3"/>
  <c r="G144" i="3" s="1"/>
  <c r="F143" i="3"/>
  <c r="G143" i="3" s="1"/>
  <c r="F142" i="3"/>
  <c r="B135" i="3"/>
  <c r="C120" i="3"/>
  <c r="B30" i="4" l="1"/>
  <c r="G142" i="3"/>
  <c r="E24" i="5"/>
  <c r="D19" i="5"/>
  <c r="B5" i="4"/>
  <c r="B8" i="4" s="1"/>
  <c r="B9" i="4" s="1"/>
  <c r="B24" i="4"/>
  <c r="E19" i="5"/>
  <c r="E31" i="5"/>
  <c r="D31" i="5"/>
  <c r="F4" i="5"/>
  <c r="B7" i="5"/>
  <c r="E20" i="5" s="1"/>
  <c r="E21" i="5" s="1"/>
  <c r="E22" i="5"/>
  <c r="G153" i="3"/>
  <c r="F16" i="6" s="1"/>
  <c r="B7" i="4"/>
  <c r="B8" i="5"/>
  <c r="F22" i="6"/>
  <c r="F23" i="6"/>
  <c r="G4" i="6"/>
  <c r="E22" i="6"/>
  <c r="E23" i="6"/>
  <c r="G4" i="7"/>
  <c r="F4" i="8"/>
  <c r="D30" i="8"/>
  <c r="D14" i="9"/>
  <c r="G4" i="8" l="1"/>
  <c r="F24" i="8"/>
  <c r="E16" i="6"/>
  <c r="D16" i="6"/>
  <c r="D21" i="4"/>
  <c r="D16" i="4"/>
  <c r="E16" i="4" s="1"/>
  <c r="D18" i="4"/>
  <c r="D20" i="4"/>
  <c r="D15" i="4"/>
  <c r="E15" i="4" s="1"/>
  <c r="D17" i="4"/>
  <c r="D19" i="4"/>
  <c r="D14" i="4"/>
  <c r="E14" i="4" s="1"/>
  <c r="G23" i="6"/>
  <c r="G22" i="6"/>
  <c r="H4" i="6"/>
  <c r="B10" i="4"/>
  <c r="B9" i="5"/>
  <c r="B35" i="4"/>
  <c r="F31" i="5"/>
  <c r="F25" i="5"/>
  <c r="F22" i="5"/>
  <c r="G4" i="5"/>
  <c r="F20" i="5"/>
  <c r="F21" i="5" s="1"/>
  <c r="F19" i="5"/>
  <c r="F24" i="5"/>
  <c r="G16" i="6"/>
  <c r="B5" i="6"/>
  <c r="B6" i="6" s="1"/>
  <c r="B137" i="3"/>
  <c r="D20" i="5"/>
  <c r="D21" i="5" s="1"/>
  <c r="H4" i="7"/>
  <c r="D37" i="8"/>
  <c r="B6" i="7"/>
  <c r="G15" i="7" s="1"/>
  <c r="B5" i="7"/>
  <c r="D23" i="6"/>
  <c r="D22" i="6"/>
  <c r="B138" i="3"/>
  <c r="B32" i="2"/>
  <c r="G14" i="7" l="1"/>
  <c r="G19" i="7"/>
  <c r="G17" i="7"/>
  <c r="G25" i="5"/>
  <c r="G24" i="5"/>
  <c r="G22" i="5"/>
  <c r="H4" i="5"/>
  <c r="G20" i="5"/>
  <c r="G21" i="5" s="1"/>
  <c r="G26" i="5" s="1"/>
  <c r="G19" i="5"/>
  <c r="G31" i="5"/>
  <c r="H19" i="7"/>
  <c r="H14" i="7"/>
  <c r="I4" i="7"/>
  <c r="H15" i="7"/>
  <c r="H17" i="7"/>
  <c r="G16" i="7"/>
  <c r="B32" i="10"/>
  <c r="B26" i="10"/>
  <c r="B31" i="10"/>
  <c r="B25" i="10"/>
  <c r="B30" i="10"/>
  <c r="B24" i="10"/>
  <c r="B28" i="10"/>
  <c r="B27" i="10"/>
  <c r="B29" i="10"/>
  <c r="B23" i="10"/>
  <c r="F26" i="5"/>
  <c r="E26" i="5"/>
  <c r="D26" i="5"/>
  <c r="B12" i="5"/>
  <c r="G27" i="5" s="1"/>
  <c r="B11" i="7"/>
  <c r="B9" i="7"/>
  <c r="B14" i="4"/>
  <c r="B16" i="4"/>
  <c r="C16" i="4" s="1"/>
  <c r="B31" i="2"/>
  <c r="B15" i="4"/>
  <c r="C15" i="4" s="1"/>
  <c r="H23" i="6"/>
  <c r="H22" i="6"/>
  <c r="H12" i="6"/>
  <c r="I4" i="6"/>
  <c r="H16" i="6"/>
  <c r="H4" i="8"/>
  <c r="G24" i="8"/>
  <c r="G12" i="6"/>
  <c r="D19" i="7"/>
  <c r="F19" i="7"/>
  <c r="E19" i="7"/>
  <c r="D17" i="7"/>
  <c r="D15" i="7"/>
  <c r="D14" i="7"/>
  <c r="F14" i="7"/>
  <c r="F17" i="7"/>
  <c r="E14" i="7"/>
  <c r="D24" i="8"/>
  <c r="E24" i="8"/>
  <c r="E15" i="7"/>
  <c r="E17" i="7"/>
  <c r="F15" i="7"/>
  <c r="E12" i="6"/>
  <c r="B136" i="3"/>
  <c r="D12" i="6"/>
  <c r="F12" i="6"/>
  <c r="E32" i="2"/>
  <c r="D32" i="2"/>
  <c r="G18" i="7" l="1"/>
  <c r="G20" i="7" s="1"/>
  <c r="H16" i="7"/>
  <c r="H18" i="7" s="1"/>
  <c r="H20" i="7" s="1"/>
  <c r="D31" i="2"/>
  <c r="E31" i="2"/>
  <c r="H25" i="5"/>
  <c r="H22" i="5"/>
  <c r="I4" i="5"/>
  <c r="H20" i="5"/>
  <c r="H21" i="5" s="1"/>
  <c r="H19" i="5"/>
  <c r="H27" i="5" s="1"/>
  <c r="H24" i="5"/>
  <c r="H31" i="5"/>
  <c r="I22" i="6"/>
  <c r="I23" i="6"/>
  <c r="I12" i="6"/>
  <c r="J4" i="6"/>
  <c r="I16" i="6"/>
  <c r="D16" i="7"/>
  <c r="I4" i="8"/>
  <c r="H24" i="8"/>
  <c r="B13" i="5"/>
  <c r="B14" i="5" s="1"/>
  <c r="B15" i="5"/>
  <c r="F27" i="5"/>
  <c r="E27" i="5"/>
  <c r="D27" i="5"/>
  <c r="F16" i="7"/>
  <c r="F18" i="7" s="1"/>
  <c r="F20" i="7" s="1"/>
  <c r="I19" i="7"/>
  <c r="J4" i="7"/>
  <c r="I17" i="7"/>
  <c r="I15" i="7"/>
  <c r="I14" i="7"/>
  <c r="C14" i="4"/>
  <c r="C22" i="4" s="1"/>
  <c r="B27" i="4"/>
  <c r="B22" i="4"/>
  <c r="E16" i="7"/>
  <c r="E18" i="7" s="1"/>
  <c r="E20" i="7" s="1"/>
  <c r="H28" i="5" l="1"/>
  <c r="G28" i="5"/>
  <c r="F28" i="5"/>
  <c r="E28" i="5"/>
  <c r="D28" i="5"/>
  <c r="I25" i="5"/>
  <c r="I22" i="5"/>
  <c r="J4" i="5"/>
  <c r="I20" i="5"/>
  <c r="I21" i="5" s="1"/>
  <c r="I26" i="5" s="1"/>
  <c r="I19" i="5"/>
  <c r="I24" i="5"/>
  <c r="I31" i="5"/>
  <c r="I16" i="7"/>
  <c r="I18" i="7" s="1"/>
  <c r="I20" i="7" s="1"/>
  <c r="J4" i="8"/>
  <c r="I24" i="8"/>
  <c r="J17" i="7"/>
  <c r="J14" i="7"/>
  <c r="J19" i="7"/>
  <c r="K4" i="7"/>
  <c r="J15" i="7"/>
  <c r="J16" i="7" s="1"/>
  <c r="J18" i="7" s="1"/>
  <c r="J20" i="7" s="1"/>
  <c r="G29" i="5"/>
  <c r="F29" i="5"/>
  <c r="E29" i="5"/>
  <c r="D29" i="5"/>
  <c r="H29" i="5"/>
  <c r="B7" i="6"/>
  <c r="B30" i="2"/>
  <c r="B26" i="4"/>
  <c r="B16" i="5"/>
  <c r="D18" i="7"/>
  <c r="J23" i="6"/>
  <c r="J22" i="6"/>
  <c r="J12" i="6"/>
  <c r="K4" i="6"/>
  <c r="J16" i="6"/>
  <c r="H26" i="5"/>
  <c r="D13" i="6" l="1"/>
  <c r="D14" i="6" s="1"/>
  <c r="E30" i="2"/>
  <c r="D30" i="2"/>
  <c r="J25" i="5"/>
  <c r="J22" i="5"/>
  <c r="K4" i="5"/>
  <c r="J20" i="5"/>
  <c r="J19" i="5"/>
  <c r="J24" i="5"/>
  <c r="J27" i="5"/>
  <c r="J31" i="5"/>
  <c r="L4" i="7"/>
  <c r="K17" i="7"/>
  <c r="K15" i="7"/>
  <c r="K19" i="7"/>
  <c r="K14" i="7"/>
  <c r="K23" i="6"/>
  <c r="K12" i="6"/>
  <c r="L4" i="6"/>
  <c r="K22" i="6"/>
  <c r="K16" i="6"/>
  <c r="I28" i="5"/>
  <c r="K4" i="8"/>
  <c r="J24" i="8"/>
  <c r="I29" i="5"/>
  <c r="D20" i="7"/>
  <c r="F30" i="5"/>
  <c r="F32" i="5" s="1"/>
  <c r="E30" i="5"/>
  <c r="E32" i="5" s="1"/>
  <c r="D30" i="5"/>
  <c r="H30" i="5"/>
  <c r="H32" i="5" s="1"/>
  <c r="G30" i="5"/>
  <c r="G32" i="5" s="1"/>
  <c r="I30" i="5"/>
  <c r="I27" i="5"/>
  <c r="I32" i="5" l="1"/>
  <c r="I20" i="8"/>
  <c r="E20" i="8"/>
  <c r="G20" i="8"/>
  <c r="H20" i="8"/>
  <c r="E13" i="6"/>
  <c r="D15" i="6"/>
  <c r="L23" i="6"/>
  <c r="L22" i="6"/>
  <c r="L12" i="6"/>
  <c r="M4" i="6"/>
  <c r="L16" i="6"/>
  <c r="D24" i="6"/>
  <c r="D17" i="6"/>
  <c r="M4" i="7"/>
  <c r="L17" i="7"/>
  <c r="L15" i="7"/>
  <c r="L14" i="7"/>
  <c r="L19" i="7"/>
  <c r="J21" i="5"/>
  <c r="J29" i="5"/>
  <c r="D32" i="5"/>
  <c r="L4" i="8"/>
  <c r="K24" i="8"/>
  <c r="K25" i="5"/>
  <c r="K22" i="5"/>
  <c r="L4" i="5"/>
  <c r="K20" i="5"/>
  <c r="K19" i="5"/>
  <c r="K24" i="5"/>
  <c r="K27" i="5"/>
  <c r="K31" i="5"/>
  <c r="K16" i="7"/>
  <c r="F20" i="8"/>
  <c r="E14" i="6" l="1"/>
  <c r="K21" i="5"/>
  <c r="K29" i="5"/>
  <c r="L24" i="5"/>
  <c r="L22" i="5"/>
  <c r="M4" i="5"/>
  <c r="L20" i="5"/>
  <c r="L19" i="5"/>
  <c r="L25" i="5"/>
  <c r="L31" i="5"/>
  <c r="E24" i="6"/>
  <c r="E17" i="6"/>
  <c r="J26" i="5"/>
  <c r="J28" i="5"/>
  <c r="J30" i="5"/>
  <c r="K18" i="7"/>
  <c r="M4" i="8"/>
  <c r="L24" i="8"/>
  <c r="L16" i="7"/>
  <c r="L18" i="7" s="1"/>
  <c r="L20" i="7" s="1"/>
  <c r="M12" i="6"/>
  <c r="M23" i="6"/>
  <c r="M22" i="6"/>
  <c r="N4" i="6"/>
  <c r="M16" i="6"/>
  <c r="N4" i="7"/>
  <c r="M17" i="7"/>
  <c r="M15" i="7"/>
  <c r="M14" i="7"/>
  <c r="M19" i="7"/>
  <c r="D20" i="8"/>
  <c r="D33" i="5"/>
  <c r="E33" i="5" s="1"/>
  <c r="F33" i="5" s="1"/>
  <c r="G33" i="5" s="1"/>
  <c r="H33" i="5" s="1"/>
  <c r="I33" i="5" s="1"/>
  <c r="D27" i="6"/>
  <c r="D20" i="6"/>
  <c r="D19" i="6"/>
  <c r="K20" i="7" l="1"/>
  <c r="M25" i="5"/>
  <c r="M20" i="5"/>
  <c r="M19" i="5"/>
  <c r="M24" i="5"/>
  <c r="M22" i="5"/>
  <c r="N4" i="5"/>
  <c r="M31" i="5"/>
  <c r="F13" i="6"/>
  <c r="E15" i="6"/>
  <c r="O4" i="7"/>
  <c r="N17" i="7"/>
  <c r="N15" i="7"/>
  <c r="N14" i="7"/>
  <c r="N19" i="7"/>
  <c r="J32" i="5"/>
  <c r="N23" i="6"/>
  <c r="N22" i="6"/>
  <c r="N12" i="6"/>
  <c r="O4" i="6"/>
  <c r="N16" i="6"/>
  <c r="N4" i="8"/>
  <c r="M24" i="8"/>
  <c r="E27" i="6"/>
  <c r="E19" i="6"/>
  <c r="E20" i="6"/>
  <c r="K26" i="5"/>
  <c r="K28" i="5"/>
  <c r="K30" i="5"/>
  <c r="M16" i="7"/>
  <c r="L21" i="5"/>
  <c r="L29" i="5"/>
  <c r="L27" i="5"/>
  <c r="N16" i="7" l="1"/>
  <c r="N18" i="7" s="1"/>
  <c r="K32" i="5"/>
  <c r="M21" i="5"/>
  <c r="M29" i="5"/>
  <c r="O23" i="6"/>
  <c r="O22" i="6"/>
  <c r="P4" i="6"/>
  <c r="O12" i="6"/>
  <c r="O16" i="6"/>
  <c r="F24" i="6"/>
  <c r="F17" i="6"/>
  <c r="F14" i="6"/>
  <c r="N20" i="7"/>
  <c r="N25" i="5"/>
  <c r="N24" i="5"/>
  <c r="N22" i="5"/>
  <c r="O4" i="5"/>
  <c r="N20" i="5"/>
  <c r="N19" i="5"/>
  <c r="N31" i="5"/>
  <c r="L26" i="5"/>
  <c r="L28" i="5"/>
  <c r="L30" i="5"/>
  <c r="O19" i="7"/>
  <c r="O17" i="7"/>
  <c r="O15" i="7"/>
  <c r="O14" i="7"/>
  <c r="P4" i="7"/>
  <c r="J20" i="8"/>
  <c r="J33" i="5"/>
  <c r="O4" i="8"/>
  <c r="N24" i="8"/>
  <c r="M18" i="7"/>
  <c r="M27" i="5"/>
  <c r="P23" i="6" l="1"/>
  <c r="P22" i="6"/>
  <c r="Q4" i="6"/>
  <c r="P12" i="6"/>
  <c r="P16" i="6"/>
  <c r="L32" i="5"/>
  <c r="M20" i="7"/>
  <c r="N21" i="5"/>
  <c r="N29" i="5"/>
  <c r="M26" i="5"/>
  <c r="M28" i="5"/>
  <c r="M30" i="5"/>
  <c r="O25" i="5"/>
  <c r="O24" i="5"/>
  <c r="O22" i="5"/>
  <c r="P4" i="5"/>
  <c r="O20" i="5"/>
  <c r="O19" i="5"/>
  <c r="O31" i="5"/>
  <c r="O27" i="5"/>
  <c r="K20" i="8"/>
  <c r="K33" i="5"/>
  <c r="P4" i="8"/>
  <c r="O24" i="8"/>
  <c r="P17" i="7"/>
  <c r="P15" i="7"/>
  <c r="P19" i="7"/>
  <c r="Q4" i="7"/>
  <c r="P14" i="7"/>
  <c r="N27" i="5"/>
  <c r="G13" i="6"/>
  <c r="F15" i="6"/>
  <c r="O16" i="7"/>
  <c r="F27" i="6"/>
  <c r="F20" i="6"/>
  <c r="F19" i="6"/>
  <c r="P16" i="7" l="1"/>
  <c r="P18" i="7" s="1"/>
  <c r="P20" i="7" s="1"/>
  <c r="M32" i="5"/>
  <c r="Q4" i="8"/>
  <c r="P24" i="8"/>
  <c r="O21" i="5"/>
  <c r="O29" i="5"/>
  <c r="N26" i="5"/>
  <c r="N28" i="5"/>
  <c r="N30" i="5"/>
  <c r="G24" i="6"/>
  <c r="G17" i="6"/>
  <c r="O18" i="7"/>
  <c r="Q17" i="7"/>
  <c r="Q15" i="7"/>
  <c r="Q14" i="7"/>
  <c r="Q19" i="7"/>
  <c r="R4" i="7"/>
  <c r="L20" i="8"/>
  <c r="L33" i="5"/>
  <c r="G14" i="6"/>
  <c r="P25" i="5"/>
  <c r="P24" i="5"/>
  <c r="P22" i="5"/>
  <c r="Q4" i="5"/>
  <c r="P20" i="5"/>
  <c r="P19" i="5"/>
  <c r="P31" i="5"/>
  <c r="P27" i="5"/>
  <c r="Q23" i="6"/>
  <c r="Q22" i="6"/>
  <c r="R4" i="6"/>
  <c r="Q12" i="6"/>
  <c r="Q16" i="6"/>
  <c r="Q16" i="7" l="1"/>
  <c r="Q18" i="7" s="1"/>
  <c r="Q20" i="7" s="1"/>
  <c r="O20" i="7"/>
  <c r="G27" i="6"/>
  <c r="G20" i="6"/>
  <c r="G19" i="6"/>
  <c r="R15" i="7"/>
  <c r="R14" i="7"/>
  <c r="R19" i="7"/>
  <c r="S4" i="7"/>
  <c r="R17" i="7"/>
  <c r="R23" i="6"/>
  <c r="R22" i="6"/>
  <c r="R12" i="6"/>
  <c r="S4" i="6"/>
  <c r="R16" i="6"/>
  <c r="P21" i="5"/>
  <c r="P29" i="5"/>
  <c r="N32" i="5"/>
  <c r="Q25" i="5"/>
  <c r="Q24" i="5"/>
  <c r="Q22" i="5"/>
  <c r="R4" i="5"/>
  <c r="Q20" i="5"/>
  <c r="Q19" i="5"/>
  <c r="Q27" i="5" s="1"/>
  <c r="Q31" i="5"/>
  <c r="O26" i="5"/>
  <c r="O28" i="5"/>
  <c r="O30" i="5"/>
  <c r="M20" i="8"/>
  <c r="M33" i="5"/>
  <c r="R4" i="8"/>
  <c r="Q24" i="8"/>
  <c r="H13" i="6"/>
  <c r="G15" i="6"/>
  <c r="R16" i="7" l="1"/>
  <c r="R18" i="7" s="1"/>
  <c r="P26" i="5"/>
  <c r="P28" i="5"/>
  <c r="P30" i="5"/>
  <c r="S23" i="6"/>
  <c r="S22" i="6"/>
  <c r="S12" i="6"/>
  <c r="T4" i="6"/>
  <c r="S16" i="6"/>
  <c r="S4" i="8"/>
  <c r="R24" i="8"/>
  <c r="Q21" i="5"/>
  <c r="Q29" i="5"/>
  <c r="S15" i="7"/>
  <c r="S16" i="7" s="1"/>
  <c r="S14" i="7"/>
  <c r="S19" i="7"/>
  <c r="T4" i="7"/>
  <c r="S17" i="7"/>
  <c r="R25" i="5"/>
  <c r="R22" i="5"/>
  <c r="S4" i="5"/>
  <c r="R20" i="5"/>
  <c r="R19" i="5"/>
  <c r="R27" i="5" s="1"/>
  <c r="R24" i="5"/>
  <c r="R31" i="5"/>
  <c r="O32" i="5"/>
  <c r="H24" i="6"/>
  <c r="H17" i="6"/>
  <c r="H14" i="6"/>
  <c r="N20" i="8"/>
  <c r="N33" i="5"/>
  <c r="H27" i="6" l="1"/>
  <c r="H20" i="6"/>
  <c r="H19" i="6"/>
  <c r="I13" i="6"/>
  <c r="H15" i="6"/>
  <c r="R21" i="5"/>
  <c r="R29" i="5"/>
  <c r="T4" i="8"/>
  <c r="S24" i="8"/>
  <c r="S25" i="5"/>
  <c r="S24" i="5"/>
  <c r="S22" i="5"/>
  <c r="T4" i="5"/>
  <c r="S20" i="5"/>
  <c r="S27" i="5" s="1"/>
  <c r="S19" i="5"/>
  <c r="S31" i="5"/>
  <c r="O20" i="8"/>
  <c r="O33" i="5"/>
  <c r="T14" i="7"/>
  <c r="T19" i="7"/>
  <c r="U4" i="7"/>
  <c r="T15" i="7"/>
  <c r="T16" i="7" s="1"/>
  <c r="T17" i="7"/>
  <c r="S18" i="7"/>
  <c r="S20" i="7" s="1"/>
  <c r="P32" i="5"/>
  <c r="R20" i="7"/>
  <c r="Q26" i="5"/>
  <c r="Q28" i="5"/>
  <c r="Q30" i="5"/>
  <c r="T23" i="6"/>
  <c r="T22" i="6"/>
  <c r="T12" i="6"/>
  <c r="U4" i="6"/>
  <c r="T16" i="6"/>
  <c r="R26" i="5" l="1"/>
  <c r="R28" i="5"/>
  <c r="R30" i="5"/>
  <c r="U4" i="8"/>
  <c r="T24" i="8"/>
  <c r="I24" i="6"/>
  <c r="I17" i="6"/>
  <c r="U19" i="7"/>
  <c r="V4" i="7"/>
  <c r="U17" i="7"/>
  <c r="U15" i="7"/>
  <c r="U14" i="7"/>
  <c r="Q32" i="5"/>
  <c r="I14" i="6"/>
  <c r="U22" i="6"/>
  <c r="U23" i="6"/>
  <c r="U12" i="6"/>
  <c r="V4" i="6"/>
  <c r="U16" i="6"/>
  <c r="T18" i="7"/>
  <c r="T20" i="7" s="1"/>
  <c r="S21" i="5"/>
  <c r="S29" i="5"/>
  <c r="P20" i="8"/>
  <c r="P33" i="5"/>
  <c r="T25" i="5"/>
  <c r="T24" i="5"/>
  <c r="T22" i="5"/>
  <c r="U4" i="5"/>
  <c r="T20" i="5"/>
  <c r="T19" i="5"/>
  <c r="T31" i="5"/>
  <c r="T27" i="5"/>
  <c r="U16" i="7" l="1"/>
  <c r="U18" i="7" s="1"/>
  <c r="U20" i="7" s="1"/>
  <c r="V23" i="6"/>
  <c r="V22" i="6"/>
  <c r="V12" i="6"/>
  <c r="W4" i="6"/>
  <c r="V16" i="6"/>
  <c r="V4" i="8"/>
  <c r="U24" i="8"/>
  <c r="V19" i="7"/>
  <c r="V17" i="7"/>
  <c r="V14" i="7"/>
  <c r="V15" i="7"/>
  <c r="W4" i="7"/>
  <c r="S26" i="5"/>
  <c r="S28" i="5"/>
  <c r="S30" i="5"/>
  <c r="I27" i="6"/>
  <c r="I20" i="6"/>
  <c r="I19" i="6"/>
  <c r="J13" i="6"/>
  <c r="I15" i="6"/>
  <c r="T21" i="5"/>
  <c r="T29" i="5"/>
  <c r="U25" i="5"/>
  <c r="U22" i="5"/>
  <c r="V4" i="5"/>
  <c r="U20" i="5"/>
  <c r="U19" i="5"/>
  <c r="U27" i="5" s="1"/>
  <c r="U24" i="5"/>
  <c r="U31" i="5"/>
  <c r="Q20" i="8"/>
  <c r="Q33" i="5"/>
  <c r="R32" i="5"/>
  <c r="J17" i="6" l="1"/>
  <c r="J24" i="6"/>
  <c r="W22" i="6"/>
  <c r="W23" i="6"/>
  <c r="W12" i="6"/>
  <c r="X4" i="6"/>
  <c r="W16" i="6"/>
  <c r="U21" i="5"/>
  <c r="U29" i="5"/>
  <c r="V25" i="5"/>
  <c r="V22" i="5"/>
  <c r="W4" i="5"/>
  <c r="V20" i="5"/>
  <c r="V19" i="5"/>
  <c r="V27" i="5" s="1"/>
  <c r="V24" i="5"/>
  <c r="V31" i="5"/>
  <c r="S32" i="5"/>
  <c r="J14" i="6"/>
  <c r="W4" i="8"/>
  <c r="V24" i="8"/>
  <c r="R20" i="8"/>
  <c r="R33" i="5"/>
  <c r="W19" i="7"/>
  <c r="X4" i="7"/>
  <c r="W17" i="7"/>
  <c r="W15" i="7"/>
  <c r="W14" i="7"/>
  <c r="T26" i="5"/>
  <c r="T28" i="5"/>
  <c r="T30" i="5"/>
  <c r="V16" i="7"/>
  <c r="V18" i="7" s="1"/>
  <c r="V20" i="7" s="1"/>
  <c r="V21" i="5" l="1"/>
  <c r="V29" i="5"/>
  <c r="W25" i="5"/>
  <c r="W22" i="5"/>
  <c r="X4" i="5"/>
  <c r="W20" i="5"/>
  <c r="W19" i="5"/>
  <c r="W24" i="5"/>
  <c r="W27" i="5"/>
  <c r="W31" i="5"/>
  <c r="X4" i="8"/>
  <c r="W24" i="8"/>
  <c r="X23" i="6"/>
  <c r="X12" i="6"/>
  <c r="Y4" i="6"/>
  <c r="X22" i="6"/>
  <c r="X16" i="6"/>
  <c r="U26" i="5"/>
  <c r="U28" i="5"/>
  <c r="U30" i="5"/>
  <c r="T32" i="5"/>
  <c r="W16" i="7"/>
  <c r="W18" i="7" s="1"/>
  <c r="W20" i="7" s="1"/>
  <c r="J15" i="6"/>
  <c r="K13" i="6"/>
  <c r="J27" i="6"/>
  <c r="J19" i="6"/>
  <c r="J20" i="6"/>
  <c r="Y4" i="7"/>
  <c r="X17" i="7"/>
  <c r="X15" i="7"/>
  <c r="X14" i="7"/>
  <c r="X19" i="7"/>
  <c r="S20" i="8"/>
  <c r="S33" i="5"/>
  <c r="X16" i="7" l="1"/>
  <c r="X18" i="7" s="1"/>
  <c r="X20" i="7" s="1"/>
  <c r="W21" i="5"/>
  <c r="W29" i="5"/>
  <c r="X24" i="5"/>
  <c r="X22" i="5"/>
  <c r="Y4" i="5"/>
  <c r="X20" i="5"/>
  <c r="X19" i="5"/>
  <c r="X25" i="5"/>
  <c r="X27" i="5"/>
  <c r="X31" i="5"/>
  <c r="U32" i="5"/>
  <c r="Z4" i="7"/>
  <c r="Y17" i="7"/>
  <c r="Y15" i="7"/>
  <c r="Y14" i="7"/>
  <c r="Y19" i="7"/>
  <c r="Y12" i="6"/>
  <c r="Y23" i="6"/>
  <c r="Y22" i="6"/>
  <c r="Z4" i="6"/>
  <c r="Y16" i="6"/>
  <c r="T20" i="8"/>
  <c r="T33" i="5"/>
  <c r="Y4" i="8"/>
  <c r="X24" i="8"/>
  <c r="V26" i="5"/>
  <c r="V28" i="5"/>
  <c r="V30" i="5"/>
  <c r="K17" i="6"/>
  <c r="K24" i="6"/>
  <c r="K14" i="6"/>
  <c r="Y16" i="7" l="1"/>
  <c r="Y18" i="7" s="1"/>
  <c r="Y20" i="7" s="1"/>
  <c r="Z4" i="8"/>
  <c r="Y24" i="8"/>
  <c r="X21" i="5"/>
  <c r="X29" i="5"/>
  <c r="Y25" i="5"/>
  <c r="Y20" i="5"/>
  <c r="Y19" i="5"/>
  <c r="Y27" i="5" s="1"/>
  <c r="Y24" i="5"/>
  <c r="Y22" i="5"/>
  <c r="Z4" i="5"/>
  <c r="Y31" i="5"/>
  <c r="K15" i="6"/>
  <c r="L13" i="6"/>
  <c r="L14" i="6" s="1"/>
  <c r="K27" i="6"/>
  <c r="K20" i="6"/>
  <c r="K19" i="6"/>
  <c r="W26" i="5"/>
  <c r="W28" i="5"/>
  <c r="W30" i="5"/>
  <c r="Z23" i="6"/>
  <c r="Z22" i="6"/>
  <c r="Z12" i="6"/>
  <c r="AA4" i="6"/>
  <c r="Z16" i="6"/>
  <c r="AA4" i="7"/>
  <c r="Z17" i="7"/>
  <c r="Z15" i="7"/>
  <c r="Z14" i="7"/>
  <c r="Z19" i="7"/>
  <c r="V32" i="5"/>
  <c r="U20" i="8"/>
  <c r="U33" i="5"/>
  <c r="L15" i="6" l="1"/>
  <c r="M13" i="6"/>
  <c r="V20" i="8"/>
  <c r="V33" i="5"/>
  <c r="Z25" i="5"/>
  <c r="Z24" i="5"/>
  <c r="Z22" i="5"/>
  <c r="AA4" i="5"/>
  <c r="Z20" i="5"/>
  <c r="Z19" i="5"/>
  <c r="Z31" i="5"/>
  <c r="AA4" i="8"/>
  <c r="Z24" i="8"/>
  <c r="L17" i="6"/>
  <c r="L24" i="6"/>
  <c r="X26" i="5"/>
  <c r="X28" i="5"/>
  <c r="X30" i="5"/>
  <c r="W32" i="5"/>
  <c r="AA23" i="6"/>
  <c r="AA22" i="6"/>
  <c r="AA12" i="6"/>
  <c r="AB4" i="6"/>
  <c r="AA16" i="6"/>
  <c r="Y21" i="5"/>
  <c r="Y29" i="5"/>
  <c r="Z16" i="7"/>
  <c r="Z18" i="7" s="1"/>
  <c r="Z20" i="7" s="1"/>
  <c r="AA19" i="7"/>
  <c r="AA17" i="7"/>
  <c r="AA15" i="7"/>
  <c r="AA14" i="7"/>
  <c r="AB4" i="7"/>
  <c r="Z21" i="5" l="1"/>
  <c r="Z29" i="5"/>
  <c r="AA25" i="5"/>
  <c r="AA24" i="5"/>
  <c r="AA22" i="5"/>
  <c r="AB4" i="5"/>
  <c r="AA20" i="5"/>
  <c r="AA19" i="5"/>
  <c r="AA31" i="5"/>
  <c r="AB4" i="8"/>
  <c r="AA24" i="8"/>
  <c r="L27" i="6"/>
  <c r="L20" i="6"/>
  <c r="L19" i="6"/>
  <c r="W20" i="8"/>
  <c r="W33" i="5"/>
  <c r="AB17" i="7"/>
  <c r="AB15" i="7"/>
  <c r="AB19" i="7"/>
  <c r="AC4" i="7"/>
  <c r="AB14" i="7"/>
  <c r="AB23" i="6"/>
  <c r="AB22" i="6"/>
  <c r="AC4" i="6"/>
  <c r="AB12" i="6"/>
  <c r="AB16" i="6"/>
  <c r="M24" i="6"/>
  <c r="M17" i="6"/>
  <c r="AA16" i="7"/>
  <c r="AA18" i="7" s="1"/>
  <c r="AA20" i="7" s="1"/>
  <c r="X32" i="5"/>
  <c r="Y26" i="5"/>
  <c r="Y28" i="5"/>
  <c r="Y30" i="5"/>
  <c r="Z27" i="5"/>
  <c r="M14" i="6"/>
  <c r="AA27" i="5" l="1"/>
  <c r="X20" i="8"/>
  <c r="X33" i="5"/>
  <c r="M27" i="6"/>
  <c r="M20" i="6"/>
  <c r="M19" i="6"/>
  <c r="AC17" i="7"/>
  <c r="AC15" i="7"/>
  <c r="AC14" i="7"/>
  <c r="AC19" i="7"/>
  <c r="AD4" i="7"/>
  <c r="AB25" i="5"/>
  <c r="AB24" i="5"/>
  <c r="AB22" i="5"/>
  <c r="AC4" i="5"/>
  <c r="AB20" i="5"/>
  <c r="AB19" i="5"/>
  <c r="AB31" i="5"/>
  <c r="AB16" i="7"/>
  <c r="AB18" i="7" s="1"/>
  <c r="AB20" i="7" s="1"/>
  <c r="AC4" i="8"/>
  <c r="AB24" i="8"/>
  <c r="Y32" i="5"/>
  <c r="AA21" i="5"/>
  <c r="AA29" i="5"/>
  <c r="M15" i="6"/>
  <c r="N13" i="6"/>
  <c r="N14" i="6" s="1"/>
  <c r="AC23" i="6"/>
  <c r="AC22" i="6"/>
  <c r="AC12" i="6"/>
  <c r="AD4" i="6"/>
  <c r="AC16" i="6"/>
  <c r="Z26" i="5"/>
  <c r="Z28" i="5"/>
  <c r="Z30" i="5"/>
  <c r="AC16" i="7" l="1"/>
  <c r="AC18" i="7" s="1"/>
  <c r="AC20" i="7" s="1"/>
  <c r="AC25" i="5"/>
  <c r="AC24" i="5"/>
  <c r="AC22" i="5"/>
  <c r="AD4" i="5"/>
  <c r="AC20" i="5"/>
  <c r="AC19" i="5"/>
  <c r="AC31" i="5"/>
  <c r="AC27" i="5"/>
  <c r="N24" i="6"/>
  <c r="N17" i="6"/>
  <c r="AB21" i="5"/>
  <c r="AB29" i="5"/>
  <c r="Z32" i="5"/>
  <c r="N15" i="6"/>
  <c r="O13" i="6"/>
  <c r="O14" i="6" s="1"/>
  <c r="AD15" i="7"/>
  <c r="AD14" i="7"/>
  <c r="AD19" i="7"/>
  <c r="AE4" i="7"/>
  <c r="AD17" i="7"/>
  <c r="AD4" i="8"/>
  <c r="AC24" i="8"/>
  <c r="AA26" i="5"/>
  <c r="AA28" i="5"/>
  <c r="AA30" i="5"/>
  <c r="Y20" i="8"/>
  <c r="Y33" i="5"/>
  <c r="AD23" i="6"/>
  <c r="AD22" i="6"/>
  <c r="AE4" i="6"/>
  <c r="AD12" i="6"/>
  <c r="AD16" i="6"/>
  <c r="AB27" i="5"/>
  <c r="AD16" i="7" l="1"/>
  <c r="O15" i="6"/>
  <c r="P13" i="6"/>
  <c r="AA32" i="5"/>
  <c r="AE15" i="7"/>
  <c r="AE14" i="7"/>
  <c r="AE19" i="7"/>
  <c r="AF4" i="7"/>
  <c r="AE17" i="7"/>
  <c r="N27" i="6"/>
  <c r="N20" i="6"/>
  <c r="N19" i="6"/>
  <c r="AE4" i="8"/>
  <c r="AD24" i="8"/>
  <c r="AC21" i="5"/>
  <c r="AC29" i="5"/>
  <c r="AD25" i="5"/>
  <c r="AD24" i="5"/>
  <c r="AD22" i="5"/>
  <c r="AE4" i="5"/>
  <c r="AD20" i="5"/>
  <c r="AD19" i="5"/>
  <c r="AD27" i="5"/>
  <c r="AD31" i="5"/>
  <c r="AD18" i="7"/>
  <c r="AD20" i="7" s="1"/>
  <c r="O24" i="6"/>
  <c r="O17" i="6"/>
  <c r="Z20" i="8"/>
  <c r="Z33" i="5"/>
  <c r="AE23" i="6"/>
  <c r="AE22" i="6"/>
  <c r="AE12" i="6"/>
  <c r="AF4" i="6"/>
  <c r="AE16" i="6"/>
  <c r="AB26" i="5"/>
  <c r="AB28" i="5"/>
  <c r="AB30" i="5"/>
  <c r="AC26" i="5" l="1"/>
  <c r="AC28" i="5"/>
  <c r="AC30" i="5"/>
  <c r="AF4" i="8"/>
  <c r="AE24" i="8"/>
  <c r="AF23" i="6"/>
  <c r="AF22" i="6"/>
  <c r="AF12" i="6"/>
  <c r="AG4" i="6"/>
  <c r="AF16" i="6"/>
  <c r="AD21" i="5"/>
  <c r="AD29" i="5"/>
  <c r="AE16" i="7"/>
  <c r="AE18" i="7" s="1"/>
  <c r="AE20" i="7" s="1"/>
  <c r="AE25" i="5"/>
  <c r="AE24" i="5"/>
  <c r="AE22" i="5"/>
  <c r="AF4" i="5"/>
  <c r="AE20" i="5"/>
  <c r="AE19" i="5"/>
  <c r="AE27" i="5"/>
  <c r="AE31" i="5"/>
  <c r="AA20" i="8"/>
  <c r="AA33" i="5"/>
  <c r="P24" i="6"/>
  <c r="P17" i="6"/>
  <c r="AF14" i="7"/>
  <c r="AF19" i="7"/>
  <c r="AG4" i="7"/>
  <c r="AF15" i="7"/>
  <c r="AF17" i="7"/>
  <c r="O27" i="6"/>
  <c r="O20" i="6"/>
  <c r="O19" i="6"/>
  <c r="AB32" i="5"/>
  <c r="P14" i="6"/>
  <c r="AB20" i="8" l="1"/>
  <c r="AB33" i="5"/>
  <c r="P15" i="6"/>
  <c r="Q13" i="6"/>
  <c r="P27" i="6"/>
  <c r="P20" i="6"/>
  <c r="P19" i="6"/>
  <c r="AG23" i="6"/>
  <c r="AG22" i="6"/>
  <c r="AG12" i="6"/>
  <c r="AH4" i="6"/>
  <c r="AG16" i="6"/>
  <c r="AE21" i="5"/>
  <c r="AE29" i="5"/>
  <c r="AD26" i="5"/>
  <c r="AD28" i="5"/>
  <c r="AD30" i="5"/>
  <c r="AF16" i="7"/>
  <c r="AF18" i="7" s="1"/>
  <c r="AF20" i="7" s="1"/>
  <c r="AF25" i="5"/>
  <c r="AF24" i="5"/>
  <c r="AF22" i="5"/>
  <c r="AG4" i="5"/>
  <c r="AF20" i="5"/>
  <c r="AF19" i="5"/>
  <c r="AF31" i="5"/>
  <c r="AG19" i="7"/>
  <c r="AH4" i="7"/>
  <c r="AG17" i="7"/>
  <c r="AG15" i="7"/>
  <c r="AG14" i="7"/>
  <c r="AG4" i="8"/>
  <c r="AF24" i="8"/>
  <c r="AC32" i="5"/>
  <c r="AG16" i="7" l="1"/>
  <c r="AG18" i="7" s="1"/>
  <c r="AG20" i="7" s="1"/>
  <c r="AF21" i="5"/>
  <c r="AF29" i="5"/>
  <c r="AG25" i="5"/>
  <c r="AG24" i="5"/>
  <c r="AG22" i="5"/>
  <c r="AH4" i="5"/>
  <c r="AG20" i="5"/>
  <c r="AG27" i="5" s="1"/>
  <c r="AG19" i="5"/>
  <c r="AG31" i="5"/>
  <c r="AH23" i="6"/>
  <c r="AH22" i="6"/>
  <c r="AH12" i="6"/>
  <c r="AI4" i="6"/>
  <c r="AH16" i="6"/>
  <c r="AC20" i="8"/>
  <c r="AC33" i="5"/>
  <c r="Q24" i="6"/>
  <c r="Q17" i="6"/>
  <c r="AE26" i="5"/>
  <c r="AE28" i="5"/>
  <c r="AE30" i="5"/>
  <c r="Q14" i="6"/>
  <c r="AH4" i="8"/>
  <c r="AG24" i="8"/>
  <c r="AD32" i="5"/>
  <c r="AH19" i="7"/>
  <c r="AH17" i="7"/>
  <c r="AH14" i="7"/>
  <c r="AH15" i="7"/>
  <c r="AH16" i="7" s="1"/>
  <c r="AH18" i="7" s="1"/>
  <c r="AI4" i="7"/>
  <c r="AF27" i="5"/>
  <c r="AH20" i="7" l="1"/>
  <c r="Q15" i="6"/>
  <c r="R13" i="6"/>
  <c r="AH25" i="5"/>
  <c r="AH24" i="5"/>
  <c r="AH22" i="5"/>
  <c r="AI4" i="5"/>
  <c r="AH20" i="5"/>
  <c r="AH19" i="5"/>
  <c r="AH31" i="5"/>
  <c r="AH27" i="5"/>
  <c r="AI23" i="6"/>
  <c r="AI22" i="6"/>
  <c r="AI20" i="6"/>
  <c r="AI12" i="6"/>
  <c r="AJ4" i="6"/>
  <c r="AI16" i="6"/>
  <c r="AI4" i="8"/>
  <c r="AH24" i="8"/>
  <c r="AE32" i="5"/>
  <c r="Q27" i="6"/>
  <c r="Q20" i="6"/>
  <c r="Q19" i="6"/>
  <c r="AF26" i="5"/>
  <c r="AF28" i="5"/>
  <c r="AF30" i="5"/>
  <c r="AD20" i="8"/>
  <c r="AD33" i="5"/>
  <c r="AG21" i="5"/>
  <c r="AG29" i="5"/>
  <c r="AI19" i="7"/>
  <c r="AJ4" i="7"/>
  <c r="AI17" i="7"/>
  <c r="AI15" i="7"/>
  <c r="AI14" i="7"/>
  <c r="AJ20" i="6" l="1"/>
  <c r="AJ19" i="6"/>
  <c r="AJ12" i="6"/>
  <c r="AK4" i="6"/>
  <c r="AJ21" i="6"/>
  <c r="AJ16" i="6"/>
  <c r="AI16" i="7"/>
  <c r="AI18" i="7" s="1"/>
  <c r="AI20" i="7" s="1"/>
  <c r="AE20" i="8"/>
  <c r="AE33" i="5"/>
  <c r="AI25" i="5"/>
  <c r="AI24" i="5"/>
  <c r="AI22" i="5"/>
  <c r="AJ4" i="5"/>
  <c r="AI20" i="5"/>
  <c r="AI19" i="5"/>
  <c r="AI31" i="5"/>
  <c r="AH21" i="5"/>
  <c r="AH29" i="5"/>
  <c r="AJ4" i="8"/>
  <c r="AI24" i="8"/>
  <c r="AF32" i="5"/>
  <c r="AJ19" i="7"/>
  <c r="AK4" i="7"/>
  <c r="AJ17" i="7"/>
  <c r="AJ15" i="7"/>
  <c r="AJ14" i="7"/>
  <c r="AG26" i="5"/>
  <c r="AG28" i="5"/>
  <c r="AG30" i="5"/>
  <c r="R24" i="6"/>
  <c r="R17" i="6"/>
  <c r="R14" i="6"/>
  <c r="AI21" i="5" l="1"/>
  <c r="AI29" i="5"/>
  <c r="AJ16" i="7"/>
  <c r="AJ18" i="7" s="1"/>
  <c r="AJ20" i="7" s="1"/>
  <c r="AJ24" i="5"/>
  <c r="AJ25" i="5"/>
  <c r="AJ22" i="5"/>
  <c r="AK4" i="5"/>
  <c r="AJ20" i="5"/>
  <c r="AJ19" i="5"/>
  <c r="AJ27" i="5" s="1"/>
  <c r="AJ31" i="5"/>
  <c r="AK19" i="7"/>
  <c r="AL4" i="7"/>
  <c r="AK17" i="7"/>
  <c r="AK15" i="7"/>
  <c r="AK14" i="7"/>
  <c r="R15" i="6"/>
  <c r="S13" i="6"/>
  <c r="AF20" i="8"/>
  <c r="AF33" i="5"/>
  <c r="AH26" i="5"/>
  <c r="AH28" i="5"/>
  <c r="AH30" i="5"/>
  <c r="R27" i="6"/>
  <c r="R20" i="6"/>
  <c r="R19" i="6"/>
  <c r="AK4" i="8"/>
  <c r="AJ24" i="8"/>
  <c r="AI27" i="5"/>
  <c r="AG32" i="5"/>
  <c r="AK12" i="6"/>
  <c r="AK21" i="6"/>
  <c r="AK20" i="6"/>
  <c r="AL4" i="6"/>
  <c r="AK22" i="6"/>
  <c r="AK19" i="6"/>
  <c r="AK16" i="6"/>
  <c r="S24" i="6" l="1"/>
  <c r="S17" i="6"/>
  <c r="AJ21" i="5"/>
  <c r="AJ29" i="5"/>
  <c r="AK25" i="5"/>
  <c r="AK20" i="5"/>
  <c r="AK19" i="5"/>
  <c r="AK24" i="5"/>
  <c r="AK22" i="5"/>
  <c r="AL4" i="5"/>
  <c r="AK31" i="5"/>
  <c r="AK27" i="5"/>
  <c r="S14" i="6"/>
  <c r="AK16" i="7"/>
  <c r="AK18" i="7" s="1"/>
  <c r="AK20" i="7" s="1"/>
  <c r="AM4" i="7"/>
  <c r="AL17" i="7"/>
  <c r="AL15" i="7"/>
  <c r="AL14" i="7"/>
  <c r="AL19" i="7"/>
  <c r="AI26" i="5"/>
  <c r="AI28" i="5"/>
  <c r="AI30" i="5"/>
  <c r="AG20" i="8"/>
  <c r="AG33" i="5"/>
  <c r="AK35" i="8"/>
  <c r="AK34" i="8"/>
  <c r="AL4" i="8"/>
  <c r="AK24" i="8"/>
  <c r="AH32" i="5"/>
  <c r="AL21" i="6"/>
  <c r="AL22" i="6"/>
  <c r="AL20" i="6"/>
  <c r="AL19" i="6"/>
  <c r="AL12" i="6"/>
  <c r="AM4" i="6"/>
  <c r="AL16" i="6"/>
  <c r="AL16" i="7" l="1"/>
  <c r="AL24" i="5"/>
  <c r="AL22" i="5"/>
  <c r="AM4" i="5"/>
  <c r="AL25" i="5"/>
  <c r="AL20" i="5"/>
  <c r="AL19" i="5"/>
  <c r="AL31" i="5"/>
  <c r="AL27" i="5"/>
  <c r="AM19" i="7"/>
  <c r="AM17" i="7"/>
  <c r="AM15" i="7"/>
  <c r="AM16" i="7" s="1"/>
  <c r="AM18" i="7" s="1"/>
  <c r="AM20" i="7" s="1"/>
  <c r="AM14" i="7"/>
  <c r="AN4" i="7"/>
  <c r="AH20" i="8"/>
  <c r="AH33" i="5"/>
  <c r="AI32" i="5"/>
  <c r="AM21" i="6"/>
  <c r="AM22" i="6"/>
  <c r="AM20" i="6"/>
  <c r="AM19" i="6"/>
  <c r="AM12" i="6"/>
  <c r="AN4" i="6"/>
  <c r="AM16" i="6"/>
  <c r="AL35" i="8"/>
  <c r="AL34" i="8"/>
  <c r="AM4" i="8"/>
  <c r="AL24" i="8"/>
  <c r="AJ26" i="5"/>
  <c r="AJ28" i="5"/>
  <c r="AJ30" i="5"/>
  <c r="AK21" i="5"/>
  <c r="AK29" i="5"/>
  <c r="S15" i="6"/>
  <c r="T13" i="6"/>
  <c r="S27" i="6"/>
  <c r="S20" i="6"/>
  <c r="S19" i="6"/>
  <c r="AL18" i="7"/>
  <c r="AL20" i="7" s="1"/>
  <c r="T17" i="6" l="1"/>
  <c r="T24" i="6"/>
  <c r="AM35" i="8"/>
  <c r="AM34" i="8"/>
  <c r="AN4" i="8"/>
  <c r="AM24" i="8"/>
  <c r="T14" i="6"/>
  <c r="AL21" i="5"/>
  <c r="AL29" i="5"/>
  <c r="AM25" i="5"/>
  <c r="AM24" i="5"/>
  <c r="AM22" i="5"/>
  <c r="AN4" i="5"/>
  <c r="AM20" i="5"/>
  <c r="AM19" i="5"/>
  <c r="AM31" i="5"/>
  <c r="AN17" i="7"/>
  <c r="AN15" i="7"/>
  <c r="AN19" i="7"/>
  <c r="AO4" i="7"/>
  <c r="AN14" i="7"/>
  <c r="AK26" i="5"/>
  <c r="AK28" i="5"/>
  <c r="AK30" i="5"/>
  <c r="AI20" i="8"/>
  <c r="AI33" i="5"/>
  <c r="AJ32" i="5"/>
  <c r="AN21" i="6"/>
  <c r="AN22" i="6"/>
  <c r="AN20" i="6"/>
  <c r="AN19" i="6"/>
  <c r="AN12" i="6"/>
  <c r="AO4" i="6"/>
  <c r="AN16" i="6"/>
  <c r="AM27" i="5" l="1"/>
  <c r="AK32" i="5"/>
  <c r="AO17" i="7"/>
  <c r="AO15" i="7"/>
  <c r="AO14" i="7"/>
  <c r="AO19" i="7"/>
  <c r="AP4" i="7"/>
  <c r="AL26" i="5"/>
  <c r="AL28" i="5"/>
  <c r="AL30" i="5"/>
  <c r="AJ20" i="8"/>
  <c r="AJ33" i="5"/>
  <c r="T15" i="6"/>
  <c r="U13" i="6"/>
  <c r="AN16" i="7"/>
  <c r="AN18" i="7" s="1"/>
  <c r="AN20" i="7" s="1"/>
  <c r="T27" i="6"/>
  <c r="T20" i="6"/>
  <c r="T19" i="6"/>
  <c r="AM21" i="5"/>
  <c r="AM29" i="5"/>
  <c r="AN34" i="8"/>
  <c r="AN35" i="8"/>
  <c r="AO4" i="8"/>
  <c r="AN24" i="8"/>
  <c r="AO21" i="6"/>
  <c r="AO22" i="6"/>
  <c r="AO20" i="6"/>
  <c r="AO19" i="6"/>
  <c r="AO12" i="6"/>
  <c r="AP4" i="6"/>
  <c r="AO16" i="6"/>
  <c r="AN25" i="5"/>
  <c r="AN24" i="5"/>
  <c r="AN22" i="5"/>
  <c r="AO4" i="5"/>
  <c r="AN20" i="5"/>
  <c r="AN19" i="5"/>
  <c r="AN31" i="5"/>
  <c r="AO16" i="7" l="1"/>
  <c r="AO18" i="7" s="1"/>
  <c r="AO20" i="7" s="1"/>
  <c r="AM26" i="5"/>
  <c r="AM28" i="5"/>
  <c r="AM30" i="5"/>
  <c r="AL32" i="5"/>
  <c r="AP15" i="7"/>
  <c r="AP14" i="7"/>
  <c r="AP19" i="7"/>
  <c r="AQ4" i="7"/>
  <c r="AP17" i="7"/>
  <c r="AN21" i="5"/>
  <c r="AN29" i="5"/>
  <c r="AP21" i="6"/>
  <c r="AP22" i="6"/>
  <c r="AP20" i="6"/>
  <c r="AP19" i="6"/>
  <c r="AP12" i="6"/>
  <c r="AQ4" i="6"/>
  <c r="AP16" i="6"/>
  <c r="AO25" i="5"/>
  <c r="AO24" i="5"/>
  <c r="AO22" i="5"/>
  <c r="AP4" i="5"/>
  <c r="AO20" i="5"/>
  <c r="AO27" i="5" s="1"/>
  <c r="AO19" i="5"/>
  <c r="AO31" i="5"/>
  <c r="AO35" i="8"/>
  <c r="AO34" i="8"/>
  <c r="AP4" i="8"/>
  <c r="AO24" i="8"/>
  <c r="AK20" i="8"/>
  <c r="AK33" i="5"/>
  <c r="U17" i="6"/>
  <c r="U24" i="6"/>
  <c r="AN27" i="5"/>
  <c r="U14" i="6"/>
  <c r="AN26" i="5" l="1"/>
  <c r="AN28" i="5"/>
  <c r="AN30" i="5"/>
  <c r="AQ21" i="6"/>
  <c r="AQ22" i="6"/>
  <c r="AQ20" i="6"/>
  <c r="AQ19" i="6"/>
  <c r="AR4" i="6"/>
  <c r="AQ12" i="6"/>
  <c r="AQ16" i="6"/>
  <c r="AQ15" i="7"/>
  <c r="AQ14" i="7"/>
  <c r="AQ19" i="7"/>
  <c r="AR4" i="7"/>
  <c r="AQ17" i="7"/>
  <c r="AP35" i="8"/>
  <c r="AP34" i="8"/>
  <c r="AQ4" i="8"/>
  <c r="AP24" i="8"/>
  <c r="AP16" i="7"/>
  <c r="AP18" i="7" s="1"/>
  <c r="AP20" i="7" s="1"/>
  <c r="U27" i="6"/>
  <c r="U20" i="6"/>
  <c r="U19" i="6"/>
  <c r="AO21" i="5"/>
  <c r="AO29" i="5"/>
  <c r="AP25" i="5"/>
  <c r="AP24" i="5"/>
  <c r="AP22" i="5"/>
  <c r="AQ4" i="5"/>
  <c r="AP20" i="5"/>
  <c r="AP19" i="5"/>
  <c r="AP31" i="5"/>
  <c r="AP27" i="5"/>
  <c r="AL20" i="8"/>
  <c r="AL33" i="5"/>
  <c r="U15" i="6"/>
  <c r="V13" i="6"/>
  <c r="V14" i="6" s="1"/>
  <c r="AM32" i="5"/>
  <c r="V15" i="6" l="1"/>
  <c r="W13" i="6"/>
  <c r="AO26" i="5"/>
  <c r="AO28" i="5"/>
  <c r="AO30" i="5"/>
  <c r="AR22" i="6"/>
  <c r="AR21" i="6"/>
  <c r="AR20" i="6"/>
  <c r="AR19" i="6"/>
  <c r="AR12" i="6"/>
  <c r="AS4" i="6"/>
  <c r="AR16" i="6"/>
  <c r="AR14" i="7"/>
  <c r="AR19" i="7"/>
  <c r="AS4" i="7"/>
  <c r="AR15" i="7"/>
  <c r="AR17" i="7"/>
  <c r="V17" i="6"/>
  <c r="V24" i="6"/>
  <c r="AP21" i="5"/>
  <c r="AP29" i="5"/>
  <c r="AQ25" i="5"/>
  <c r="AQ24" i="5"/>
  <c r="AQ22" i="5"/>
  <c r="AR4" i="5"/>
  <c r="AQ20" i="5"/>
  <c r="AQ19" i="5"/>
  <c r="AQ27" i="5"/>
  <c r="AQ31" i="5"/>
  <c r="AQ35" i="8"/>
  <c r="AQ34" i="8"/>
  <c r="AR4" i="8"/>
  <c r="AQ24" i="8"/>
  <c r="AM20" i="8"/>
  <c r="AM33" i="5"/>
  <c r="AQ16" i="7"/>
  <c r="AQ18" i="7" s="1"/>
  <c r="AQ20" i="7" s="1"/>
  <c r="AN32" i="5"/>
  <c r="AR16" i="7" l="1"/>
  <c r="AR18" i="7" s="1"/>
  <c r="AR20" i="7" s="1"/>
  <c r="AR34" i="8"/>
  <c r="AR35" i="8"/>
  <c r="AS4" i="8"/>
  <c r="AR24" i="8"/>
  <c r="AQ21" i="5"/>
  <c r="AQ29" i="5"/>
  <c r="AS19" i="7"/>
  <c r="AT4" i="7"/>
  <c r="AS17" i="7"/>
  <c r="AS15" i="7"/>
  <c r="AS14" i="7"/>
  <c r="V27" i="6"/>
  <c r="V19" i="6"/>
  <c r="V20" i="6"/>
  <c r="AO32" i="5"/>
  <c r="AN20" i="8"/>
  <c r="AN33" i="5"/>
  <c r="AP26" i="5"/>
  <c r="AP28" i="5"/>
  <c r="AP30" i="5"/>
  <c r="AS21" i="6"/>
  <c r="AS20" i="6"/>
  <c r="AS19" i="6"/>
  <c r="AS22" i="6"/>
  <c r="AS12" i="6"/>
  <c r="AT4" i="6"/>
  <c r="AS16" i="6"/>
  <c r="W17" i="6"/>
  <c r="W24" i="6"/>
  <c r="AR25" i="5"/>
  <c r="AR24" i="5"/>
  <c r="AR22" i="5"/>
  <c r="AS4" i="5"/>
  <c r="AR20" i="5"/>
  <c r="AR19" i="5"/>
  <c r="AR27" i="5" s="1"/>
  <c r="AR31" i="5"/>
  <c r="W14" i="6"/>
  <c r="AR21" i="5" l="1"/>
  <c r="AR29" i="5"/>
  <c r="AS25" i="5"/>
  <c r="AS22" i="5"/>
  <c r="AT4" i="5"/>
  <c r="AS20" i="5"/>
  <c r="AS19" i="5"/>
  <c r="AS24" i="5"/>
  <c r="AS31" i="5"/>
  <c r="AS27" i="5"/>
  <c r="AS34" i="8"/>
  <c r="AS35" i="8"/>
  <c r="AT4" i="8"/>
  <c r="AS24" i="8"/>
  <c r="AQ26" i="5"/>
  <c r="AQ28" i="5"/>
  <c r="AQ30" i="5"/>
  <c r="AS16" i="7"/>
  <c r="AS18" i="7" s="1"/>
  <c r="AS20" i="7" s="1"/>
  <c r="AO20" i="8"/>
  <c r="AO33" i="5"/>
  <c r="W27" i="6"/>
  <c r="W20" i="6"/>
  <c r="W19" i="6"/>
  <c r="AP32" i="5"/>
  <c r="AT19" i="7"/>
  <c r="AT17" i="7"/>
  <c r="AT14" i="7"/>
  <c r="AU4" i="7"/>
  <c r="AT15" i="7"/>
  <c r="AT16" i="7" s="1"/>
  <c r="W15" i="6"/>
  <c r="X13" i="6"/>
  <c r="AT20" i="6"/>
  <c r="AT19" i="6"/>
  <c r="AT22" i="6"/>
  <c r="AT21" i="6"/>
  <c r="AT12" i="6"/>
  <c r="AU4" i="6"/>
  <c r="AT16" i="6"/>
  <c r="AT18" i="7" l="1"/>
  <c r="AP20" i="8"/>
  <c r="AP33" i="5"/>
  <c r="X24" i="6"/>
  <c r="X17" i="6"/>
  <c r="AS21" i="5"/>
  <c r="AS29" i="5"/>
  <c r="AT35" i="8"/>
  <c r="AT34" i="8"/>
  <c r="AU4" i="8"/>
  <c r="AT24" i="8"/>
  <c r="AT25" i="5"/>
  <c r="AT22" i="5"/>
  <c r="AU4" i="5"/>
  <c r="AT20" i="5"/>
  <c r="AT19" i="5"/>
  <c r="AT24" i="5"/>
  <c r="AT31" i="5"/>
  <c r="AT20" i="7"/>
  <c r="AV4" i="7"/>
  <c r="AU19" i="7"/>
  <c r="AU17" i="7"/>
  <c r="AU15" i="7"/>
  <c r="AU16" i="7" s="1"/>
  <c r="AU18" i="7" s="1"/>
  <c r="AU20" i="7" s="1"/>
  <c r="AU14" i="7"/>
  <c r="AU22" i="6"/>
  <c r="AU21" i="6"/>
  <c r="AU20" i="6"/>
  <c r="AU19" i="6"/>
  <c r="AU12" i="6"/>
  <c r="AV4" i="6"/>
  <c r="AU16" i="6"/>
  <c r="AQ32" i="5"/>
  <c r="AR26" i="5"/>
  <c r="AR28" i="5"/>
  <c r="AR30" i="5"/>
  <c r="X14" i="6"/>
  <c r="AT21" i="5" l="1"/>
  <c r="AT29" i="5"/>
  <c r="AU25" i="5"/>
  <c r="AU24" i="5"/>
  <c r="AU22" i="5"/>
  <c r="AV4" i="5"/>
  <c r="AU20" i="5"/>
  <c r="AU27" i="5" s="1"/>
  <c r="AU19" i="5"/>
  <c r="AU31" i="5"/>
  <c r="AR32" i="5"/>
  <c r="AV20" i="6"/>
  <c r="AV19" i="6"/>
  <c r="AV22" i="6"/>
  <c r="AV21" i="6"/>
  <c r="AV12" i="6"/>
  <c r="AW4" i="6"/>
  <c r="AV16" i="6"/>
  <c r="AW4" i="7"/>
  <c r="AV19" i="7"/>
  <c r="AV17" i="7"/>
  <c r="AV15" i="7"/>
  <c r="AV14" i="7"/>
  <c r="AS26" i="5"/>
  <c r="AS28" i="5"/>
  <c r="AS30" i="5"/>
  <c r="X27" i="6"/>
  <c r="X20" i="6"/>
  <c r="X19" i="6"/>
  <c r="X15" i="6"/>
  <c r="Y13" i="6"/>
  <c r="AU35" i="8"/>
  <c r="AU34" i="8"/>
  <c r="AV4" i="8"/>
  <c r="AU24" i="8"/>
  <c r="AT27" i="5"/>
  <c r="AQ20" i="8"/>
  <c r="AQ33" i="5"/>
  <c r="AV16" i="7" l="1"/>
  <c r="AV18" i="7" s="1"/>
  <c r="AV20" i="7" s="1"/>
  <c r="Y17" i="6"/>
  <c r="Y24" i="6"/>
  <c r="AR20" i="8"/>
  <c r="AR33" i="5"/>
  <c r="AV35" i="8"/>
  <c r="AV34" i="8"/>
  <c r="AW4" i="8"/>
  <c r="AV24" i="8"/>
  <c r="AV24" i="5"/>
  <c r="AV22" i="5"/>
  <c r="AW4" i="5"/>
  <c r="AV20" i="5"/>
  <c r="AV19" i="5"/>
  <c r="AV25" i="5"/>
  <c r="AV31" i="5"/>
  <c r="AX4" i="7"/>
  <c r="AW19" i="7"/>
  <c r="AW17" i="7"/>
  <c r="AW15" i="7"/>
  <c r="AW14" i="7"/>
  <c r="AU21" i="5"/>
  <c r="AU29" i="5"/>
  <c r="Y14" i="6"/>
  <c r="AW12" i="6"/>
  <c r="AW21" i="6"/>
  <c r="AW22" i="6"/>
  <c r="AW20" i="6"/>
  <c r="AX4" i="6"/>
  <c r="AW19" i="6"/>
  <c r="AW16" i="6"/>
  <c r="AS32" i="5"/>
  <c r="AT26" i="5"/>
  <c r="AT28" i="5"/>
  <c r="AT30" i="5"/>
  <c r="AV27" i="5" l="1"/>
  <c r="AW35" i="8"/>
  <c r="AW34" i="8"/>
  <c r="AX4" i="8"/>
  <c r="AW24" i="8"/>
  <c r="AT32" i="5"/>
  <c r="AW25" i="5"/>
  <c r="AW20" i="5"/>
  <c r="AW19" i="5"/>
  <c r="AW27" i="5" s="1"/>
  <c r="AW24" i="5"/>
  <c r="AW22" i="5"/>
  <c r="AX4" i="5"/>
  <c r="AW31" i="5"/>
  <c r="AV21" i="5"/>
  <c r="AV29" i="5"/>
  <c r="AW16" i="7"/>
  <c r="AW18" i="7" s="1"/>
  <c r="AW20" i="7" s="1"/>
  <c r="AS20" i="8"/>
  <c r="AS33" i="5"/>
  <c r="AX21" i="6"/>
  <c r="AX20" i="6"/>
  <c r="AX19" i="6"/>
  <c r="AY4" i="6"/>
  <c r="AX12" i="6"/>
  <c r="AX22" i="6"/>
  <c r="AX16" i="6"/>
  <c r="AU26" i="5"/>
  <c r="AU28" i="5"/>
  <c r="AU30" i="5"/>
  <c r="Y15" i="6"/>
  <c r="Z13" i="6"/>
  <c r="AY4" i="7"/>
  <c r="AX19" i="7"/>
  <c r="AX17" i="7"/>
  <c r="AX15" i="7"/>
  <c r="AX14" i="7"/>
  <c r="Y27" i="6"/>
  <c r="Y20" i="6"/>
  <c r="Y19" i="6"/>
  <c r="AU32" i="5" l="1"/>
  <c r="AT20" i="8"/>
  <c r="AT33" i="5"/>
  <c r="AX16" i="7"/>
  <c r="AX18" i="7" s="1"/>
  <c r="AX20" i="7" s="1"/>
  <c r="AV26" i="5"/>
  <c r="AV28" i="5"/>
  <c r="AV30" i="5"/>
  <c r="AY21" i="6"/>
  <c r="AY20" i="6"/>
  <c r="AY19" i="6"/>
  <c r="AY22" i="6"/>
  <c r="AZ4" i="6"/>
  <c r="AY12" i="6"/>
  <c r="AY16" i="6"/>
  <c r="AX35" i="8"/>
  <c r="AX34" i="8"/>
  <c r="AY4" i="8"/>
  <c r="AX24" i="8"/>
  <c r="AY19" i="7"/>
  <c r="AY17" i="7"/>
  <c r="AY15" i="7"/>
  <c r="AY14" i="7"/>
  <c r="AZ4" i="7"/>
  <c r="AX24" i="5"/>
  <c r="AX25" i="5"/>
  <c r="AX22" i="5"/>
  <c r="AY4" i="5"/>
  <c r="AX20" i="5"/>
  <c r="AX19" i="5"/>
  <c r="AX27" i="5" s="1"/>
  <c r="AX31" i="5"/>
  <c r="Z24" i="6"/>
  <c r="Z17" i="6"/>
  <c r="Z14" i="6"/>
  <c r="AW21" i="5"/>
  <c r="AW29" i="5"/>
  <c r="AY16" i="7" l="1"/>
  <c r="AW26" i="5"/>
  <c r="AW28" i="5"/>
  <c r="AW30" i="5"/>
  <c r="Z27" i="6"/>
  <c r="Z19" i="6"/>
  <c r="Z20" i="6"/>
  <c r="AY35" i="8"/>
  <c r="AY34" i="8"/>
  <c r="AZ4" i="8"/>
  <c r="AY24" i="8"/>
  <c r="AY18" i="7"/>
  <c r="AY20" i="7" s="1"/>
  <c r="AV32" i="5"/>
  <c r="AZ21" i="6"/>
  <c r="AZ20" i="6"/>
  <c r="AZ19" i="6"/>
  <c r="AZ22" i="6"/>
  <c r="BA4" i="6"/>
  <c r="AZ12" i="6"/>
  <c r="AZ16" i="6"/>
  <c r="AY25" i="5"/>
  <c r="AY24" i="5"/>
  <c r="AY22" i="5"/>
  <c r="AZ4" i="5"/>
  <c r="AY20" i="5"/>
  <c r="AY19" i="5"/>
  <c r="AY31" i="5"/>
  <c r="Z15" i="6"/>
  <c r="AA13" i="6"/>
  <c r="AZ19" i="7"/>
  <c r="AZ17" i="7"/>
  <c r="AZ15" i="7"/>
  <c r="BA4" i="7"/>
  <c r="AZ14" i="7"/>
  <c r="AX21" i="5"/>
  <c r="AX29" i="5"/>
  <c r="AU20" i="8"/>
  <c r="AU33" i="5"/>
  <c r="AZ16" i="7" l="1"/>
  <c r="AZ18" i="7" s="1"/>
  <c r="AZ20" i="7" s="1"/>
  <c r="AX26" i="5"/>
  <c r="AX28" i="5"/>
  <c r="AX30" i="5"/>
  <c r="BA19" i="7"/>
  <c r="BA17" i="7"/>
  <c r="BA15" i="7"/>
  <c r="BA14" i="7"/>
  <c r="BB4" i="7"/>
  <c r="AA17" i="6"/>
  <c r="AA24" i="6"/>
  <c r="BA21" i="6"/>
  <c r="BA20" i="6"/>
  <c r="BA19" i="6"/>
  <c r="BA22" i="6"/>
  <c r="BA12" i="6"/>
  <c r="BB4" i="6"/>
  <c r="BA16" i="6"/>
  <c r="AZ34" i="8"/>
  <c r="AZ35" i="8"/>
  <c r="BA4" i="8"/>
  <c r="AZ24" i="8"/>
  <c r="AA14" i="6"/>
  <c r="AY21" i="5"/>
  <c r="AY29" i="5"/>
  <c r="AZ25" i="5"/>
  <c r="AZ24" i="5"/>
  <c r="AZ22" i="5"/>
  <c r="BA4" i="5"/>
  <c r="AZ20" i="5"/>
  <c r="AZ19" i="5"/>
  <c r="AZ31" i="5"/>
  <c r="AZ27" i="5"/>
  <c r="AV20" i="8"/>
  <c r="AV33" i="5"/>
  <c r="AY27" i="5"/>
  <c r="AW32" i="5"/>
  <c r="BA16" i="7" l="1"/>
  <c r="BA18" i="7" s="1"/>
  <c r="BA20" i="7" s="1"/>
  <c r="BA35" i="8"/>
  <c r="BA34" i="8"/>
  <c r="BB4" i="8"/>
  <c r="BA24" i="8"/>
  <c r="BB15" i="7"/>
  <c r="BB16" i="7" s="1"/>
  <c r="BB14" i="7"/>
  <c r="BC4" i="7"/>
  <c r="BB19" i="7"/>
  <c r="BB17" i="7"/>
  <c r="AB14" i="6"/>
  <c r="AA15" i="6"/>
  <c r="AB13" i="6"/>
  <c r="BB21" i="6"/>
  <c r="BB20" i="6"/>
  <c r="BB19" i="6"/>
  <c r="BB22" i="6"/>
  <c r="BC4" i="6"/>
  <c r="BB12" i="6"/>
  <c r="BB16" i="6"/>
  <c r="AX32" i="5"/>
  <c r="BA25" i="5"/>
  <c r="BA22" i="5"/>
  <c r="BB4" i="5"/>
  <c r="BA20" i="5"/>
  <c r="BA19" i="5"/>
  <c r="BA24" i="5"/>
  <c r="BA27" i="5"/>
  <c r="BA31" i="5"/>
  <c r="AZ21" i="5"/>
  <c r="AZ29" i="5"/>
  <c r="AA27" i="6"/>
  <c r="AA19" i="6"/>
  <c r="AA20" i="6"/>
  <c r="AW20" i="8"/>
  <c r="AW33" i="5"/>
  <c r="AY26" i="5"/>
  <c r="AY28" i="5"/>
  <c r="AY30" i="5"/>
  <c r="BB18" i="7" l="1"/>
  <c r="BB20" i="7" s="1"/>
  <c r="BB35" i="8"/>
  <c r="BB34" i="8"/>
  <c r="BC4" i="8"/>
  <c r="BB24" i="8"/>
  <c r="BA21" i="5"/>
  <c r="BA29" i="5"/>
  <c r="BB25" i="5"/>
  <c r="BB22" i="5"/>
  <c r="BC4" i="5"/>
  <c r="BB20" i="5"/>
  <c r="BB27" i="5" s="1"/>
  <c r="BB19" i="5"/>
  <c r="BB24" i="5"/>
  <c r="BB31" i="5"/>
  <c r="AB17" i="6"/>
  <c r="AB24" i="6"/>
  <c r="AB15" i="6"/>
  <c r="AC13" i="6"/>
  <c r="AY32" i="5"/>
  <c r="AX20" i="8"/>
  <c r="AX33" i="5"/>
  <c r="AZ26" i="5"/>
  <c r="AZ28" i="5"/>
  <c r="AZ30" i="5"/>
  <c r="BC21" i="6"/>
  <c r="BC20" i="6"/>
  <c r="BC19" i="6"/>
  <c r="BC22" i="6"/>
  <c r="BC12" i="6"/>
  <c r="BD4" i="6"/>
  <c r="BC16" i="6"/>
  <c r="BC15" i="7"/>
  <c r="BC14" i="7"/>
  <c r="BD4" i="7"/>
  <c r="BC19" i="7"/>
  <c r="BC17" i="7"/>
  <c r="BC35" i="8" l="1"/>
  <c r="BC34" i="8"/>
  <c r="BD4" i="8"/>
  <c r="BC24" i="8"/>
  <c r="BA26" i="5"/>
  <c r="BA28" i="5"/>
  <c r="BA30" i="5"/>
  <c r="AZ32" i="5"/>
  <c r="AY20" i="8"/>
  <c r="AY33" i="5"/>
  <c r="BC25" i="5"/>
  <c r="BC24" i="5"/>
  <c r="BC22" i="5"/>
  <c r="BD4" i="5"/>
  <c r="BC20" i="5"/>
  <c r="BC19" i="5"/>
  <c r="BC27" i="5"/>
  <c r="BC31" i="5"/>
  <c r="BD14" i="7"/>
  <c r="BE4" i="7"/>
  <c r="BD15" i="7"/>
  <c r="BD16" i="7" s="1"/>
  <c r="BD19" i="7"/>
  <c r="BD17" i="7"/>
  <c r="AB27" i="6"/>
  <c r="AB19" i="6"/>
  <c r="AB20" i="6"/>
  <c r="BD22" i="6"/>
  <c r="BD21" i="6"/>
  <c r="BD20" i="6"/>
  <c r="BD19" i="6"/>
  <c r="BE4" i="6"/>
  <c r="BD12" i="6"/>
  <c r="BD16" i="6"/>
  <c r="BC16" i="7"/>
  <c r="BC18" i="7" s="1"/>
  <c r="BC20" i="7" s="1"/>
  <c r="BB21" i="5"/>
  <c r="BB29" i="5"/>
  <c r="AC17" i="6"/>
  <c r="AC24" i="6"/>
  <c r="AC14" i="6"/>
  <c r="BA32" i="5" l="1"/>
  <c r="BD34" i="8"/>
  <c r="BD35" i="8"/>
  <c r="BE4" i="8"/>
  <c r="BD24" i="8"/>
  <c r="BB26" i="5"/>
  <c r="BB28" i="5"/>
  <c r="BB30" i="5"/>
  <c r="AC27" i="6"/>
  <c r="AC20" i="6"/>
  <c r="AC19" i="6"/>
  <c r="BC21" i="5"/>
  <c r="BC29" i="5"/>
  <c r="BD18" i="7"/>
  <c r="BD20" i="7" s="1"/>
  <c r="BD25" i="5"/>
  <c r="BD24" i="5"/>
  <c r="BD22" i="5"/>
  <c r="BE4" i="5"/>
  <c r="BD20" i="5"/>
  <c r="BD19" i="5"/>
  <c r="BD27" i="5"/>
  <c r="BD31" i="5"/>
  <c r="BE21" i="6"/>
  <c r="BE20" i="6"/>
  <c r="BE19" i="6"/>
  <c r="BE22" i="6"/>
  <c r="BF4" i="6"/>
  <c r="BE12" i="6"/>
  <c r="BE16" i="6"/>
  <c r="BE19" i="7"/>
  <c r="BF4" i="7"/>
  <c r="BE17" i="7"/>
  <c r="BE15" i="7"/>
  <c r="BE14" i="7"/>
  <c r="AZ20" i="8"/>
  <c r="AZ33" i="5"/>
  <c r="AC15" i="6"/>
  <c r="AD13" i="6"/>
  <c r="BB32" i="5" l="1"/>
  <c r="BB20" i="8"/>
  <c r="BE16" i="7"/>
  <c r="BE18" i="7" s="1"/>
  <c r="BE20" i="7" s="1"/>
  <c r="BE34" i="8"/>
  <c r="BE35" i="8"/>
  <c r="BF4" i="8"/>
  <c r="BE24" i="8"/>
  <c r="BF17" i="7"/>
  <c r="BF19" i="7"/>
  <c r="BF14" i="7"/>
  <c r="BG4" i="7"/>
  <c r="BF15" i="7"/>
  <c r="BF16" i="7" s="1"/>
  <c r="BF18" i="7" s="1"/>
  <c r="BF20" i="7" s="1"/>
  <c r="BC26" i="5"/>
  <c r="BC28" i="5"/>
  <c r="BC30" i="5"/>
  <c r="BD21" i="5"/>
  <c r="BD29" i="5"/>
  <c r="AD24" i="6"/>
  <c r="AD17" i="6"/>
  <c r="BF20" i="6"/>
  <c r="BF19" i="6"/>
  <c r="BF22" i="6"/>
  <c r="BF21" i="6"/>
  <c r="BG4" i="6"/>
  <c r="BF12" i="6"/>
  <c r="BF16" i="6"/>
  <c r="BE25" i="5"/>
  <c r="BE24" i="5"/>
  <c r="BE22" i="5"/>
  <c r="BF4" i="5"/>
  <c r="BE20" i="5"/>
  <c r="BE19" i="5"/>
  <c r="BE31" i="5"/>
  <c r="BE27" i="5"/>
  <c r="AD14" i="6"/>
  <c r="BA20" i="8"/>
  <c r="BA33" i="5"/>
  <c r="BB33" i="5" s="1"/>
  <c r="BF34" i="8" l="1"/>
  <c r="BF35" i="8"/>
  <c r="BG4" i="8"/>
  <c r="BF24" i="8"/>
  <c r="BD26" i="5"/>
  <c r="BD28" i="5"/>
  <c r="BD30" i="5"/>
  <c r="BG22" i="6"/>
  <c r="BG21" i="6"/>
  <c r="BG20" i="6"/>
  <c r="BG19" i="6"/>
  <c r="BH4" i="6"/>
  <c r="BG12" i="6"/>
  <c r="BG16" i="6"/>
  <c r="BE21" i="5"/>
  <c r="BE29" i="5"/>
  <c r="BH4" i="7"/>
  <c r="BG17" i="7"/>
  <c r="BG19" i="7"/>
  <c r="BG15" i="7"/>
  <c r="BG16" i="7" s="1"/>
  <c r="BG14" i="7"/>
  <c r="AD15" i="6"/>
  <c r="AE13" i="6"/>
  <c r="BF25" i="5"/>
  <c r="BF24" i="5"/>
  <c r="BF22" i="5"/>
  <c r="BG4" i="5"/>
  <c r="BF20" i="5"/>
  <c r="BF27" i="5" s="1"/>
  <c r="BF19" i="5"/>
  <c r="BF31" i="5"/>
  <c r="AD27" i="6"/>
  <c r="AD19" i="6"/>
  <c r="AD20" i="6"/>
  <c r="BC32" i="5"/>
  <c r="BE26" i="5" l="1"/>
  <c r="BE28" i="5"/>
  <c r="BE30" i="5"/>
  <c r="BD32" i="5"/>
  <c r="BC20" i="8"/>
  <c r="BC33" i="5"/>
  <c r="AE24" i="6"/>
  <c r="AE17" i="6"/>
  <c r="BH22" i="6"/>
  <c r="BH20" i="6"/>
  <c r="BH19" i="6"/>
  <c r="BH21" i="6"/>
  <c r="BI4" i="6"/>
  <c r="BH12" i="6"/>
  <c r="BH16" i="6"/>
  <c r="AE14" i="6"/>
  <c r="BG34" i="8"/>
  <c r="BG35" i="8"/>
  <c r="BH4" i="8"/>
  <c r="BG24" i="8"/>
  <c r="BG18" i="7"/>
  <c r="BG20" i="7" s="1"/>
  <c r="BF21" i="5"/>
  <c r="BF29" i="5"/>
  <c r="BG25" i="5"/>
  <c r="BG24" i="5"/>
  <c r="BG22" i="5"/>
  <c r="BH4" i="5"/>
  <c r="BG20" i="5"/>
  <c r="BG19" i="5"/>
  <c r="BG31" i="5"/>
  <c r="BG27" i="5"/>
  <c r="BI4" i="7"/>
  <c r="BH17" i="7"/>
  <c r="BH19" i="7"/>
  <c r="BH15" i="7"/>
  <c r="BH14" i="7"/>
  <c r="BH16" i="7" l="1"/>
  <c r="BH18" i="7" s="1"/>
  <c r="BH20" i="7" s="1"/>
  <c r="BF26" i="5"/>
  <c r="BF28" i="5"/>
  <c r="BF30" i="5"/>
  <c r="BJ4" i="7"/>
  <c r="BI17" i="7"/>
  <c r="BI19" i="7"/>
  <c r="BI15" i="7"/>
  <c r="BI14" i="7"/>
  <c r="AE15" i="6"/>
  <c r="AF13" i="6"/>
  <c r="AE27" i="6"/>
  <c r="AE20" i="6"/>
  <c r="AE19" i="6"/>
  <c r="BG21" i="5"/>
  <c r="BG29" i="5"/>
  <c r="BD20" i="8"/>
  <c r="BD33" i="5"/>
  <c r="BH35" i="8"/>
  <c r="BI4" i="8"/>
  <c r="BH34" i="8"/>
  <c r="BH24" i="8"/>
  <c r="BI12" i="6"/>
  <c r="BI21" i="6"/>
  <c r="BI22" i="6"/>
  <c r="BJ4" i="6"/>
  <c r="BI19" i="6"/>
  <c r="BI20" i="6"/>
  <c r="BI16" i="6"/>
  <c r="BH24" i="5"/>
  <c r="BH22" i="5"/>
  <c r="BI4" i="5"/>
  <c r="BH20" i="5"/>
  <c r="BH19" i="5"/>
  <c r="BH25" i="5"/>
  <c r="BH27" i="5"/>
  <c r="BH31" i="5"/>
  <c r="BE32" i="5"/>
  <c r="AF17" i="6" l="1"/>
  <c r="AF24" i="6"/>
  <c r="AF14" i="6"/>
  <c r="BH21" i="5"/>
  <c r="BH29" i="5"/>
  <c r="BI16" i="7"/>
  <c r="BI18" i="7" s="1"/>
  <c r="BI20" i="7" s="1"/>
  <c r="BI22" i="5"/>
  <c r="BI25" i="5"/>
  <c r="BI20" i="5"/>
  <c r="BI19" i="5"/>
  <c r="BI24" i="5"/>
  <c r="BJ4" i="5"/>
  <c r="BI31" i="5"/>
  <c r="BJ21" i="6"/>
  <c r="BJ20" i="6"/>
  <c r="BJ19" i="6"/>
  <c r="BJ22" i="6"/>
  <c r="BK4" i="6"/>
  <c r="BJ12" i="6"/>
  <c r="BJ16" i="6"/>
  <c r="BK4" i="7"/>
  <c r="BJ17" i="7"/>
  <c r="BJ19" i="7"/>
  <c r="BJ15" i="7"/>
  <c r="BJ14" i="7"/>
  <c r="BG26" i="5"/>
  <c r="BG28" i="5"/>
  <c r="BG30" i="5"/>
  <c r="BE20" i="8"/>
  <c r="BE33" i="5"/>
  <c r="BI35" i="8"/>
  <c r="BI34" i="8"/>
  <c r="BJ4" i="8"/>
  <c r="BI24" i="8"/>
  <c r="BF32" i="5"/>
  <c r="BK21" i="6" l="1"/>
  <c r="BK20" i="6"/>
  <c r="BK19" i="6"/>
  <c r="BL4" i="6"/>
  <c r="BK12" i="6"/>
  <c r="BK22" i="6"/>
  <c r="BK16" i="6"/>
  <c r="BI21" i="5"/>
  <c r="BI29" i="5"/>
  <c r="BG32" i="5"/>
  <c r="BJ16" i="7"/>
  <c r="BJ18" i="7" s="1"/>
  <c r="BJ20" i="7" s="1"/>
  <c r="BH26" i="5"/>
  <c r="BH28" i="5"/>
  <c r="BH30" i="5"/>
  <c r="BJ35" i="8"/>
  <c r="BK4" i="8"/>
  <c r="BJ34" i="8"/>
  <c r="BJ24" i="8"/>
  <c r="BK19" i="7"/>
  <c r="BK17" i="7"/>
  <c r="BK15" i="7"/>
  <c r="BK14" i="7"/>
  <c r="BL4" i="7"/>
  <c r="BI27" i="5"/>
  <c r="AF15" i="6"/>
  <c r="AG13" i="6"/>
  <c r="BJ25" i="5"/>
  <c r="BJ24" i="5"/>
  <c r="BK4" i="5"/>
  <c r="BJ22" i="5"/>
  <c r="BJ20" i="5"/>
  <c r="BJ19" i="5"/>
  <c r="BJ31" i="5"/>
  <c r="BJ27" i="5"/>
  <c r="AF27" i="6"/>
  <c r="AF20" i="6"/>
  <c r="AF19" i="6"/>
  <c r="BF20" i="8"/>
  <c r="BF33" i="5"/>
  <c r="AG17" i="6" l="1"/>
  <c r="AG24" i="6"/>
  <c r="BG20" i="8"/>
  <c r="BG33" i="5"/>
  <c r="BK35" i="8"/>
  <c r="BK34" i="8"/>
  <c r="BL4" i="8"/>
  <c r="BK24" i="8"/>
  <c r="AG14" i="6"/>
  <c r="BL19" i="7"/>
  <c r="BL17" i="7"/>
  <c r="BL15" i="7"/>
  <c r="BM4" i="7"/>
  <c r="BL14" i="7"/>
  <c r="BK16" i="7"/>
  <c r="BK18" i="7" s="1"/>
  <c r="BK20" i="7" s="1"/>
  <c r="BL21" i="6"/>
  <c r="BL20" i="6"/>
  <c r="BL19" i="6"/>
  <c r="BL22" i="6"/>
  <c r="BM4" i="6"/>
  <c r="BL12" i="6"/>
  <c r="BL16" i="6"/>
  <c r="BJ21" i="5"/>
  <c r="BJ29" i="5"/>
  <c r="BI26" i="5"/>
  <c r="BI28" i="5"/>
  <c r="BI30" i="5"/>
  <c r="BK25" i="5"/>
  <c r="BK24" i="5"/>
  <c r="BL4" i="5"/>
  <c r="BK22" i="5"/>
  <c r="BK20" i="5"/>
  <c r="BK19" i="5"/>
  <c r="BK31" i="5"/>
  <c r="BK27" i="5"/>
  <c r="BH32" i="5"/>
  <c r="BL34" i="8" l="1"/>
  <c r="BL35" i="8"/>
  <c r="BM4" i="8"/>
  <c r="BL24" i="8"/>
  <c r="BJ26" i="5"/>
  <c r="BJ28" i="5"/>
  <c r="BJ30" i="5"/>
  <c r="BL16" i="7"/>
  <c r="BL18" i="7" s="1"/>
  <c r="BL20" i="7" s="1"/>
  <c r="BM17" i="7"/>
  <c r="BM15" i="7"/>
  <c r="BM19" i="7"/>
  <c r="BM14" i="7"/>
  <c r="BN4" i="7"/>
  <c r="BK21" i="5"/>
  <c r="BK29" i="5"/>
  <c r="BM21" i="6"/>
  <c r="BM20" i="6"/>
  <c r="BM19" i="6"/>
  <c r="BM22" i="6"/>
  <c r="BM12" i="6"/>
  <c r="BN4" i="6"/>
  <c r="BM16" i="6"/>
  <c r="BL25" i="5"/>
  <c r="BL24" i="5"/>
  <c r="BM4" i="5"/>
  <c r="BL22" i="5"/>
  <c r="BL20" i="5"/>
  <c r="BL19" i="5"/>
  <c r="BL31" i="5"/>
  <c r="AG15" i="6"/>
  <c r="AH13" i="6"/>
  <c r="BH20" i="8"/>
  <c r="BH33" i="5"/>
  <c r="BI32" i="5"/>
  <c r="AG27" i="6"/>
  <c r="AG20" i="6"/>
  <c r="AG19" i="6"/>
  <c r="BJ32" i="5" l="1"/>
  <c r="BL21" i="5"/>
  <c r="BL29" i="5"/>
  <c r="BM35" i="8"/>
  <c r="BM34" i="8"/>
  <c r="BN4" i="8"/>
  <c r="BM24" i="8"/>
  <c r="BI20" i="8"/>
  <c r="BI33" i="5"/>
  <c r="BN15" i="7"/>
  <c r="BN19" i="7"/>
  <c r="BN14" i="7"/>
  <c r="BO4" i="7"/>
  <c r="BN17" i="7"/>
  <c r="BM25" i="5"/>
  <c r="BM24" i="5"/>
  <c r="BN4" i="5"/>
  <c r="BM22" i="5"/>
  <c r="BM20" i="5"/>
  <c r="BM19" i="5"/>
  <c r="BM31" i="5"/>
  <c r="BM27" i="5"/>
  <c r="BK26" i="5"/>
  <c r="BK28" i="5"/>
  <c r="BK30" i="5"/>
  <c r="BN21" i="6"/>
  <c r="BN20" i="6"/>
  <c r="BN19" i="6"/>
  <c r="BN22" i="6"/>
  <c r="BN12" i="6"/>
  <c r="BO4" i="6"/>
  <c r="BN16" i="6"/>
  <c r="AH17" i="6"/>
  <c r="AH24" i="6"/>
  <c r="AH14" i="6"/>
  <c r="BM16" i="7"/>
  <c r="BM18" i="7" s="1"/>
  <c r="BM20" i="7" s="1"/>
  <c r="BL27" i="5"/>
  <c r="BN25" i="5" l="1"/>
  <c r="BN24" i="5"/>
  <c r="BO4" i="5"/>
  <c r="BN22" i="5"/>
  <c r="BN20" i="5"/>
  <c r="BN19" i="5"/>
  <c r="BN31" i="5"/>
  <c r="BN27" i="5"/>
  <c r="BN35" i="8"/>
  <c r="BN34" i="8"/>
  <c r="BO4" i="8"/>
  <c r="BN24" i="8"/>
  <c r="AH15" i="6"/>
  <c r="AI13" i="6"/>
  <c r="AI14" i="6" s="1"/>
  <c r="BO15" i="7"/>
  <c r="BO19" i="7"/>
  <c r="BO14" i="7"/>
  <c r="BP4" i="7"/>
  <c r="BO17" i="7"/>
  <c r="BK32" i="5"/>
  <c r="AH27" i="6"/>
  <c r="AH20" i="6"/>
  <c r="AH19" i="6"/>
  <c r="BN16" i="7"/>
  <c r="BN18" i="7" s="1"/>
  <c r="BN20" i="7" s="1"/>
  <c r="BO21" i="6"/>
  <c r="BO20" i="6"/>
  <c r="BO19" i="6"/>
  <c r="BO22" i="6"/>
  <c r="BO12" i="6"/>
  <c r="BP4" i="6"/>
  <c r="BO16" i="6"/>
  <c r="BM21" i="5"/>
  <c r="BM29" i="5"/>
  <c r="BL26" i="5"/>
  <c r="BL28" i="5"/>
  <c r="BL30" i="5"/>
  <c r="BJ20" i="8"/>
  <c r="BJ33" i="5"/>
  <c r="BO16" i="7" l="1"/>
  <c r="BO18" i="7" s="1"/>
  <c r="BO20" i="7" s="1"/>
  <c r="AI15" i="6"/>
  <c r="AJ13" i="6"/>
  <c r="BL32" i="5"/>
  <c r="BO35" i="8"/>
  <c r="BO34" i="8"/>
  <c r="BP4" i="8"/>
  <c r="BO24" i="8"/>
  <c r="BP22" i="6"/>
  <c r="BP21" i="6"/>
  <c r="BP20" i="6"/>
  <c r="BP19" i="6"/>
  <c r="BQ4" i="6"/>
  <c r="BP12" i="6"/>
  <c r="BP16" i="6"/>
  <c r="BK20" i="8"/>
  <c r="BK33" i="5"/>
  <c r="BN21" i="5"/>
  <c r="BN29" i="5"/>
  <c r="BO25" i="5"/>
  <c r="BO24" i="5"/>
  <c r="BP4" i="5"/>
  <c r="BO22" i="5"/>
  <c r="BO20" i="5"/>
  <c r="BO19" i="5"/>
  <c r="BO31" i="5"/>
  <c r="BM26" i="5"/>
  <c r="BM28" i="5"/>
  <c r="BM30" i="5"/>
  <c r="BP19" i="7"/>
  <c r="BP14" i="7"/>
  <c r="BQ4" i="7"/>
  <c r="BP15" i="7"/>
  <c r="BP16" i="7" s="1"/>
  <c r="BP17" i="7"/>
  <c r="AI17" i="6"/>
  <c r="AI24" i="6"/>
  <c r="BP18" i="7" l="1"/>
  <c r="BP20" i="7" s="1"/>
  <c r="BO27" i="5"/>
  <c r="BO21" i="5"/>
  <c r="BO29" i="5"/>
  <c r="BQ21" i="6"/>
  <c r="BQ20" i="6"/>
  <c r="BQ19" i="6"/>
  <c r="BQ22" i="6"/>
  <c r="BR4" i="6"/>
  <c r="BQ12" i="6"/>
  <c r="BQ16" i="6"/>
  <c r="BQ19" i="7"/>
  <c r="BR4" i="7"/>
  <c r="BQ17" i="7"/>
  <c r="BQ15" i="7"/>
  <c r="BQ14" i="7"/>
  <c r="BL20" i="8"/>
  <c r="BL33" i="5"/>
  <c r="AJ24" i="6"/>
  <c r="AJ17" i="6"/>
  <c r="BP25" i="5"/>
  <c r="BP24" i="5"/>
  <c r="BQ4" i="5"/>
  <c r="BP22" i="5"/>
  <c r="BP20" i="5"/>
  <c r="BP19" i="5"/>
  <c r="BP27" i="5"/>
  <c r="BP31" i="5"/>
  <c r="BN26" i="5"/>
  <c r="BN28" i="5"/>
  <c r="BN30" i="5"/>
  <c r="BM32" i="5"/>
  <c r="BP34" i="8"/>
  <c r="BP35" i="8"/>
  <c r="BQ4" i="8"/>
  <c r="BP24" i="8"/>
  <c r="AI27" i="6"/>
  <c r="AI19" i="6"/>
  <c r="AJ14" i="6"/>
  <c r="BR20" i="6" l="1"/>
  <c r="BR19" i="6"/>
  <c r="BR22" i="6"/>
  <c r="BR21" i="6"/>
  <c r="BS4" i="6"/>
  <c r="BR12" i="6"/>
  <c r="BR16" i="6"/>
  <c r="BM20" i="8"/>
  <c r="BM33" i="5"/>
  <c r="BN32" i="5"/>
  <c r="BQ16" i="7"/>
  <c r="BQ18" i="7" s="1"/>
  <c r="BQ20" i="7" s="1"/>
  <c r="AJ27" i="6"/>
  <c r="AJ23" i="6"/>
  <c r="BQ34" i="8"/>
  <c r="BQ35" i="8"/>
  <c r="BR4" i="8"/>
  <c r="BQ24" i="8"/>
  <c r="BP21" i="5"/>
  <c r="BP29" i="5"/>
  <c r="BR17" i="7"/>
  <c r="BR14" i="7"/>
  <c r="BR19" i="7"/>
  <c r="BS4" i="7"/>
  <c r="BR15" i="7"/>
  <c r="BR16" i="7" s="1"/>
  <c r="BR18" i="7" s="1"/>
  <c r="BR20" i="7" s="1"/>
  <c r="AJ15" i="6"/>
  <c r="AK13" i="6"/>
  <c r="AK14" i="6" s="1"/>
  <c r="BQ25" i="5"/>
  <c r="BQ24" i="5"/>
  <c r="BR4" i="5"/>
  <c r="BQ22" i="5"/>
  <c r="BQ20" i="5"/>
  <c r="BQ19" i="5"/>
  <c r="BQ31" i="5"/>
  <c r="BQ27" i="5"/>
  <c r="BO26" i="5"/>
  <c r="BO28" i="5"/>
  <c r="BO30" i="5"/>
  <c r="BQ21" i="5" l="1"/>
  <c r="BQ29" i="5"/>
  <c r="BS22" i="6"/>
  <c r="BS21" i="6"/>
  <c r="BS20" i="6"/>
  <c r="BS19" i="6"/>
  <c r="BT4" i="6"/>
  <c r="BS12" i="6"/>
  <c r="BS16" i="6"/>
  <c r="BT4" i="7"/>
  <c r="BS17" i="7"/>
  <c r="BS15" i="7"/>
  <c r="BS19" i="7"/>
  <c r="BS14" i="7"/>
  <c r="BR25" i="5"/>
  <c r="BR24" i="5"/>
  <c r="BS4" i="5"/>
  <c r="BR22" i="5"/>
  <c r="BR20" i="5"/>
  <c r="BR19" i="5"/>
  <c r="BR31" i="5"/>
  <c r="AK15" i="6"/>
  <c r="AL13" i="6"/>
  <c r="BP26" i="5"/>
  <c r="BP28" i="5"/>
  <c r="BP30" i="5"/>
  <c r="AK24" i="6"/>
  <c r="AK17" i="6"/>
  <c r="BN20" i="8"/>
  <c r="BN33" i="5"/>
  <c r="BO32" i="5"/>
  <c r="BR34" i="8"/>
  <c r="BR35" i="8"/>
  <c r="BS4" i="8"/>
  <c r="BR24" i="8"/>
  <c r="BS25" i="5" l="1"/>
  <c r="BS24" i="5"/>
  <c r="BT4" i="5"/>
  <c r="BS22" i="5"/>
  <c r="BS20" i="5"/>
  <c r="BS19" i="5"/>
  <c r="BS31" i="5"/>
  <c r="BS27" i="5"/>
  <c r="BS34" i="8"/>
  <c r="BS35" i="8"/>
  <c r="BT4" i="8"/>
  <c r="BS24" i="8"/>
  <c r="BT22" i="6"/>
  <c r="BT20" i="6"/>
  <c r="BT19" i="6"/>
  <c r="BT21" i="6"/>
  <c r="BU4" i="6"/>
  <c r="BT12" i="6"/>
  <c r="BT16" i="6"/>
  <c r="BP32" i="5"/>
  <c r="AK27" i="6"/>
  <c r="AK23" i="6"/>
  <c r="AK25" i="6" s="1"/>
  <c r="AL24" i="6"/>
  <c r="AL17" i="6"/>
  <c r="BS16" i="7"/>
  <c r="BS18" i="7" s="1"/>
  <c r="BS20" i="7" s="1"/>
  <c r="BR21" i="5"/>
  <c r="BR29" i="5"/>
  <c r="BO20" i="8"/>
  <c r="BO33" i="5"/>
  <c r="AL14" i="6"/>
  <c r="BQ26" i="5"/>
  <c r="BQ28" i="5"/>
  <c r="BQ30" i="5"/>
  <c r="BR27" i="5"/>
  <c r="BU4" i="7"/>
  <c r="BT17" i="7"/>
  <c r="BT15" i="7"/>
  <c r="BT14" i="7"/>
  <c r="BT19" i="7"/>
  <c r="BR26" i="5" l="1"/>
  <c r="BR28" i="5"/>
  <c r="BR30" i="5"/>
  <c r="AL27" i="6"/>
  <c r="AL23" i="6"/>
  <c r="AL25" i="6" s="1"/>
  <c r="BT16" i="7"/>
  <c r="BT18" i="7" s="1"/>
  <c r="BT20" i="7" s="1"/>
  <c r="AK23" i="8"/>
  <c r="AK29" i="6"/>
  <c r="BQ32" i="5"/>
  <c r="BP20" i="8"/>
  <c r="BP33" i="5"/>
  <c r="BS21" i="5"/>
  <c r="BS29" i="5"/>
  <c r="AL15" i="6"/>
  <c r="AM13" i="6"/>
  <c r="BV4" i="7"/>
  <c r="BU17" i="7"/>
  <c r="BU15" i="7"/>
  <c r="BU14" i="7"/>
  <c r="BU19" i="7"/>
  <c r="BT35" i="8"/>
  <c r="BT34" i="8"/>
  <c r="BU4" i="8"/>
  <c r="BT24" i="8"/>
  <c r="BT24" i="5"/>
  <c r="BU4" i="5"/>
  <c r="BT22" i="5"/>
  <c r="BT20" i="5"/>
  <c r="BT19" i="5"/>
  <c r="BT25" i="5"/>
  <c r="BT27" i="5"/>
  <c r="BT31" i="5"/>
  <c r="BU22" i="6"/>
  <c r="BU12" i="6"/>
  <c r="BU21" i="6"/>
  <c r="BV4" i="6"/>
  <c r="BU19" i="6"/>
  <c r="BU20" i="6"/>
  <c r="BU16" i="6"/>
  <c r="BV21" i="6" l="1"/>
  <c r="BV20" i="6"/>
  <c r="BV19" i="6"/>
  <c r="BV22" i="6"/>
  <c r="BW4" i="6"/>
  <c r="BV12" i="6"/>
  <c r="BV16" i="6"/>
  <c r="BU16" i="7"/>
  <c r="BU18" i="7" s="1"/>
  <c r="BU20" i="7" s="1"/>
  <c r="BU35" i="8"/>
  <c r="BU34" i="8"/>
  <c r="BV4" i="8"/>
  <c r="BU24" i="8"/>
  <c r="AM24" i="6"/>
  <c r="AM17" i="6"/>
  <c r="AL23" i="8"/>
  <c r="AL29" i="6"/>
  <c r="BU22" i="5"/>
  <c r="BU25" i="5"/>
  <c r="BU20" i="5"/>
  <c r="BU19" i="5"/>
  <c r="BU24" i="5"/>
  <c r="BV4" i="5"/>
  <c r="BU27" i="5"/>
  <c r="BU31" i="5"/>
  <c r="BW4" i="7"/>
  <c r="BV17" i="7"/>
  <c r="BV15" i="7"/>
  <c r="BV14" i="7"/>
  <c r="BV19" i="7"/>
  <c r="AM14" i="6"/>
  <c r="BT21" i="5"/>
  <c r="BT29" i="5"/>
  <c r="BQ20" i="8"/>
  <c r="BQ33" i="5"/>
  <c r="BS26" i="5"/>
  <c r="BS28" i="5"/>
  <c r="BS30" i="5"/>
  <c r="BR32" i="5"/>
  <c r="BV16" i="7" l="1"/>
  <c r="BV18" i="7" s="1"/>
  <c r="BS32" i="5"/>
  <c r="BV35" i="8"/>
  <c r="BV34" i="8"/>
  <c r="BW4" i="8"/>
  <c r="BV24" i="8"/>
  <c r="BW21" i="6"/>
  <c r="BW20" i="6"/>
  <c r="BW19" i="6"/>
  <c r="BW22" i="6"/>
  <c r="BX4" i="6"/>
  <c r="BW12" i="6"/>
  <c r="BW16" i="6"/>
  <c r="BV22" i="5"/>
  <c r="BV24" i="5"/>
  <c r="BV25" i="5"/>
  <c r="BW4" i="5"/>
  <c r="BV20" i="5"/>
  <c r="BV19" i="5"/>
  <c r="BV31" i="5"/>
  <c r="BV27" i="5"/>
  <c r="BU21" i="5"/>
  <c r="BU29" i="5"/>
  <c r="BW19" i="7"/>
  <c r="BW17" i="7"/>
  <c r="BW15" i="7"/>
  <c r="BW14" i="7"/>
  <c r="BX4" i="7"/>
  <c r="AM15" i="6"/>
  <c r="AN13" i="6"/>
  <c r="AN14" i="6" s="1"/>
  <c r="AM27" i="6"/>
  <c r="AM23" i="6"/>
  <c r="AM25" i="6" s="1"/>
  <c r="BT26" i="5"/>
  <c r="BT28" i="5"/>
  <c r="BT30" i="5"/>
  <c r="BR20" i="8"/>
  <c r="BR33" i="5"/>
  <c r="BV20" i="7"/>
  <c r="BW16" i="7" l="1"/>
  <c r="BW18" i="7" s="1"/>
  <c r="BW20" i="7" s="1"/>
  <c r="AN15" i="6"/>
  <c r="AO13" i="6"/>
  <c r="BW35" i="8"/>
  <c r="BW34" i="8"/>
  <c r="BX4" i="8"/>
  <c r="BW24" i="8"/>
  <c r="BX21" i="6"/>
  <c r="BX20" i="6"/>
  <c r="BX19" i="6"/>
  <c r="BY4" i="6"/>
  <c r="BX12" i="6"/>
  <c r="BX22" i="6"/>
  <c r="BX16" i="6"/>
  <c r="BU26" i="5"/>
  <c r="BU28" i="5"/>
  <c r="BU30" i="5"/>
  <c r="AM23" i="8"/>
  <c r="AM29" i="6"/>
  <c r="BT32" i="5"/>
  <c r="AN24" i="6"/>
  <c r="AN17" i="6"/>
  <c r="BV21" i="5"/>
  <c r="BV29" i="5"/>
  <c r="BX19" i="7"/>
  <c r="BX17" i="7"/>
  <c r="BX15" i="7"/>
  <c r="BY4" i="7"/>
  <c r="BX14" i="7"/>
  <c r="BW25" i="5"/>
  <c r="BW24" i="5"/>
  <c r="BX4" i="5"/>
  <c r="BW20" i="5"/>
  <c r="BW19" i="5"/>
  <c r="BW22" i="5"/>
  <c r="BW31" i="5"/>
  <c r="BS20" i="8"/>
  <c r="BS33" i="5"/>
  <c r="BX16" i="7" l="1"/>
  <c r="BX18" i="7" s="1"/>
  <c r="BX20" i="7" s="1"/>
  <c r="BX35" i="8"/>
  <c r="BY4" i="8"/>
  <c r="BX34" i="8"/>
  <c r="BX24" i="8"/>
  <c r="BY21" i="6"/>
  <c r="BY20" i="6"/>
  <c r="BY19" i="6"/>
  <c r="BY22" i="6"/>
  <c r="BY12" i="6"/>
  <c r="BZ4" i="6"/>
  <c r="BY16" i="6"/>
  <c r="BV26" i="5"/>
  <c r="BV28" i="5"/>
  <c r="BV30" i="5"/>
  <c r="BW21" i="5"/>
  <c r="BW29" i="5"/>
  <c r="BX25" i="5"/>
  <c r="BX24" i="5"/>
  <c r="BY4" i="5"/>
  <c r="BX20" i="5"/>
  <c r="BX19" i="5"/>
  <c r="BX22" i="5"/>
  <c r="BX27" i="5"/>
  <c r="BX31" i="5"/>
  <c r="BT20" i="8"/>
  <c r="BT33" i="5"/>
  <c r="AN27" i="6"/>
  <c r="AN23" i="6"/>
  <c r="AN25" i="6" s="1"/>
  <c r="BY17" i="7"/>
  <c r="BY15" i="7"/>
  <c r="BY14" i="7"/>
  <c r="BY19" i="7"/>
  <c r="BZ4" i="7"/>
  <c r="AO17" i="6"/>
  <c r="AO24" i="6"/>
  <c r="BW27" i="5"/>
  <c r="BU32" i="5"/>
  <c r="AO14" i="6"/>
  <c r="BY35" i="8" l="1"/>
  <c r="BY34" i="8"/>
  <c r="BZ4" i="8"/>
  <c r="BY24" i="8"/>
  <c r="BZ21" i="6"/>
  <c r="BZ20" i="6"/>
  <c r="BZ19" i="6"/>
  <c r="BZ22" i="6"/>
  <c r="BZ12" i="6"/>
  <c r="CA4" i="6"/>
  <c r="BZ16" i="6"/>
  <c r="BY16" i="7"/>
  <c r="BY18" i="7" s="1"/>
  <c r="BY20" i="7" s="1"/>
  <c r="BY25" i="5"/>
  <c r="BY24" i="5"/>
  <c r="BZ4" i="5"/>
  <c r="BY20" i="5"/>
  <c r="BY19" i="5"/>
  <c r="BY27" i="5" s="1"/>
  <c r="BY22" i="5"/>
  <c r="BY31" i="5"/>
  <c r="BU20" i="8"/>
  <c r="BU33" i="5"/>
  <c r="BV32" i="5"/>
  <c r="BZ15" i="7"/>
  <c r="BZ14" i="7"/>
  <c r="BZ19" i="7"/>
  <c r="CA4" i="7"/>
  <c r="BZ17" i="7"/>
  <c r="BX21" i="5"/>
  <c r="BX29" i="5"/>
  <c r="AO27" i="6"/>
  <c r="AO23" i="6"/>
  <c r="AO25" i="6" s="1"/>
  <c r="AN23" i="8"/>
  <c r="AN29" i="6"/>
  <c r="AO15" i="6"/>
  <c r="AP13" i="6"/>
  <c r="BW26" i="5"/>
  <c r="BW28" i="5"/>
  <c r="BW30" i="5"/>
  <c r="CA15" i="7" l="1"/>
  <c r="CA14" i="7"/>
  <c r="CA19" i="7"/>
  <c r="CB4" i="7"/>
  <c r="CA17" i="7"/>
  <c r="BZ25" i="5"/>
  <c r="BZ24" i="5"/>
  <c r="CA4" i="5"/>
  <c r="BZ20" i="5"/>
  <c r="BZ19" i="5"/>
  <c r="BZ22" i="5"/>
  <c r="BZ27" i="5"/>
  <c r="BZ31" i="5"/>
  <c r="BV20" i="8"/>
  <c r="BV33" i="5"/>
  <c r="BZ35" i="8"/>
  <c r="BZ34" i="8"/>
  <c r="CA4" i="8"/>
  <c r="BZ24" i="8"/>
  <c r="AP24" i="6"/>
  <c r="AP17" i="6"/>
  <c r="AO23" i="8"/>
  <c r="AO29" i="6"/>
  <c r="CA21" i="6"/>
  <c r="CA20" i="6"/>
  <c r="CA19" i="6"/>
  <c r="CA22" i="6"/>
  <c r="CA12" i="6"/>
  <c r="CB4" i="6"/>
  <c r="CA16" i="6"/>
  <c r="AP14" i="6"/>
  <c r="BZ16" i="7"/>
  <c r="BZ18" i="7" s="1"/>
  <c r="BZ20" i="7" s="1"/>
  <c r="BW32" i="5"/>
  <c r="BX26" i="5"/>
  <c r="BX28" i="5"/>
  <c r="BX30" i="5"/>
  <c r="BY21" i="5"/>
  <c r="BY29" i="5"/>
  <c r="CA16" i="7" l="1"/>
  <c r="CB22" i="6"/>
  <c r="CB21" i="6"/>
  <c r="CB20" i="6"/>
  <c r="CB19" i="6"/>
  <c r="CC4" i="6"/>
  <c r="CB12" i="6"/>
  <c r="CB16" i="6"/>
  <c r="BZ21" i="5"/>
  <c r="BZ29" i="5"/>
  <c r="CA25" i="5"/>
  <c r="CA24" i="5"/>
  <c r="CB4" i="5"/>
  <c r="CA20" i="5"/>
  <c r="CA19" i="5"/>
  <c r="CA22" i="5"/>
  <c r="CA27" i="5"/>
  <c r="CA31" i="5"/>
  <c r="BX32" i="5"/>
  <c r="BW20" i="8"/>
  <c r="BW33" i="5"/>
  <c r="AP15" i="6"/>
  <c r="AQ13" i="6"/>
  <c r="AP27" i="6"/>
  <c r="AP23" i="6"/>
  <c r="AP25" i="6" s="1"/>
  <c r="CB14" i="7"/>
  <c r="CB19" i="7"/>
  <c r="CC4" i="7"/>
  <c r="CB15" i="7"/>
  <c r="CB16" i="7" s="1"/>
  <c r="CB17" i="7"/>
  <c r="BY26" i="5"/>
  <c r="BY28" i="5"/>
  <c r="BY30" i="5"/>
  <c r="CA35" i="8"/>
  <c r="CA34" i="8"/>
  <c r="CB4" i="8"/>
  <c r="CA24" i="8"/>
  <c r="CA18" i="7"/>
  <c r="CA20" i="7" s="1"/>
  <c r="CB18" i="7" l="1"/>
  <c r="CB20" i="7" s="1"/>
  <c r="CB34" i="8"/>
  <c r="CB35" i="8"/>
  <c r="CC4" i="8"/>
  <c r="CB24" i="8"/>
  <c r="BZ26" i="5"/>
  <c r="BZ28" i="5"/>
  <c r="BZ30" i="5"/>
  <c r="CC22" i="6"/>
  <c r="CC21" i="6"/>
  <c r="CC20" i="6"/>
  <c r="CC19" i="6"/>
  <c r="CD4" i="6"/>
  <c r="CC12" i="6"/>
  <c r="CC16" i="6"/>
  <c r="BY32" i="5"/>
  <c r="BX20" i="8"/>
  <c r="BX33" i="5"/>
  <c r="AP23" i="8"/>
  <c r="AP29" i="6"/>
  <c r="CC19" i="7"/>
  <c r="CD4" i="7"/>
  <c r="CC17" i="7"/>
  <c r="CC15" i="7"/>
  <c r="CC14" i="7"/>
  <c r="CA21" i="5"/>
  <c r="CA29" i="5"/>
  <c r="CB25" i="5"/>
  <c r="CB24" i="5"/>
  <c r="CC4" i="5"/>
  <c r="CB20" i="5"/>
  <c r="CB19" i="5"/>
  <c r="CB22" i="5"/>
  <c r="CB31" i="5"/>
  <c r="CB27" i="5"/>
  <c r="AQ24" i="6"/>
  <c r="AQ17" i="6"/>
  <c r="AQ14" i="6"/>
  <c r="AQ27" i="6" l="1"/>
  <c r="AQ23" i="6"/>
  <c r="AQ25" i="6" s="1"/>
  <c r="CA26" i="5"/>
  <c r="CA28" i="5"/>
  <c r="CA30" i="5"/>
  <c r="BZ32" i="5"/>
  <c r="CC16" i="7"/>
  <c r="CC18" i="7" s="1"/>
  <c r="CC20" i="7" s="1"/>
  <c r="AQ15" i="6"/>
  <c r="AR13" i="6"/>
  <c r="CD20" i="6"/>
  <c r="CD19" i="6"/>
  <c r="CD22" i="6"/>
  <c r="CD21" i="6"/>
  <c r="CE4" i="6"/>
  <c r="CD12" i="6"/>
  <c r="CD16" i="6"/>
  <c r="CC35" i="8"/>
  <c r="CD4" i="8"/>
  <c r="CC34" i="8"/>
  <c r="CC24" i="8"/>
  <c r="CB21" i="5"/>
  <c r="CB29" i="5"/>
  <c r="CC25" i="5"/>
  <c r="CC24" i="5"/>
  <c r="CD4" i="5"/>
  <c r="CC20" i="5"/>
  <c r="CC19" i="5"/>
  <c r="CC27" i="5" s="1"/>
  <c r="CC22" i="5"/>
  <c r="CC31" i="5"/>
  <c r="BY20" i="8"/>
  <c r="BY33" i="5"/>
  <c r="CD19" i="7"/>
  <c r="CD17" i="7"/>
  <c r="CD14" i="7"/>
  <c r="CE4" i="7"/>
  <c r="CD15" i="7"/>
  <c r="CE19" i="7" l="1"/>
  <c r="CF4" i="7"/>
  <c r="CE17" i="7"/>
  <c r="CE15" i="7"/>
  <c r="CE14" i="7"/>
  <c r="AR17" i="6"/>
  <c r="AR24" i="6"/>
  <c r="AR14" i="6"/>
  <c r="CE22" i="6"/>
  <c r="CE21" i="6"/>
  <c r="CE20" i="6"/>
  <c r="CE19" i="6"/>
  <c r="CF4" i="6"/>
  <c r="CE12" i="6"/>
  <c r="CE16" i="6"/>
  <c r="CB26" i="5"/>
  <c r="CB28" i="5"/>
  <c r="CB30" i="5"/>
  <c r="BZ20" i="8"/>
  <c r="BZ33" i="5"/>
  <c r="CD35" i="8"/>
  <c r="CD34" i="8"/>
  <c r="CE4" i="8"/>
  <c r="CD24" i="8"/>
  <c r="CA32" i="5"/>
  <c r="AQ23" i="8"/>
  <c r="AQ29" i="6"/>
  <c r="CD25" i="5"/>
  <c r="CD24" i="5"/>
  <c r="CE4" i="5"/>
  <c r="CD20" i="5"/>
  <c r="CD19" i="5"/>
  <c r="CD22" i="5"/>
  <c r="CD27" i="5"/>
  <c r="CD31" i="5"/>
  <c r="CD16" i="7"/>
  <c r="CD18" i="7" s="1"/>
  <c r="CD20" i="7" s="1"/>
  <c r="CC21" i="5"/>
  <c r="CC29" i="5"/>
  <c r="CC26" i="5" l="1"/>
  <c r="CC28" i="5"/>
  <c r="CC30" i="5"/>
  <c r="AR15" i="6"/>
  <c r="AS13" i="6"/>
  <c r="CE35" i="8"/>
  <c r="CE34" i="8"/>
  <c r="CF4" i="8"/>
  <c r="CE24" i="8"/>
  <c r="AR27" i="6"/>
  <c r="AR23" i="6"/>
  <c r="AR25" i="6" s="1"/>
  <c r="CA20" i="8"/>
  <c r="CA33" i="5"/>
  <c r="CB32" i="5"/>
  <c r="CE25" i="5"/>
  <c r="CE24" i="5"/>
  <c r="CF4" i="5"/>
  <c r="CE20" i="5"/>
  <c r="CE19" i="5"/>
  <c r="CE27" i="5" s="1"/>
  <c r="CE22" i="5"/>
  <c r="CE31" i="5"/>
  <c r="CF22" i="6"/>
  <c r="CF20" i="6"/>
  <c r="CF19" i="6"/>
  <c r="CF21" i="6"/>
  <c r="CG4" i="6"/>
  <c r="CF12" i="6"/>
  <c r="CF16" i="6"/>
  <c r="CE16" i="7"/>
  <c r="CE18" i="7" s="1"/>
  <c r="CE20" i="7" s="1"/>
  <c r="CD21" i="5"/>
  <c r="CD29" i="5"/>
  <c r="CF19" i="7"/>
  <c r="CG4" i="7"/>
  <c r="CF17" i="7"/>
  <c r="CF15" i="7"/>
  <c r="CF14" i="7"/>
  <c r="CF16" i="7" l="1"/>
  <c r="CF18" i="7" s="1"/>
  <c r="CF20" i="7" s="1"/>
  <c r="CH4" i="7"/>
  <c r="CG17" i="7"/>
  <c r="CG15" i="7"/>
  <c r="CG14" i="7"/>
  <c r="CG19" i="7"/>
  <c r="CB20" i="8"/>
  <c r="CB33" i="5"/>
  <c r="CD26" i="5"/>
  <c r="CD28" i="5"/>
  <c r="CD30" i="5"/>
  <c r="AR23" i="8"/>
  <c r="AR29" i="6"/>
  <c r="AS17" i="6"/>
  <c r="AS24" i="6"/>
  <c r="AS14" i="6"/>
  <c r="CG12" i="6"/>
  <c r="CG22" i="6"/>
  <c r="CG21" i="6"/>
  <c r="CH4" i="6"/>
  <c r="CG19" i="6"/>
  <c r="CG20" i="6"/>
  <c r="CG16" i="6"/>
  <c r="CE21" i="5"/>
  <c r="CE29" i="5"/>
  <c r="CF24" i="5"/>
  <c r="CG4" i="5"/>
  <c r="CF20" i="5"/>
  <c r="CF19" i="5"/>
  <c r="CF22" i="5"/>
  <c r="CF25" i="5"/>
  <c r="CF31" i="5"/>
  <c r="CF35" i="8"/>
  <c r="CF34" i="8"/>
  <c r="CG4" i="8"/>
  <c r="CF24" i="8"/>
  <c r="CC32" i="5"/>
  <c r="CG16" i="7" l="1"/>
  <c r="CG18" i="7" s="1"/>
  <c r="CG20" i="7" s="1"/>
  <c r="CD32" i="5"/>
  <c r="CF21" i="5"/>
  <c r="CF29" i="5"/>
  <c r="CG35" i="8"/>
  <c r="CG34" i="8"/>
  <c r="CH4" i="8"/>
  <c r="CG24" i="8"/>
  <c r="AS15" i="6"/>
  <c r="AT13" i="6"/>
  <c r="CG22" i="5"/>
  <c r="CG25" i="5"/>
  <c r="CG20" i="5"/>
  <c r="CG19" i="5"/>
  <c r="CG24" i="5"/>
  <c r="CH4" i="5"/>
  <c r="CG31" i="5"/>
  <c r="CE26" i="5"/>
  <c r="CE28" i="5"/>
  <c r="CE30" i="5"/>
  <c r="AS27" i="6"/>
  <c r="AS23" i="6"/>
  <c r="AS25" i="6" s="1"/>
  <c r="CF27" i="5"/>
  <c r="CI4" i="7"/>
  <c r="CH17" i="7"/>
  <c r="CH15" i="7"/>
  <c r="CH14" i="7"/>
  <c r="CH19" i="7"/>
  <c r="CC20" i="8"/>
  <c r="CC33" i="5"/>
  <c r="CH22" i="6"/>
  <c r="CH21" i="6"/>
  <c r="CH20" i="6"/>
  <c r="CH19" i="6"/>
  <c r="CI4" i="6"/>
  <c r="CH12" i="6"/>
  <c r="CH16" i="6"/>
  <c r="CH22" i="5" l="1"/>
  <c r="CH25" i="5"/>
  <c r="CH24" i="5"/>
  <c r="CI4" i="5"/>
  <c r="CH20" i="5"/>
  <c r="CH19" i="5"/>
  <c r="CH31" i="5"/>
  <c r="CH27" i="5"/>
  <c r="CH35" i="8"/>
  <c r="CH34" i="8"/>
  <c r="CI4" i="8"/>
  <c r="CH24" i="8"/>
  <c r="CG21" i="5"/>
  <c r="CG29" i="5"/>
  <c r="AS23" i="8"/>
  <c r="AS29" i="6"/>
  <c r="CI22" i="6"/>
  <c r="CI21" i="6"/>
  <c r="CI20" i="6"/>
  <c r="CI19" i="6"/>
  <c r="CJ4" i="6"/>
  <c r="CI12" i="6"/>
  <c r="CI16" i="6"/>
  <c r="CI19" i="7"/>
  <c r="CI17" i="7"/>
  <c r="CI15" i="7"/>
  <c r="CI14" i="7"/>
  <c r="CJ4" i="7"/>
  <c r="AT17" i="6"/>
  <c r="AT24" i="6"/>
  <c r="CE32" i="5"/>
  <c r="AT14" i="6"/>
  <c r="CF26" i="5"/>
  <c r="CF28" i="5"/>
  <c r="CF30" i="5"/>
  <c r="CH16" i="7"/>
  <c r="CH18" i="7" s="1"/>
  <c r="CH20" i="7" s="1"/>
  <c r="CG27" i="5"/>
  <c r="CD20" i="8"/>
  <c r="CD33" i="5"/>
  <c r="CE20" i="8" l="1"/>
  <c r="CE33" i="5"/>
  <c r="CJ21" i="6"/>
  <c r="CJ20" i="6"/>
  <c r="CJ19" i="6"/>
  <c r="CJ22" i="6"/>
  <c r="CK4" i="6"/>
  <c r="CJ12" i="6"/>
  <c r="CJ16" i="6"/>
  <c r="CH21" i="5"/>
  <c r="CH29" i="5"/>
  <c r="CI35" i="8"/>
  <c r="CI34" i="8"/>
  <c r="CJ4" i="8"/>
  <c r="CI24" i="8"/>
  <c r="CI25" i="5"/>
  <c r="CI22" i="5"/>
  <c r="CI24" i="5"/>
  <c r="CJ4" i="5"/>
  <c r="CI20" i="5"/>
  <c r="CI19" i="5"/>
  <c r="CI31" i="5"/>
  <c r="CI27" i="5"/>
  <c r="CF32" i="5"/>
  <c r="AT27" i="6"/>
  <c r="AT23" i="6"/>
  <c r="AT25" i="6" s="1"/>
  <c r="CI16" i="7"/>
  <c r="CI18" i="7" s="1"/>
  <c r="CI20" i="7" s="1"/>
  <c r="CG26" i="5"/>
  <c r="CG28" i="5"/>
  <c r="CG30" i="5"/>
  <c r="AT15" i="6"/>
  <c r="AU13" i="6"/>
  <c r="CJ19" i="7"/>
  <c r="CJ17" i="7"/>
  <c r="CJ15" i="7"/>
  <c r="CK4" i="7"/>
  <c r="CJ14" i="7"/>
  <c r="CK17" i="7" l="1"/>
  <c r="CK15" i="7"/>
  <c r="CK14" i="7"/>
  <c r="CK19" i="7"/>
  <c r="CL4" i="7"/>
  <c r="CK21" i="6"/>
  <c r="CK20" i="6"/>
  <c r="CK19" i="6"/>
  <c r="CK22" i="6"/>
  <c r="CK12" i="6"/>
  <c r="CL4" i="6"/>
  <c r="CK16" i="6"/>
  <c r="AT23" i="8"/>
  <c r="AT29" i="6"/>
  <c r="CJ16" i="7"/>
  <c r="CJ18" i="7" s="1"/>
  <c r="CJ20" i="7" s="1"/>
  <c r="CJ34" i="8"/>
  <c r="CJ35" i="8"/>
  <c r="CK4" i="8"/>
  <c r="CJ24" i="8"/>
  <c r="AU17" i="6"/>
  <c r="AU24" i="6"/>
  <c r="CI21" i="5"/>
  <c r="CI29" i="5"/>
  <c r="AU14" i="6"/>
  <c r="CJ25" i="5"/>
  <c r="CJ24" i="5"/>
  <c r="CK4" i="5"/>
  <c r="CJ20" i="5"/>
  <c r="CJ19" i="5"/>
  <c r="CJ22" i="5"/>
  <c r="CJ31" i="5"/>
  <c r="CJ27" i="5"/>
  <c r="CF20" i="8"/>
  <c r="CF33" i="5"/>
  <c r="CG32" i="5"/>
  <c r="CH26" i="5"/>
  <c r="CH28" i="5"/>
  <c r="CH30" i="5"/>
  <c r="CK16" i="7" l="1"/>
  <c r="CK18" i="7" s="1"/>
  <c r="CK20" i="7" s="1"/>
  <c r="AU15" i="6"/>
  <c r="AV13" i="6"/>
  <c r="CG20" i="8"/>
  <c r="CG33" i="5"/>
  <c r="CI26" i="5"/>
  <c r="CI28" i="5"/>
  <c r="CI30" i="5"/>
  <c r="AU27" i="6"/>
  <c r="AU23" i="6"/>
  <c r="AU25" i="6" s="1"/>
  <c r="CL15" i="7"/>
  <c r="CL14" i="7"/>
  <c r="CL19" i="7"/>
  <c r="CM4" i="7"/>
  <c r="CL17" i="7"/>
  <c r="CK35" i="8"/>
  <c r="CK34" i="8"/>
  <c r="CL4" i="8"/>
  <c r="CK24" i="8"/>
  <c r="CJ21" i="5"/>
  <c r="CJ29" i="5"/>
  <c r="CL21" i="6"/>
  <c r="CL20" i="6"/>
  <c r="CL19" i="6"/>
  <c r="CL12" i="6"/>
  <c r="CL22" i="6"/>
  <c r="CM4" i="6"/>
  <c r="CL16" i="6"/>
  <c r="CH32" i="5"/>
  <c r="CK25" i="5"/>
  <c r="CL4" i="5"/>
  <c r="CK24" i="5"/>
  <c r="CK20" i="5"/>
  <c r="CK19" i="5"/>
  <c r="CK22" i="5"/>
  <c r="CK31" i="5"/>
  <c r="CK27" i="5"/>
  <c r="CL16" i="7" l="1"/>
  <c r="CL18" i="7" s="1"/>
  <c r="CL20" i="7" s="1"/>
  <c r="CL35" i="8"/>
  <c r="CL34" i="8"/>
  <c r="CM4" i="8"/>
  <c r="CL24" i="8"/>
  <c r="AU23" i="8"/>
  <c r="AU29" i="6"/>
  <c r="CI32" i="5"/>
  <c r="CM21" i="6"/>
  <c r="CM20" i="6"/>
  <c r="CM19" i="6"/>
  <c r="CM22" i="6"/>
  <c r="CM12" i="6"/>
  <c r="CN4" i="6"/>
  <c r="CM16" i="6"/>
  <c r="CK21" i="5"/>
  <c r="CK29" i="5"/>
  <c r="AV24" i="6"/>
  <c r="AV17" i="6"/>
  <c r="CL25" i="5"/>
  <c r="CL24" i="5"/>
  <c r="CM4" i="5"/>
  <c r="CL20" i="5"/>
  <c r="CL19" i="5"/>
  <c r="CL22" i="5"/>
  <c r="CL31" i="5"/>
  <c r="CH20" i="8"/>
  <c r="CH33" i="5"/>
  <c r="CJ26" i="5"/>
  <c r="CJ28" i="5"/>
  <c r="CJ30" i="5"/>
  <c r="CM15" i="7"/>
  <c r="CM14" i="7"/>
  <c r="CM19" i="7"/>
  <c r="CN4" i="7"/>
  <c r="CM17" i="7"/>
  <c r="AV14" i="6"/>
  <c r="CM16" i="7" l="1"/>
  <c r="CL21" i="5"/>
  <c r="CL29" i="5"/>
  <c r="CM25" i="5"/>
  <c r="CM24" i="5"/>
  <c r="CN4" i="5"/>
  <c r="CM20" i="5"/>
  <c r="CM19" i="5"/>
  <c r="CM27" i="5" s="1"/>
  <c r="CM22" i="5"/>
  <c r="CM31" i="5"/>
  <c r="CN14" i="7"/>
  <c r="CN19" i="7"/>
  <c r="CO4" i="7"/>
  <c r="CN15" i="7"/>
  <c r="CN17" i="7"/>
  <c r="CN22" i="6"/>
  <c r="CN21" i="6"/>
  <c r="CN20" i="6"/>
  <c r="CN19" i="6"/>
  <c r="CN12" i="6"/>
  <c r="CO4" i="6"/>
  <c r="CN16" i="6"/>
  <c r="CM18" i="7"/>
  <c r="CM20" i="7" s="1"/>
  <c r="CM35" i="8"/>
  <c r="CM34" i="8"/>
  <c r="CN4" i="8"/>
  <c r="CM24" i="8"/>
  <c r="CJ32" i="5"/>
  <c r="AV27" i="6"/>
  <c r="AV23" i="6"/>
  <c r="AV25" i="6" s="1"/>
  <c r="CI20" i="8"/>
  <c r="CI33" i="5"/>
  <c r="AV15" i="6"/>
  <c r="AW13" i="6"/>
  <c r="CL27" i="5"/>
  <c r="CK26" i="5"/>
  <c r="CK28" i="5"/>
  <c r="CK30" i="5"/>
  <c r="CN34" i="8" l="1"/>
  <c r="CN35" i="8"/>
  <c r="CO4" i="8"/>
  <c r="CN24" i="8"/>
  <c r="CK32" i="5"/>
  <c r="AV23" i="8"/>
  <c r="AV29" i="6"/>
  <c r="CN25" i="5"/>
  <c r="CN24" i="5"/>
  <c r="CO4" i="5"/>
  <c r="CN20" i="5"/>
  <c r="CN19" i="5"/>
  <c r="CN27" i="5" s="1"/>
  <c r="CN22" i="5"/>
  <c r="CN31" i="5"/>
  <c r="AW24" i="6"/>
  <c r="AW17" i="6"/>
  <c r="AW14" i="6"/>
  <c r="CN16" i="7"/>
  <c r="CN18" i="7" s="1"/>
  <c r="CN20" i="7" s="1"/>
  <c r="CO22" i="6"/>
  <c r="CO21" i="6"/>
  <c r="CO20" i="6"/>
  <c r="CO19" i="6"/>
  <c r="CP4" i="6"/>
  <c r="CO12" i="6"/>
  <c r="CO16" i="6"/>
  <c r="CM21" i="5"/>
  <c r="CM29" i="5"/>
  <c r="CJ20" i="8"/>
  <c r="CJ33" i="5"/>
  <c r="CO19" i="7"/>
  <c r="CP4" i="7"/>
  <c r="CO17" i="7"/>
  <c r="CO15" i="7"/>
  <c r="CO14" i="7"/>
  <c r="CL26" i="5"/>
  <c r="CL28" i="5"/>
  <c r="CL30" i="5"/>
  <c r="CO16" i="7" l="1"/>
  <c r="CO18" i="7" s="1"/>
  <c r="CO20" i="7" s="1"/>
  <c r="AW27" i="6"/>
  <c r="AW23" i="6"/>
  <c r="AW25" i="6" s="1"/>
  <c r="CP19" i="7"/>
  <c r="CP17" i="7"/>
  <c r="CP14" i="7"/>
  <c r="CP15" i="7"/>
  <c r="CP16" i="7" s="1"/>
  <c r="CP18" i="7" s="1"/>
  <c r="CP20" i="7" s="1"/>
  <c r="CQ4" i="7"/>
  <c r="CL32" i="5"/>
  <c r="CK20" i="8"/>
  <c r="CK33" i="5"/>
  <c r="CN21" i="5"/>
  <c r="CN29" i="5"/>
  <c r="CO34" i="8"/>
  <c r="CP4" i="8"/>
  <c r="CO35" i="8"/>
  <c r="CO24" i="8"/>
  <c r="CO25" i="5"/>
  <c r="CO24" i="5"/>
  <c r="CP4" i="5"/>
  <c r="CO20" i="5"/>
  <c r="CO19" i="5"/>
  <c r="CO27" i="5" s="1"/>
  <c r="CO22" i="5"/>
  <c r="CO31" i="5"/>
  <c r="CP20" i="6"/>
  <c r="CP19" i="6"/>
  <c r="CP22" i="6"/>
  <c r="CP21" i="6"/>
  <c r="CQ4" i="6"/>
  <c r="CP12" i="6"/>
  <c r="CP16" i="6"/>
  <c r="CM26" i="5"/>
  <c r="CM28" i="5"/>
  <c r="CM30" i="5"/>
  <c r="AW15" i="6"/>
  <c r="AX13" i="6"/>
  <c r="AX14" i="6" s="1"/>
  <c r="AX15" i="6" l="1"/>
  <c r="AY13" i="6"/>
  <c r="CN26" i="5"/>
  <c r="CN28" i="5"/>
  <c r="CN30" i="5"/>
  <c r="AX24" i="6"/>
  <c r="AX17" i="6"/>
  <c r="CR4" i="7"/>
  <c r="CQ19" i="7"/>
  <c r="CQ17" i="7"/>
  <c r="CQ15" i="7"/>
  <c r="CQ14" i="7"/>
  <c r="CP34" i="8"/>
  <c r="CP35" i="8"/>
  <c r="CQ4" i="8"/>
  <c r="CP24" i="8"/>
  <c r="CL20" i="8"/>
  <c r="CL33" i="5"/>
  <c r="CO21" i="5"/>
  <c r="CO29" i="5"/>
  <c r="CQ22" i="6"/>
  <c r="CQ21" i="6"/>
  <c r="CQ20" i="6"/>
  <c r="CQ19" i="6"/>
  <c r="CR4" i="6"/>
  <c r="CQ12" i="6"/>
  <c r="CQ16" i="6"/>
  <c r="CP25" i="5"/>
  <c r="CP24" i="5"/>
  <c r="CQ4" i="5"/>
  <c r="CP20" i="5"/>
  <c r="CP19" i="5"/>
  <c r="CP27" i="5" s="1"/>
  <c r="CP22" i="5"/>
  <c r="CP31" i="5"/>
  <c r="AW23" i="8"/>
  <c r="AW29" i="6"/>
  <c r="CM32" i="5"/>
  <c r="CQ16" i="7" l="1"/>
  <c r="CQ18" i="7" s="1"/>
  <c r="CQ20" i="7" s="1"/>
  <c r="CR19" i="7"/>
  <c r="CS4" i="7"/>
  <c r="CR17" i="7"/>
  <c r="CR15" i="7"/>
  <c r="CR14" i="7"/>
  <c r="CR22" i="6"/>
  <c r="CR20" i="6"/>
  <c r="CR19" i="6"/>
  <c r="CR21" i="6"/>
  <c r="CS4" i="6"/>
  <c r="CR12" i="6"/>
  <c r="CR16" i="6"/>
  <c r="CQ34" i="8"/>
  <c r="CR4" i="8"/>
  <c r="CQ35" i="8"/>
  <c r="CQ24" i="8"/>
  <c r="CQ25" i="5"/>
  <c r="CQ24" i="5"/>
  <c r="CR4" i="5"/>
  <c r="CQ20" i="5"/>
  <c r="CQ19" i="5"/>
  <c r="CQ27" i="5" s="1"/>
  <c r="CQ22" i="5"/>
  <c r="CQ31" i="5"/>
  <c r="CP21" i="5"/>
  <c r="CP29" i="5"/>
  <c r="CO26" i="5"/>
  <c r="CO28" i="5"/>
  <c r="CO30" i="5"/>
  <c r="CN32" i="5"/>
  <c r="AX27" i="6"/>
  <c r="AX23" i="6"/>
  <c r="AX25" i="6" s="1"/>
  <c r="AY24" i="6"/>
  <c r="AY17" i="6"/>
  <c r="CM20" i="8"/>
  <c r="CM33" i="5"/>
  <c r="AY14" i="6"/>
  <c r="CR16" i="7" l="1"/>
  <c r="CR18" i="7" s="1"/>
  <c r="CR20" i="7" s="1"/>
  <c r="CP26" i="5"/>
  <c r="CP28" i="5"/>
  <c r="CP30" i="5"/>
  <c r="AX23" i="8"/>
  <c r="AX29" i="6"/>
  <c r="AY15" i="6"/>
  <c r="AZ13" i="6"/>
  <c r="AZ14" i="6" s="1"/>
  <c r="CO32" i="5"/>
  <c r="AY27" i="6"/>
  <c r="AY23" i="6"/>
  <c r="AY25" i="6" s="1"/>
  <c r="CR35" i="8"/>
  <c r="CS4" i="8"/>
  <c r="CR34" i="8"/>
  <c r="CR24" i="8"/>
  <c r="CN20" i="8"/>
  <c r="CN33" i="5"/>
  <c r="CR24" i="5"/>
  <c r="CS4" i="5"/>
  <c r="CR20" i="5"/>
  <c r="CR19" i="5"/>
  <c r="CR25" i="5"/>
  <c r="CR22" i="5"/>
  <c r="CR27" i="5"/>
  <c r="CR31" i="5"/>
  <c r="CT4" i="7"/>
  <c r="CS19" i="7"/>
  <c r="CS17" i="7"/>
  <c r="CS15" i="7"/>
  <c r="CS14" i="7"/>
  <c r="CQ21" i="5"/>
  <c r="CQ29" i="5"/>
  <c r="CS12" i="6"/>
  <c r="CS22" i="6"/>
  <c r="CS21" i="6"/>
  <c r="CT4" i="6"/>
  <c r="CS19" i="6"/>
  <c r="CS20" i="6"/>
  <c r="CS16" i="6"/>
  <c r="AZ15" i="6" l="1"/>
  <c r="BA13" i="6"/>
  <c r="CO20" i="8"/>
  <c r="CO33" i="5"/>
  <c r="CS35" i="8"/>
  <c r="CS34" i="8"/>
  <c r="CT4" i="8"/>
  <c r="CS24" i="8"/>
  <c r="CU4" i="7"/>
  <c r="CT19" i="7"/>
  <c r="CT17" i="7"/>
  <c r="CT15" i="7"/>
  <c r="CT14" i="7"/>
  <c r="AZ24" i="6"/>
  <c r="AZ17" i="6"/>
  <c r="CQ26" i="5"/>
  <c r="CQ28" i="5"/>
  <c r="CQ30" i="5"/>
  <c r="CR21" i="5"/>
  <c r="CR29" i="5"/>
  <c r="CT22" i="6"/>
  <c r="CT21" i="6"/>
  <c r="CT20" i="6"/>
  <c r="CT19" i="6"/>
  <c r="CU4" i="6"/>
  <c r="CT12" i="6"/>
  <c r="CT16" i="6"/>
  <c r="CS22" i="5"/>
  <c r="CS25" i="5"/>
  <c r="CS20" i="5"/>
  <c r="CS19" i="5"/>
  <c r="CS24" i="5"/>
  <c r="CT4" i="5"/>
  <c r="CS31" i="5"/>
  <c r="CS27" i="5"/>
  <c r="CS16" i="7"/>
  <c r="CS18" i="7" s="1"/>
  <c r="CS20" i="7" s="1"/>
  <c r="AY23" i="8"/>
  <c r="AY29" i="6"/>
  <c r="CP32" i="5"/>
  <c r="CU22" i="6" l="1"/>
  <c r="CU21" i="6"/>
  <c r="CU20" i="6"/>
  <c r="CU19" i="6"/>
  <c r="CU12" i="6"/>
  <c r="CU16" i="6"/>
  <c r="AZ27" i="6"/>
  <c r="AZ23" i="6"/>
  <c r="AZ25" i="6" s="1"/>
  <c r="CU19" i="7"/>
  <c r="B19" i="7" s="1"/>
  <c r="CU17" i="7"/>
  <c r="B17" i="7" s="1"/>
  <c r="CU15" i="7"/>
  <c r="CU14" i="7"/>
  <c r="CS21" i="5"/>
  <c r="CS29" i="5"/>
  <c r="CP20" i="8"/>
  <c r="CP33" i="5"/>
  <c r="CR26" i="5"/>
  <c r="CR28" i="5"/>
  <c r="CR30" i="5"/>
  <c r="BA24" i="6"/>
  <c r="BA17" i="6"/>
  <c r="CT16" i="7"/>
  <c r="CT18" i="7" s="1"/>
  <c r="CT20" i="7" s="1"/>
  <c r="CT24" i="5"/>
  <c r="CT25" i="5"/>
  <c r="CT22" i="5"/>
  <c r="CU4" i="5"/>
  <c r="CT20" i="5"/>
  <c r="CT19" i="5"/>
  <c r="CT31" i="5"/>
  <c r="CT27" i="5"/>
  <c r="CT35" i="8"/>
  <c r="CT34" i="8"/>
  <c r="CU4" i="8"/>
  <c r="CT24" i="8"/>
  <c r="CQ32" i="5"/>
  <c r="BA14" i="6"/>
  <c r="BA27" i="6" l="1"/>
  <c r="BA23" i="6"/>
  <c r="BA25" i="6" s="1"/>
  <c r="BA15" i="6"/>
  <c r="BB13" i="6"/>
  <c r="CR32" i="5"/>
  <c r="CU25" i="5"/>
  <c r="CU22" i="5"/>
  <c r="CU24" i="5"/>
  <c r="CU20" i="5"/>
  <c r="CU19" i="5"/>
  <c r="CU31" i="5"/>
  <c r="B19" i="6"/>
  <c r="K21" i="6"/>
  <c r="K25" i="6" s="1"/>
  <c r="J21" i="6"/>
  <c r="J25" i="6" s="1"/>
  <c r="L21" i="6"/>
  <c r="L25" i="6" s="1"/>
  <c r="M21" i="6"/>
  <c r="M25" i="6" s="1"/>
  <c r="D21" i="6"/>
  <c r="P21" i="6"/>
  <c r="P25" i="6" s="1"/>
  <c r="N21" i="6"/>
  <c r="N25" i="6" s="1"/>
  <c r="E21" i="6"/>
  <c r="E25" i="6" s="1"/>
  <c r="F21" i="6"/>
  <c r="F25" i="6" s="1"/>
  <c r="H21" i="6"/>
  <c r="H25" i="6" s="1"/>
  <c r="G21" i="6"/>
  <c r="G25" i="6" s="1"/>
  <c r="I21" i="6"/>
  <c r="I25" i="6" s="1"/>
  <c r="O21" i="6"/>
  <c r="O25" i="6" s="1"/>
  <c r="Q21" i="6"/>
  <c r="Q25" i="6" s="1"/>
  <c r="R21" i="6"/>
  <c r="R25" i="6" s="1"/>
  <c r="S21" i="6"/>
  <c r="S25" i="6" s="1"/>
  <c r="V21" i="6"/>
  <c r="V25" i="6" s="1"/>
  <c r="U21" i="6"/>
  <c r="U25" i="6" s="1"/>
  <c r="T21" i="6"/>
  <c r="T25" i="6" s="1"/>
  <c r="W21" i="6"/>
  <c r="W25" i="6" s="1"/>
  <c r="X21" i="6"/>
  <c r="X25" i="6" s="1"/>
  <c r="Y21" i="6"/>
  <c r="Y25" i="6" s="1"/>
  <c r="AA21" i="6"/>
  <c r="AA25" i="6" s="1"/>
  <c r="Z21" i="6"/>
  <c r="Z25" i="6" s="1"/>
  <c r="AB21" i="6"/>
  <c r="AB25" i="6" s="1"/>
  <c r="AE21" i="6"/>
  <c r="AE25" i="6" s="1"/>
  <c r="AC21" i="6"/>
  <c r="AC25" i="6" s="1"/>
  <c r="AF21" i="6"/>
  <c r="AF25" i="6" s="1"/>
  <c r="AD21" i="6"/>
  <c r="AD25" i="6" s="1"/>
  <c r="AG21" i="6"/>
  <c r="AG25" i="6" s="1"/>
  <c r="AI21" i="6"/>
  <c r="AI25" i="6" s="1"/>
  <c r="AH21" i="6"/>
  <c r="AH25" i="6" s="1"/>
  <c r="CU35" i="8"/>
  <c r="CU34" i="8"/>
  <c r="CU24" i="8"/>
  <c r="B24" i="8" s="1"/>
  <c r="CS26" i="5"/>
  <c r="CS28" i="5"/>
  <c r="CS30" i="5"/>
  <c r="CQ20" i="8"/>
  <c r="CQ33" i="5"/>
  <c r="AZ23" i="8"/>
  <c r="AZ29" i="6"/>
  <c r="CT21" i="5"/>
  <c r="CT29" i="5"/>
  <c r="CU16" i="7"/>
  <c r="B15" i="7"/>
  <c r="AI23" i="8" l="1"/>
  <c r="AI29" i="6"/>
  <c r="T23" i="8"/>
  <c r="T29" i="6"/>
  <c r="N23" i="8"/>
  <c r="N29" i="6"/>
  <c r="CS32" i="5"/>
  <c r="AG23" i="8"/>
  <c r="AG29" i="6"/>
  <c r="U23" i="8"/>
  <c r="U29" i="6"/>
  <c r="P23" i="8"/>
  <c r="P29" i="6"/>
  <c r="CU21" i="5"/>
  <c r="CU29" i="5"/>
  <c r="V23" i="8"/>
  <c r="V29" i="6"/>
  <c r="AC23" i="8"/>
  <c r="AC29" i="6"/>
  <c r="R23" i="8"/>
  <c r="R29" i="6"/>
  <c r="L23" i="8"/>
  <c r="L29" i="6"/>
  <c r="B25" i="5"/>
  <c r="B7" i="10"/>
  <c r="AF23" i="8"/>
  <c r="AF29" i="6"/>
  <c r="J23" i="8"/>
  <c r="J29" i="6"/>
  <c r="CR20" i="8"/>
  <c r="CR33" i="5"/>
  <c r="B24" i="5"/>
  <c r="B6" i="10"/>
  <c r="B48" i="2"/>
  <c r="AB23" i="8"/>
  <c r="AB29" i="6"/>
  <c r="O23" i="8"/>
  <c r="O29" i="6"/>
  <c r="K23" i="8"/>
  <c r="K29" i="6"/>
  <c r="S23" i="8"/>
  <c r="S29" i="6"/>
  <c r="Z23" i="8"/>
  <c r="Z29" i="6"/>
  <c r="I23" i="8"/>
  <c r="I29" i="6"/>
  <c r="BB24" i="6"/>
  <c r="BB17" i="6"/>
  <c r="AD23" i="8"/>
  <c r="AD29" i="6"/>
  <c r="Q23" i="8"/>
  <c r="Q29" i="6"/>
  <c r="AA23" i="8"/>
  <c r="AA29" i="6"/>
  <c r="G23" i="8"/>
  <c r="G29" i="6"/>
  <c r="B21" i="6"/>
  <c r="D25" i="6"/>
  <c r="AE23" i="8"/>
  <c r="AE29" i="6"/>
  <c r="CT26" i="5"/>
  <c r="CT28" i="5"/>
  <c r="CT30" i="5"/>
  <c r="Y23" i="8"/>
  <c r="Y29" i="6"/>
  <c r="H23" i="8"/>
  <c r="H29" i="6"/>
  <c r="BB14" i="6"/>
  <c r="M23" i="8"/>
  <c r="M29" i="6"/>
  <c r="CU18" i="7"/>
  <c r="B16" i="7"/>
  <c r="X23" i="8"/>
  <c r="X29" i="6"/>
  <c r="F23" i="8"/>
  <c r="F29" i="6"/>
  <c r="B14" i="10"/>
  <c r="B31" i="5"/>
  <c r="BA23" i="8"/>
  <c r="BA29" i="6"/>
  <c r="AH23" i="8"/>
  <c r="AH29" i="6"/>
  <c r="W23" i="8"/>
  <c r="W29" i="6"/>
  <c r="E23" i="8"/>
  <c r="E29" i="6"/>
  <c r="CU27" i="5"/>
  <c r="CU20" i="7" l="1"/>
  <c r="B20" i="7" s="1"/>
  <c r="B18" i="7"/>
  <c r="CS20" i="8"/>
  <c r="CS33" i="5"/>
  <c r="D23" i="8"/>
  <c r="D29" i="6"/>
  <c r="C14" i="10"/>
  <c r="D14" i="10"/>
  <c r="BB15" i="6"/>
  <c r="BC13" i="6"/>
  <c r="BC14" i="6" s="1"/>
  <c r="C6" i="10"/>
  <c r="D6" i="10"/>
  <c r="B27" i="5"/>
  <c r="B50" i="2"/>
  <c r="B10" i="10"/>
  <c r="B12" i="10"/>
  <c r="B29" i="5"/>
  <c r="CT32" i="5"/>
  <c r="CU26" i="5"/>
  <c r="CU28" i="5"/>
  <c r="CU30" i="5"/>
  <c r="B21" i="5"/>
  <c r="BB27" i="6"/>
  <c r="BB23" i="6"/>
  <c r="BB25" i="6" s="1"/>
  <c r="C7" i="10"/>
  <c r="D7" i="10"/>
  <c r="BC15" i="6" l="1"/>
  <c r="BD13" i="6"/>
  <c r="C10" i="10"/>
  <c r="D10" i="10"/>
  <c r="B13" i="10"/>
  <c r="B30" i="5"/>
  <c r="B53" i="2"/>
  <c r="B11" i="10"/>
  <c r="B28" i="5"/>
  <c r="B51" i="2"/>
  <c r="CT20" i="8"/>
  <c r="CT33" i="5"/>
  <c r="B26" i="5"/>
  <c r="B49" i="2"/>
  <c r="B9" i="10"/>
  <c r="CU32" i="5"/>
  <c r="C12" i="10"/>
  <c r="D12" i="10"/>
  <c r="BC24" i="6"/>
  <c r="BC17" i="6"/>
  <c r="BB23" i="8"/>
  <c r="BB29" i="6"/>
  <c r="C9" i="10" l="1"/>
  <c r="D9" i="10"/>
  <c r="CU20" i="8"/>
  <c r="B20" i="8" s="1"/>
  <c r="CU33" i="5"/>
  <c r="B32" i="5"/>
  <c r="BD24" i="6"/>
  <c r="BD17" i="6"/>
  <c r="C11" i="10"/>
  <c r="D11" i="10"/>
  <c r="C13" i="10"/>
  <c r="D13" i="10"/>
  <c r="BC27" i="6"/>
  <c r="BC23" i="6"/>
  <c r="BC25" i="6" s="1"/>
  <c r="BD14" i="6"/>
  <c r="BD27" i="6" l="1"/>
  <c r="BD23" i="6"/>
  <c r="BD25" i="6" s="1"/>
  <c r="BD15" i="6"/>
  <c r="BE13" i="6"/>
  <c r="BC23" i="8"/>
  <c r="BC29" i="6"/>
  <c r="BE24" i="6" l="1"/>
  <c r="BE17" i="6"/>
  <c r="BD23" i="8"/>
  <c r="BD29" i="6"/>
  <c r="BE14" i="6"/>
  <c r="BE15" i="6" l="1"/>
  <c r="BF13" i="6"/>
  <c r="BE27" i="6"/>
  <c r="BE23" i="6"/>
  <c r="BE25" i="6" s="1"/>
  <c r="BE23" i="8" l="1"/>
  <c r="BE29" i="6"/>
  <c r="BF17" i="6"/>
  <c r="BF24" i="6"/>
  <c r="BF14" i="6"/>
  <c r="BF15" i="6" l="1"/>
  <c r="BG13" i="6"/>
  <c r="BF27" i="6"/>
  <c r="BF23" i="6"/>
  <c r="BF25" i="6" s="1"/>
  <c r="BF23" i="8" l="1"/>
  <c r="BF29" i="6"/>
  <c r="BG17" i="6"/>
  <c r="BG24" i="6"/>
  <c r="BG14" i="6"/>
  <c r="BG27" i="6" l="1"/>
  <c r="BG23" i="6"/>
  <c r="BG25" i="6" s="1"/>
  <c r="BG15" i="6"/>
  <c r="BH13" i="6"/>
  <c r="BH14" i="6" s="1"/>
  <c r="BH15" i="6" l="1"/>
  <c r="BI13" i="6"/>
  <c r="BG23" i="8"/>
  <c r="BG29" i="6"/>
  <c r="BH17" i="6"/>
  <c r="BH24" i="6"/>
  <c r="BH27" i="6" l="1"/>
  <c r="BH23" i="6"/>
  <c r="BH25" i="6" s="1"/>
  <c r="BI24" i="6"/>
  <c r="BI17" i="6"/>
  <c r="BI14" i="6"/>
  <c r="BI15" i="6" l="1"/>
  <c r="BJ13" i="6"/>
  <c r="BI27" i="6"/>
  <c r="BI23" i="6"/>
  <c r="BI25" i="6" s="1"/>
  <c r="BH23" i="8"/>
  <c r="BH29" i="6"/>
  <c r="BJ24" i="6" l="1"/>
  <c r="BJ17" i="6"/>
  <c r="BI23" i="8"/>
  <c r="BI29" i="6"/>
  <c r="BJ14" i="6"/>
  <c r="BJ15" i="6" l="1"/>
  <c r="BK13" i="6"/>
  <c r="BJ27" i="6"/>
  <c r="BJ23" i="6"/>
  <c r="BJ25" i="6" s="1"/>
  <c r="BJ23" i="8" l="1"/>
  <c r="BJ29" i="6"/>
  <c r="BK24" i="6"/>
  <c r="BK17" i="6"/>
  <c r="BK14" i="6"/>
  <c r="BK27" i="6" l="1"/>
  <c r="BK23" i="6"/>
  <c r="BK25" i="6" s="1"/>
  <c r="BK15" i="6"/>
  <c r="BL13" i="6"/>
  <c r="BL24" i="6" l="1"/>
  <c r="BL17" i="6"/>
  <c r="BL14" i="6"/>
  <c r="BK23" i="8"/>
  <c r="BK29" i="6"/>
  <c r="BL15" i="6" l="1"/>
  <c r="BM13" i="6"/>
  <c r="BL27" i="6"/>
  <c r="BL23" i="6"/>
  <c r="BL25" i="6" s="1"/>
  <c r="BL23" i="8" l="1"/>
  <c r="BL29" i="6"/>
  <c r="BM24" i="6"/>
  <c r="BM17" i="6"/>
  <c r="BM14" i="6"/>
  <c r="BM15" i="6" l="1"/>
  <c r="BN13" i="6"/>
  <c r="BN14" i="6" s="1"/>
  <c r="BM27" i="6"/>
  <c r="BM23" i="6"/>
  <c r="BM25" i="6" s="1"/>
  <c r="BN15" i="6" l="1"/>
  <c r="BO13" i="6"/>
  <c r="BO14" i="6" s="1"/>
  <c r="BM23" i="8"/>
  <c r="BM29" i="6"/>
  <c r="BN24" i="6"/>
  <c r="BN17" i="6"/>
  <c r="BN27" i="6" l="1"/>
  <c r="BN23" i="6"/>
  <c r="BN25" i="6" s="1"/>
  <c r="BO24" i="6"/>
  <c r="BO17" i="6"/>
  <c r="BO15" i="6"/>
  <c r="BP13" i="6"/>
  <c r="BP14" i="6" s="1"/>
  <c r="BP15" i="6" l="1"/>
  <c r="BQ13" i="6"/>
  <c r="BO27" i="6"/>
  <c r="BO23" i="6"/>
  <c r="BO25" i="6" s="1"/>
  <c r="BN23" i="8"/>
  <c r="BN29" i="6"/>
  <c r="BP17" i="6"/>
  <c r="BP24" i="6"/>
  <c r="BP27" i="6" l="1"/>
  <c r="BP23" i="6"/>
  <c r="BP25" i="6" s="1"/>
  <c r="BQ17" i="6"/>
  <c r="BQ24" i="6"/>
  <c r="BO23" i="8"/>
  <c r="BO29" i="6"/>
  <c r="BQ14" i="6"/>
  <c r="BQ15" i="6" l="1"/>
  <c r="BR13" i="6"/>
  <c r="BQ27" i="6"/>
  <c r="BQ23" i="6"/>
  <c r="BQ25" i="6" s="1"/>
  <c r="BP23" i="8"/>
  <c r="BP29" i="6"/>
  <c r="BR17" i="6" l="1"/>
  <c r="BR24" i="6"/>
  <c r="BQ23" i="8"/>
  <c r="BQ29" i="6"/>
  <c r="BR14" i="6"/>
  <c r="BR15" i="6" l="1"/>
  <c r="BS13" i="6"/>
  <c r="BR27" i="6"/>
  <c r="BR23" i="6"/>
  <c r="BR25" i="6" s="1"/>
  <c r="BR23" i="8" l="1"/>
  <c r="BR29" i="6"/>
  <c r="BS17" i="6"/>
  <c r="BS24" i="6"/>
  <c r="BS14" i="6"/>
  <c r="BS27" i="6" l="1"/>
  <c r="BS23" i="6"/>
  <c r="BS25" i="6" s="1"/>
  <c r="BS15" i="6"/>
  <c r="BT13" i="6"/>
  <c r="BT24" i="6" l="1"/>
  <c r="BT17" i="6"/>
  <c r="BT14" i="6"/>
  <c r="BS23" i="8"/>
  <c r="BS29" i="6"/>
  <c r="BT15" i="6" l="1"/>
  <c r="BU13" i="6"/>
  <c r="BT27" i="6"/>
  <c r="BT23" i="6"/>
  <c r="BT25" i="6" s="1"/>
  <c r="BT23" i="8" l="1"/>
  <c r="BT29" i="6"/>
  <c r="BU17" i="6"/>
  <c r="BU24" i="6"/>
  <c r="BU14" i="6"/>
  <c r="BU27" i="6" l="1"/>
  <c r="BU23" i="6"/>
  <c r="BU25" i="6" s="1"/>
  <c r="BU15" i="6"/>
  <c r="BV13" i="6"/>
  <c r="BU23" i="8" l="1"/>
  <c r="BU29" i="6"/>
  <c r="BV24" i="6"/>
  <c r="BV17" i="6"/>
  <c r="BV14" i="6"/>
  <c r="BV15" i="6" l="1"/>
  <c r="BW13" i="6"/>
  <c r="BV27" i="6"/>
  <c r="BV23" i="6"/>
  <c r="BV25" i="6" s="1"/>
  <c r="BV23" i="8" l="1"/>
  <c r="BV29" i="6"/>
  <c r="BW17" i="6"/>
  <c r="BW24" i="6"/>
  <c r="BW14" i="6"/>
  <c r="BW15" i="6" l="1"/>
  <c r="BX13" i="6"/>
  <c r="BW27" i="6"/>
  <c r="BW23" i="6"/>
  <c r="BW25" i="6" s="1"/>
  <c r="BW23" i="8" l="1"/>
  <c r="BW29" i="6"/>
  <c r="BX17" i="6"/>
  <c r="BX24" i="6"/>
  <c r="BX14" i="6"/>
  <c r="BX15" i="6" l="1"/>
  <c r="BY13" i="6"/>
  <c r="BY14" i="6" s="1"/>
  <c r="BX27" i="6"/>
  <c r="BX23" i="6"/>
  <c r="BX25" i="6" s="1"/>
  <c r="BY15" i="6" l="1"/>
  <c r="BZ13" i="6"/>
  <c r="BX23" i="8"/>
  <c r="BX29" i="6"/>
  <c r="BY24" i="6"/>
  <c r="BY17" i="6"/>
  <c r="BZ24" i="6" l="1"/>
  <c r="BZ17" i="6"/>
  <c r="BZ14" i="6"/>
  <c r="BY27" i="6"/>
  <c r="BY23" i="6"/>
  <c r="BY25" i="6" s="1"/>
  <c r="BY23" i="8" l="1"/>
  <c r="BY29" i="6"/>
  <c r="BZ27" i="6"/>
  <c r="BZ23" i="6"/>
  <c r="BZ25" i="6" s="1"/>
  <c r="BZ15" i="6"/>
  <c r="CA13" i="6"/>
  <c r="CA14" i="6" s="1"/>
  <c r="CA15" i="6" l="1"/>
  <c r="CB13" i="6"/>
  <c r="CB14" i="6" s="1"/>
  <c r="BZ23" i="8"/>
  <c r="BZ29" i="6"/>
  <c r="CA24" i="6"/>
  <c r="CA17" i="6"/>
  <c r="CB15" i="6" l="1"/>
  <c r="CC13" i="6"/>
  <c r="CC14" i="6" s="1"/>
  <c r="CA27" i="6"/>
  <c r="CA23" i="6"/>
  <c r="CA25" i="6" s="1"/>
  <c r="CB17" i="6"/>
  <c r="CB24" i="6"/>
  <c r="CB27" i="6" l="1"/>
  <c r="CB23" i="6"/>
  <c r="CB25" i="6" s="1"/>
  <c r="CC15" i="6"/>
  <c r="CD13" i="6"/>
  <c r="CD14" i="6" s="1"/>
  <c r="CA23" i="8"/>
  <c r="CA29" i="6"/>
  <c r="CC17" i="6"/>
  <c r="CC24" i="6"/>
  <c r="CB23" i="8" l="1"/>
  <c r="CB29" i="6"/>
  <c r="CC27" i="6"/>
  <c r="CC23" i="6"/>
  <c r="CC25" i="6" s="1"/>
  <c r="CD17" i="6"/>
  <c r="CD24" i="6"/>
  <c r="CD15" i="6"/>
  <c r="CE13" i="6"/>
  <c r="CE17" i="6" l="1"/>
  <c r="CE24" i="6"/>
  <c r="CE14" i="6"/>
  <c r="CD27" i="6"/>
  <c r="CD23" i="6"/>
  <c r="CD25" i="6" s="1"/>
  <c r="CC23" i="8"/>
  <c r="CC29" i="6"/>
  <c r="CD23" i="8" l="1"/>
  <c r="CD29" i="6"/>
  <c r="CE15" i="6"/>
  <c r="CF13" i="6"/>
  <c r="CE27" i="6"/>
  <c r="CE23" i="6"/>
  <c r="CE25" i="6" s="1"/>
  <c r="CF24" i="6" l="1"/>
  <c r="CF17" i="6"/>
  <c r="CF14" i="6"/>
  <c r="CE23" i="8"/>
  <c r="CE29" i="6"/>
  <c r="CF15" i="6" l="1"/>
  <c r="CG13" i="6"/>
  <c r="CF27" i="6"/>
  <c r="CF23" i="6"/>
  <c r="CF25" i="6" s="1"/>
  <c r="CF23" i="8" l="1"/>
  <c r="CF29" i="6"/>
  <c r="CG24" i="6"/>
  <c r="CG17" i="6"/>
  <c r="CG14" i="6"/>
  <c r="CG15" i="6" l="1"/>
  <c r="CH13" i="6"/>
  <c r="CG27" i="6"/>
  <c r="CG23" i="6"/>
  <c r="CG25" i="6" s="1"/>
  <c r="CG23" i="8" l="1"/>
  <c r="CG29" i="6"/>
  <c r="CH24" i="6"/>
  <c r="CH17" i="6"/>
  <c r="CH14" i="6"/>
  <c r="CH15" i="6" l="1"/>
  <c r="CI13" i="6"/>
  <c r="CH27" i="6"/>
  <c r="CH23" i="6"/>
  <c r="CH25" i="6" s="1"/>
  <c r="CI24" i="6" l="1"/>
  <c r="CI17" i="6"/>
  <c r="CH23" i="8"/>
  <c r="CH29" i="6"/>
  <c r="CI14" i="6"/>
  <c r="CI15" i="6" l="1"/>
  <c r="CJ13" i="6"/>
  <c r="CI27" i="6"/>
  <c r="CI23" i="6"/>
  <c r="CI25" i="6" s="1"/>
  <c r="CI23" i="8" l="1"/>
  <c r="CI29" i="6"/>
  <c r="CJ24" i="6"/>
  <c r="CJ17" i="6"/>
  <c r="CJ14" i="6"/>
  <c r="CJ15" i="6" l="1"/>
  <c r="CK13" i="6"/>
  <c r="CJ27" i="6"/>
  <c r="CJ23" i="6"/>
  <c r="CJ25" i="6" s="1"/>
  <c r="CK24" i="6" l="1"/>
  <c r="CK17" i="6"/>
  <c r="CJ23" i="8"/>
  <c r="CJ29" i="6"/>
  <c r="CK14" i="6"/>
  <c r="CK15" i="6" l="1"/>
  <c r="CL13" i="6"/>
  <c r="CK27" i="6"/>
  <c r="CK23" i="6"/>
  <c r="CK25" i="6" s="1"/>
  <c r="CK23" i="8" l="1"/>
  <c r="CK29" i="6"/>
  <c r="CL24" i="6"/>
  <c r="CL17" i="6"/>
  <c r="CL14" i="6"/>
  <c r="CL27" i="6" l="1"/>
  <c r="CL23" i="6"/>
  <c r="CL25" i="6" s="1"/>
  <c r="CL15" i="6"/>
  <c r="CM13" i="6"/>
  <c r="CL23" i="8" l="1"/>
  <c r="CL29" i="6"/>
  <c r="CM24" i="6"/>
  <c r="CM17" i="6"/>
  <c r="CM14" i="6"/>
  <c r="CM15" i="6" l="1"/>
  <c r="CN13" i="6"/>
  <c r="CM27" i="6"/>
  <c r="CM23" i="6"/>
  <c r="CM25" i="6" s="1"/>
  <c r="CN24" i="6" l="1"/>
  <c r="CN17" i="6"/>
  <c r="CM23" i="8"/>
  <c r="CM29" i="6"/>
  <c r="CN14" i="6"/>
  <c r="CN27" i="6" l="1"/>
  <c r="CN23" i="6"/>
  <c r="CN25" i="6" s="1"/>
  <c r="CN15" i="6"/>
  <c r="CO13" i="6"/>
  <c r="CO14" i="6" s="1"/>
  <c r="CO15" i="6" l="1"/>
  <c r="CP13" i="6"/>
  <c r="CN23" i="8"/>
  <c r="CN29" i="6"/>
  <c r="CO17" i="6"/>
  <c r="CO24" i="6"/>
  <c r="CO27" i="6" l="1"/>
  <c r="CO23" i="6"/>
  <c r="CO25" i="6" s="1"/>
  <c r="CP17" i="6"/>
  <c r="CP24" i="6"/>
  <c r="CP14" i="6"/>
  <c r="CP27" i="6" l="1"/>
  <c r="CP23" i="6"/>
  <c r="CP25" i="6" s="1"/>
  <c r="CP15" i="6"/>
  <c r="CQ13" i="6"/>
  <c r="CO23" i="8"/>
  <c r="CO29" i="6"/>
  <c r="CQ17" i="6" l="1"/>
  <c r="CQ24" i="6"/>
  <c r="CQ14" i="6"/>
  <c r="CP23" i="8"/>
  <c r="CP29" i="6"/>
  <c r="CQ27" i="6" l="1"/>
  <c r="CQ23" i="6"/>
  <c r="CQ25" i="6" s="1"/>
  <c r="CQ15" i="6"/>
  <c r="CR13" i="6"/>
  <c r="CR24" i="6" l="1"/>
  <c r="CR17" i="6"/>
  <c r="CR14" i="6"/>
  <c r="CQ23" i="8"/>
  <c r="CQ29" i="6"/>
  <c r="CR15" i="6" l="1"/>
  <c r="CS13" i="6"/>
  <c r="CR27" i="6"/>
  <c r="CR23" i="6"/>
  <c r="CR25" i="6" s="1"/>
  <c r="CR23" i="8" l="1"/>
  <c r="CR29" i="6"/>
  <c r="CS24" i="6"/>
  <c r="CS17" i="6"/>
  <c r="CS14" i="6"/>
  <c r="CS15" i="6" l="1"/>
  <c r="CT13" i="6"/>
  <c r="CS27" i="6"/>
  <c r="CS23" i="6"/>
  <c r="CS25" i="6" s="1"/>
  <c r="CT24" i="6" l="1"/>
  <c r="CT17" i="6"/>
  <c r="CS23" i="8"/>
  <c r="CS29" i="6"/>
  <c r="CT14" i="6"/>
  <c r="CT15" i="6" l="1"/>
  <c r="CU13" i="6"/>
  <c r="CT27" i="6"/>
  <c r="CT23" i="6"/>
  <c r="CT25" i="6" s="1"/>
  <c r="CT23" i="8" l="1"/>
  <c r="CT29" i="6"/>
  <c r="CU24" i="6"/>
  <c r="B24" i="6" s="1"/>
  <c r="CU17" i="6"/>
  <c r="B13" i="6"/>
  <c r="H39" i="2"/>
  <c r="B8" i="6"/>
  <c r="J39" i="2"/>
  <c r="F39" i="2"/>
  <c r="C39" i="2"/>
  <c r="B39" i="2"/>
  <c r="D39" i="2"/>
  <c r="I39" i="2"/>
  <c r="G39" i="2"/>
  <c r="E39" i="2"/>
  <c r="CU14" i="6"/>
  <c r="CU15" i="6" s="1"/>
  <c r="G28" i="6" l="1"/>
  <c r="G30" i="6" s="1"/>
  <c r="G21" i="8" s="1"/>
  <c r="D28" i="6"/>
  <c r="F28" i="6"/>
  <c r="F30" i="6" s="1"/>
  <c r="F21" i="8" s="1"/>
  <c r="H28" i="6"/>
  <c r="H30" i="6" s="1"/>
  <c r="H21" i="8" s="1"/>
  <c r="E28" i="6"/>
  <c r="E30" i="6" s="1"/>
  <c r="E21" i="8" s="1"/>
  <c r="B5" i="8"/>
  <c r="N28" i="6"/>
  <c r="N30" i="6" s="1"/>
  <c r="N21" i="8" s="1"/>
  <c r="Y28" i="6"/>
  <c r="Y30" i="6" s="1"/>
  <c r="Y21" i="8" s="1"/>
  <c r="AJ28" i="6"/>
  <c r="AK28" i="6"/>
  <c r="AK30" i="6" s="1"/>
  <c r="AK21" i="8" s="1"/>
  <c r="AL28" i="6"/>
  <c r="AL30" i="6" s="1"/>
  <c r="AL21" i="8" s="1"/>
  <c r="AM28" i="6"/>
  <c r="AM30" i="6" s="1"/>
  <c r="AM21" i="8" s="1"/>
  <c r="AN28" i="6"/>
  <c r="AN30" i="6" s="1"/>
  <c r="AN21" i="8" s="1"/>
  <c r="AO28" i="6"/>
  <c r="AO30" i="6" s="1"/>
  <c r="AO21" i="8" s="1"/>
  <c r="AP28" i="6"/>
  <c r="AP30" i="6" s="1"/>
  <c r="AP21" i="8" s="1"/>
  <c r="AQ28" i="6"/>
  <c r="AQ30" i="6" s="1"/>
  <c r="AQ21" i="8" s="1"/>
  <c r="AR28" i="6"/>
  <c r="AR30" i="6" s="1"/>
  <c r="AR21" i="8" s="1"/>
  <c r="AS28" i="6"/>
  <c r="AS30" i="6" s="1"/>
  <c r="AS21" i="8" s="1"/>
  <c r="AT28" i="6"/>
  <c r="AT30" i="6" s="1"/>
  <c r="AT21" i="8" s="1"/>
  <c r="AU28" i="6"/>
  <c r="AU30" i="6" s="1"/>
  <c r="AU21" i="8" s="1"/>
  <c r="AV28" i="6"/>
  <c r="AV30" i="6" s="1"/>
  <c r="AV21" i="8" s="1"/>
  <c r="AW28" i="6"/>
  <c r="AW30" i="6" s="1"/>
  <c r="AW21" i="8" s="1"/>
  <c r="AX28" i="6"/>
  <c r="AX30" i="6" s="1"/>
  <c r="AX21" i="8" s="1"/>
  <c r="AY28" i="6"/>
  <c r="AY30" i="6" s="1"/>
  <c r="AY21" i="8" s="1"/>
  <c r="AZ28" i="6"/>
  <c r="AZ30" i="6" s="1"/>
  <c r="AZ21" i="8" s="1"/>
  <c r="BA28" i="6"/>
  <c r="BA30" i="6" s="1"/>
  <c r="BA21" i="8" s="1"/>
  <c r="BB28" i="6"/>
  <c r="BB30" i="6" s="1"/>
  <c r="BB21" i="8" s="1"/>
  <c r="BC28" i="6"/>
  <c r="BC30" i="6" s="1"/>
  <c r="BC21" i="8" s="1"/>
  <c r="BD28" i="6"/>
  <c r="BD30" i="6" s="1"/>
  <c r="BD21" i="8" s="1"/>
  <c r="BE28" i="6"/>
  <c r="BE30" i="6" s="1"/>
  <c r="BE21" i="8" s="1"/>
  <c r="BF28" i="6"/>
  <c r="BF30" i="6" s="1"/>
  <c r="BF21" i="8" s="1"/>
  <c r="BG28" i="6"/>
  <c r="BG30" i="6" s="1"/>
  <c r="BG21" i="8" s="1"/>
  <c r="BH28" i="6"/>
  <c r="BH30" i="6" s="1"/>
  <c r="BH21" i="8" s="1"/>
  <c r="BI28" i="6"/>
  <c r="BI30" i="6" s="1"/>
  <c r="BI21" i="8" s="1"/>
  <c r="BJ28" i="6"/>
  <c r="BJ30" i="6" s="1"/>
  <c r="BJ21" i="8" s="1"/>
  <c r="BK28" i="6"/>
  <c r="BK30" i="6" s="1"/>
  <c r="BK21" i="8" s="1"/>
  <c r="BL28" i="6"/>
  <c r="BL30" i="6" s="1"/>
  <c r="BL21" i="8" s="1"/>
  <c r="BM28" i="6"/>
  <c r="BM30" i="6" s="1"/>
  <c r="BM21" i="8" s="1"/>
  <c r="BN28" i="6"/>
  <c r="BN30" i="6" s="1"/>
  <c r="BN21" i="8" s="1"/>
  <c r="BO28" i="6"/>
  <c r="BO30" i="6" s="1"/>
  <c r="BO21" i="8" s="1"/>
  <c r="BP28" i="6"/>
  <c r="BP30" i="6" s="1"/>
  <c r="BP21" i="8" s="1"/>
  <c r="BQ28" i="6"/>
  <c r="BQ30" i="6" s="1"/>
  <c r="BQ21" i="8" s="1"/>
  <c r="BR28" i="6"/>
  <c r="BR30" i="6" s="1"/>
  <c r="BR21" i="8" s="1"/>
  <c r="BS28" i="6"/>
  <c r="BS30" i="6" s="1"/>
  <c r="BS21" i="8" s="1"/>
  <c r="BT28" i="6"/>
  <c r="BT30" i="6" s="1"/>
  <c r="BT21" i="8" s="1"/>
  <c r="BU28" i="6"/>
  <c r="BU30" i="6" s="1"/>
  <c r="BU21" i="8" s="1"/>
  <c r="BV28" i="6"/>
  <c r="BV30" i="6" s="1"/>
  <c r="BV21" i="8" s="1"/>
  <c r="BW28" i="6"/>
  <c r="BW30" i="6" s="1"/>
  <c r="BW21" i="8" s="1"/>
  <c r="BX28" i="6"/>
  <c r="BX30" i="6" s="1"/>
  <c r="BX21" i="8" s="1"/>
  <c r="BY28" i="6"/>
  <c r="BY30" i="6" s="1"/>
  <c r="BY21" i="8" s="1"/>
  <c r="BZ28" i="6"/>
  <c r="BZ30" i="6" s="1"/>
  <c r="BZ21" i="8" s="1"/>
  <c r="CA28" i="6"/>
  <c r="CA30" i="6" s="1"/>
  <c r="CA21" i="8" s="1"/>
  <c r="CB28" i="6"/>
  <c r="CB30" i="6" s="1"/>
  <c r="CB21" i="8" s="1"/>
  <c r="CC28" i="6"/>
  <c r="CC30" i="6" s="1"/>
  <c r="CC21" i="8" s="1"/>
  <c r="CD28" i="6"/>
  <c r="CD30" i="6" s="1"/>
  <c r="CD21" i="8" s="1"/>
  <c r="CE28" i="6"/>
  <c r="CE30" i="6" s="1"/>
  <c r="CE21" i="8" s="1"/>
  <c r="CF28" i="6"/>
  <c r="CF30" i="6" s="1"/>
  <c r="CF21" i="8" s="1"/>
  <c r="CG28" i="6"/>
  <c r="CG30" i="6" s="1"/>
  <c r="CG21" i="8" s="1"/>
  <c r="CH28" i="6"/>
  <c r="CH30" i="6" s="1"/>
  <c r="CH21" i="8" s="1"/>
  <c r="CI28" i="6"/>
  <c r="CI30" i="6" s="1"/>
  <c r="CI21" i="8" s="1"/>
  <c r="CJ28" i="6"/>
  <c r="CJ30" i="6" s="1"/>
  <c r="CJ21" i="8" s="1"/>
  <c r="CK28" i="6"/>
  <c r="CK30" i="6" s="1"/>
  <c r="CK21" i="8" s="1"/>
  <c r="CL28" i="6"/>
  <c r="CL30" i="6" s="1"/>
  <c r="CL21" i="8" s="1"/>
  <c r="CM28" i="6"/>
  <c r="CM30" i="6" s="1"/>
  <c r="CM21" i="8" s="1"/>
  <c r="CN28" i="6"/>
  <c r="CN30" i="6" s="1"/>
  <c r="CN21" i="8" s="1"/>
  <c r="CO28" i="6"/>
  <c r="CO30" i="6" s="1"/>
  <c r="CO21" i="8" s="1"/>
  <c r="CP28" i="6"/>
  <c r="CP30" i="6" s="1"/>
  <c r="CP21" i="8" s="1"/>
  <c r="CQ28" i="6"/>
  <c r="CQ30" i="6" s="1"/>
  <c r="CQ21" i="8" s="1"/>
  <c r="CR28" i="6"/>
  <c r="CR30" i="6" s="1"/>
  <c r="CR21" i="8" s="1"/>
  <c r="CS28" i="6"/>
  <c r="CS30" i="6" s="1"/>
  <c r="CS21" i="8" s="1"/>
  <c r="CT28" i="6"/>
  <c r="CT30" i="6" s="1"/>
  <c r="CT21" i="8" s="1"/>
  <c r="CU28" i="6"/>
  <c r="CU27" i="6"/>
  <c r="B17" i="6"/>
  <c r="B9" i="6"/>
  <c r="B13" i="2" s="1"/>
  <c r="AJ22" i="6"/>
  <c r="CU23" i="6"/>
  <c r="Z28" i="6" l="1"/>
  <c r="Z30" i="6" s="1"/>
  <c r="Z21" i="8" s="1"/>
  <c r="X28" i="6"/>
  <c r="X30" i="6" s="1"/>
  <c r="X21" i="8" s="1"/>
  <c r="M28" i="6"/>
  <c r="M30" i="6" s="1"/>
  <c r="M21" i="8" s="1"/>
  <c r="D25" i="8"/>
  <c r="D17" i="8"/>
  <c r="B33" i="2"/>
  <c r="E18" i="8"/>
  <c r="E17" i="8"/>
  <c r="E25" i="8"/>
  <c r="E22" i="8"/>
  <c r="D18" i="8"/>
  <c r="F25" i="8"/>
  <c r="F26" i="8" s="1"/>
  <c r="F18" i="8"/>
  <c r="F17" i="8"/>
  <c r="F22" i="8"/>
  <c r="G22" i="8"/>
  <c r="G18" i="8"/>
  <c r="G17" i="8"/>
  <c r="G25" i="8"/>
  <c r="G26" i="8" s="1"/>
  <c r="H17" i="8"/>
  <c r="H18" i="8"/>
  <c r="H25" i="8"/>
  <c r="H22" i="8"/>
  <c r="I25" i="8"/>
  <c r="I17" i="8"/>
  <c r="I18" i="8"/>
  <c r="J25" i="8"/>
  <c r="J18" i="8"/>
  <c r="J17" i="8"/>
  <c r="K25" i="8"/>
  <c r="K18" i="8"/>
  <c r="K17" i="8"/>
  <c r="L25" i="8"/>
  <c r="L18" i="8"/>
  <c r="L17" i="8"/>
  <c r="M25" i="8"/>
  <c r="M22" i="8"/>
  <c r="M18" i="8"/>
  <c r="M17" i="8"/>
  <c r="N18" i="8"/>
  <c r="N17" i="8"/>
  <c r="N22" i="8"/>
  <c r="N25" i="8"/>
  <c r="O25" i="8"/>
  <c r="O18" i="8"/>
  <c r="O17" i="8"/>
  <c r="P18" i="8"/>
  <c r="P17" i="8"/>
  <c r="P25" i="8"/>
  <c r="Q18" i="8"/>
  <c r="Q25" i="8"/>
  <c r="Q17" i="8"/>
  <c r="R25" i="8"/>
  <c r="R18" i="8"/>
  <c r="R17" i="8"/>
  <c r="S25" i="8"/>
  <c r="S18" i="8"/>
  <c r="S17" i="8"/>
  <c r="T25" i="8"/>
  <c r="T22" i="8"/>
  <c r="T18" i="8"/>
  <c r="T17" i="8"/>
  <c r="U25" i="8"/>
  <c r="U17" i="8"/>
  <c r="U18" i="8"/>
  <c r="V17" i="8"/>
  <c r="V18" i="8"/>
  <c r="V25" i="8"/>
  <c r="W17" i="8"/>
  <c r="W18" i="8"/>
  <c r="W25" i="8"/>
  <c r="X25" i="8"/>
  <c r="X26" i="8" s="1"/>
  <c r="X18" i="8"/>
  <c r="X17" i="8"/>
  <c r="X22" i="8"/>
  <c r="Y22" i="8"/>
  <c r="Y18" i="8"/>
  <c r="Y17" i="8"/>
  <c r="Y25" i="8"/>
  <c r="Y26" i="8" s="1"/>
  <c r="Z25" i="8"/>
  <c r="Z22" i="8"/>
  <c r="Z18" i="8"/>
  <c r="Z17" i="8"/>
  <c r="AA25" i="8"/>
  <c r="AA18" i="8"/>
  <c r="AA17" i="8"/>
  <c r="AB25" i="8"/>
  <c r="AB18" i="8"/>
  <c r="AB17" i="8"/>
  <c r="AC25" i="8"/>
  <c r="AC18" i="8"/>
  <c r="AC17" i="8"/>
  <c r="AD18" i="8"/>
  <c r="AD25" i="8"/>
  <c r="AD17" i="8"/>
  <c r="AE17" i="8"/>
  <c r="AE25" i="8"/>
  <c r="AE18" i="8"/>
  <c r="AF25" i="8"/>
  <c r="AF18" i="8"/>
  <c r="AF17" i="8"/>
  <c r="AG25" i="8"/>
  <c r="AG18" i="8"/>
  <c r="AG17" i="8"/>
  <c r="AH25" i="8"/>
  <c r="AH18" i="8"/>
  <c r="AH17" i="8"/>
  <c r="AI17" i="8"/>
  <c r="AI25" i="8"/>
  <c r="AI18" i="8"/>
  <c r="AJ18" i="8"/>
  <c r="AJ17" i="8"/>
  <c r="AK25" i="8"/>
  <c r="AK17" i="8"/>
  <c r="AK22" i="8"/>
  <c r="AK18" i="8"/>
  <c r="AL17" i="8"/>
  <c r="AL25" i="8"/>
  <c r="AL22" i="8"/>
  <c r="AL18" i="8"/>
  <c r="AM17" i="8"/>
  <c r="AM18" i="8"/>
  <c r="AM25" i="8"/>
  <c r="AM22" i="8"/>
  <c r="AN22" i="8"/>
  <c r="AN18" i="8"/>
  <c r="AN25" i="8"/>
  <c r="AN17" i="8"/>
  <c r="AO25" i="8"/>
  <c r="AO18" i="8"/>
  <c r="AO17" i="8"/>
  <c r="AO22" i="8"/>
  <c r="AP17" i="8"/>
  <c r="AP22" i="8"/>
  <c r="AP18" i="8"/>
  <c r="AP25" i="8"/>
  <c r="AQ17" i="8"/>
  <c r="AQ22" i="8"/>
  <c r="AQ25" i="8"/>
  <c r="AQ18" i="8"/>
  <c r="AR25" i="8"/>
  <c r="AR22" i="8"/>
  <c r="AR18" i="8"/>
  <c r="AR17" i="8"/>
  <c r="AS25" i="8"/>
  <c r="AS17" i="8"/>
  <c r="AS22" i="8"/>
  <c r="AS18" i="8"/>
  <c r="AT25" i="8"/>
  <c r="AT22" i="8"/>
  <c r="AT18" i="8"/>
  <c r="AT17" i="8"/>
  <c r="AU18" i="8"/>
  <c r="AU17" i="8"/>
  <c r="AU22" i="8"/>
  <c r="AU25" i="8"/>
  <c r="AV17" i="8"/>
  <c r="AV25" i="8"/>
  <c r="AV22" i="8"/>
  <c r="AV18" i="8"/>
  <c r="AW18" i="8"/>
  <c r="AW25" i="8"/>
  <c r="AW26" i="8" s="1"/>
  <c r="AW22" i="8"/>
  <c r="AW17" i="8"/>
  <c r="AX18" i="8"/>
  <c r="AX17" i="8"/>
  <c r="AX25" i="8"/>
  <c r="AX26" i="8" s="1"/>
  <c r="AX22" i="8"/>
  <c r="AY22" i="8"/>
  <c r="AY18" i="8"/>
  <c r="AY17" i="8"/>
  <c r="AY25" i="8"/>
  <c r="AZ25" i="8"/>
  <c r="AZ17" i="8"/>
  <c r="AZ22" i="8"/>
  <c r="AZ18" i="8"/>
  <c r="BA25" i="8"/>
  <c r="BA18" i="8"/>
  <c r="BA17" i="8"/>
  <c r="BA22" i="8"/>
  <c r="BB25" i="8"/>
  <c r="BB18" i="8"/>
  <c r="BB17" i="8"/>
  <c r="BB22" i="8"/>
  <c r="BC25" i="8"/>
  <c r="BC17" i="8"/>
  <c r="BC22" i="8"/>
  <c r="BC18" i="8"/>
  <c r="BD18" i="8"/>
  <c r="BD22" i="8"/>
  <c r="BD17" i="8"/>
  <c r="BD25" i="8"/>
  <c r="BE17" i="8"/>
  <c r="BE18" i="8"/>
  <c r="BE22" i="8"/>
  <c r="BE25" i="8"/>
  <c r="BF22" i="8"/>
  <c r="BF18" i="8"/>
  <c r="BF17" i="8"/>
  <c r="BF25" i="8"/>
  <c r="BF26" i="8" s="1"/>
  <c r="BG22" i="8"/>
  <c r="BG18" i="8"/>
  <c r="BG17" i="8"/>
  <c r="BG25" i="8"/>
  <c r="BH18" i="8"/>
  <c r="BH17" i="8"/>
  <c r="BH25" i="8"/>
  <c r="BH22" i="8"/>
  <c r="BI22" i="8"/>
  <c r="BI25" i="8"/>
  <c r="BI26" i="8" s="1"/>
  <c r="BI17" i="8"/>
  <c r="BI18" i="8"/>
  <c r="BJ17" i="8"/>
  <c r="BJ22" i="8"/>
  <c r="BJ25" i="8"/>
  <c r="BJ18" i="8"/>
  <c r="BK17" i="8"/>
  <c r="BK22" i="8"/>
  <c r="BK25" i="8"/>
  <c r="BK18" i="8"/>
  <c r="BL25" i="8"/>
  <c r="BL18" i="8"/>
  <c r="BL17" i="8"/>
  <c r="BL22" i="8"/>
  <c r="BM25" i="8"/>
  <c r="BM18" i="8"/>
  <c r="BM17" i="8"/>
  <c r="BM22" i="8"/>
  <c r="BN18" i="8"/>
  <c r="BN17" i="8"/>
  <c r="BN22" i="8"/>
  <c r="BN25" i="8"/>
  <c r="BO17" i="8"/>
  <c r="BO25" i="8"/>
  <c r="BO26" i="8" s="1"/>
  <c r="BO22" i="8"/>
  <c r="BO18" i="8"/>
  <c r="BP22" i="8"/>
  <c r="BP17" i="8"/>
  <c r="BP25" i="8"/>
  <c r="BP26" i="8" s="1"/>
  <c r="BP18" i="8"/>
  <c r="BQ17" i="8"/>
  <c r="BQ18" i="8"/>
  <c r="BQ25" i="8"/>
  <c r="BQ22" i="8"/>
  <c r="BR22" i="8"/>
  <c r="BR18" i="8"/>
  <c r="BR25" i="8"/>
  <c r="BR17" i="8"/>
  <c r="BS25" i="8"/>
  <c r="BS22" i="8"/>
  <c r="BS18" i="8"/>
  <c r="BS17" i="8"/>
  <c r="BT18" i="8"/>
  <c r="BT22" i="8"/>
  <c r="BT17" i="8"/>
  <c r="BT25" i="8"/>
  <c r="BU17" i="8"/>
  <c r="BU25" i="8"/>
  <c r="BU18" i="8"/>
  <c r="BU22" i="8"/>
  <c r="BV25" i="8"/>
  <c r="BV18" i="8"/>
  <c r="BV22" i="8"/>
  <c r="BV17" i="8"/>
  <c r="BW17" i="8"/>
  <c r="BW22" i="8"/>
  <c r="BW25" i="8"/>
  <c r="BW18" i="8"/>
  <c r="BX25" i="8"/>
  <c r="BX18" i="8"/>
  <c r="BX17" i="8"/>
  <c r="BX22" i="8"/>
  <c r="BY25" i="8"/>
  <c r="BY18" i="8"/>
  <c r="BY17" i="8"/>
  <c r="BY22" i="8"/>
  <c r="BZ17" i="8"/>
  <c r="BZ18" i="8"/>
  <c r="BZ25" i="8"/>
  <c r="BZ22" i="8"/>
  <c r="CA25" i="8"/>
  <c r="CA22" i="8"/>
  <c r="CA18" i="8"/>
  <c r="CA17" i="8"/>
  <c r="CB18" i="8"/>
  <c r="CB25" i="8"/>
  <c r="CB22" i="8"/>
  <c r="CB17" i="8"/>
  <c r="CC25" i="8"/>
  <c r="CC22" i="8"/>
  <c r="CC17" i="8"/>
  <c r="CC18" i="8"/>
  <c r="CD18" i="8"/>
  <c r="CD25" i="8"/>
  <c r="CD26" i="8" s="1"/>
  <c r="CD22" i="8"/>
  <c r="CD17" i="8"/>
  <c r="CE18" i="8"/>
  <c r="CE17" i="8"/>
  <c r="CE25" i="8"/>
  <c r="CE26" i="8" s="1"/>
  <c r="CE22" i="8"/>
  <c r="CF18" i="8"/>
  <c r="CF25" i="8"/>
  <c r="CF22" i="8"/>
  <c r="CF17" i="8"/>
  <c r="CG17" i="8"/>
  <c r="CG22" i="8"/>
  <c r="CG25" i="8"/>
  <c r="CG18" i="8"/>
  <c r="CH25" i="8"/>
  <c r="CH22" i="8"/>
  <c r="CH18" i="8"/>
  <c r="CH17" i="8"/>
  <c r="CI25" i="8"/>
  <c r="CI18" i="8"/>
  <c r="CI22" i="8"/>
  <c r="CI17" i="8"/>
  <c r="CJ25" i="8"/>
  <c r="CJ18" i="8"/>
  <c r="CJ17" i="8"/>
  <c r="CJ22" i="8"/>
  <c r="CK17" i="8"/>
  <c r="CK22" i="8"/>
  <c r="CK25" i="8"/>
  <c r="CK18" i="8"/>
  <c r="CL17" i="8"/>
  <c r="CL25" i="8"/>
  <c r="CL26" i="8" s="1"/>
  <c r="CL18" i="8"/>
  <c r="CL22" i="8"/>
  <c r="CM25" i="8"/>
  <c r="CM18" i="8"/>
  <c r="CM22" i="8"/>
  <c r="CM17" i="8"/>
  <c r="CN22" i="8"/>
  <c r="CN17" i="8"/>
  <c r="CN18" i="8"/>
  <c r="CN25" i="8"/>
  <c r="CO22" i="8"/>
  <c r="CO25" i="8"/>
  <c r="CO26" i="8" s="1"/>
  <c r="CO17" i="8"/>
  <c r="CO18" i="8"/>
  <c r="CP18" i="8"/>
  <c r="CP25" i="8"/>
  <c r="CP26" i="8" s="1"/>
  <c r="CP22" i="8"/>
  <c r="CP17" i="8"/>
  <c r="CQ22" i="8"/>
  <c r="CQ18" i="8"/>
  <c r="CQ17" i="8"/>
  <c r="CQ25" i="8"/>
  <c r="CR25" i="8"/>
  <c r="CR22" i="8"/>
  <c r="CR18" i="8"/>
  <c r="CR17" i="8"/>
  <c r="CS22" i="8"/>
  <c r="CS18" i="8"/>
  <c r="CS17" i="8"/>
  <c r="CS25" i="8"/>
  <c r="CS26" i="8" s="1"/>
  <c r="CT25" i="8"/>
  <c r="CT22" i="8"/>
  <c r="CT18" i="8"/>
  <c r="CT17" i="8"/>
  <c r="CU17" i="8"/>
  <c r="CU22" i="8"/>
  <c r="CU25" i="8"/>
  <c r="CU18" i="8"/>
  <c r="AI28" i="6"/>
  <c r="AI30" i="6" s="1"/>
  <c r="AI21" i="8" s="1"/>
  <c r="AI22" i="8" s="1"/>
  <c r="W28" i="6"/>
  <c r="W30" i="6" s="1"/>
  <c r="W21" i="8" s="1"/>
  <c r="W22" i="8" s="1"/>
  <c r="L28" i="6"/>
  <c r="L30" i="6" s="1"/>
  <c r="L21" i="8" s="1"/>
  <c r="L22" i="8" s="1"/>
  <c r="AH28" i="6"/>
  <c r="AH30" i="6" s="1"/>
  <c r="AH21" i="8" s="1"/>
  <c r="AH22" i="8" s="1"/>
  <c r="V28" i="6"/>
  <c r="V30" i="6" s="1"/>
  <c r="V21" i="8" s="1"/>
  <c r="V22" i="8" s="1"/>
  <c r="K28" i="6"/>
  <c r="K30" i="6" s="1"/>
  <c r="K21" i="8" s="1"/>
  <c r="K22" i="8" s="1"/>
  <c r="AG28" i="6"/>
  <c r="AG30" i="6" s="1"/>
  <c r="AG21" i="8" s="1"/>
  <c r="AG22" i="8" s="1"/>
  <c r="U28" i="6"/>
  <c r="U30" i="6" s="1"/>
  <c r="U21" i="8" s="1"/>
  <c r="U22" i="8" s="1"/>
  <c r="J28" i="6"/>
  <c r="J30" i="6" s="1"/>
  <c r="J21" i="8" s="1"/>
  <c r="J22" i="8" s="1"/>
  <c r="AF28" i="6"/>
  <c r="AF30" i="6" s="1"/>
  <c r="AF21" i="8" s="1"/>
  <c r="AF22" i="8" s="1"/>
  <c r="T28" i="6"/>
  <c r="T30" i="6" s="1"/>
  <c r="T21" i="8" s="1"/>
  <c r="I28" i="6"/>
  <c r="I30" i="6" s="1"/>
  <c r="I21" i="8" s="1"/>
  <c r="I22" i="8" s="1"/>
  <c r="AE28" i="6"/>
  <c r="AE30" i="6" s="1"/>
  <c r="AE21" i="8" s="1"/>
  <c r="AE22" i="8" s="1"/>
  <c r="S28" i="6"/>
  <c r="S30" i="6" s="1"/>
  <c r="S21" i="8" s="1"/>
  <c r="S22" i="8" s="1"/>
  <c r="E13" i="2"/>
  <c r="D13" i="2"/>
  <c r="AD28" i="6"/>
  <c r="AD30" i="6" s="1"/>
  <c r="AD21" i="8" s="1"/>
  <c r="AD22" i="8" s="1"/>
  <c r="R28" i="6"/>
  <c r="R30" i="6" s="1"/>
  <c r="R21" i="8" s="1"/>
  <c r="R22" i="8" s="1"/>
  <c r="B23" i="6"/>
  <c r="CU25" i="6"/>
  <c r="AC28" i="6"/>
  <c r="AC30" i="6" s="1"/>
  <c r="AC21" i="8" s="1"/>
  <c r="AC22" i="8" s="1"/>
  <c r="Q28" i="6"/>
  <c r="Q30" i="6" s="1"/>
  <c r="Q21" i="8" s="1"/>
  <c r="Q22" i="8" s="1"/>
  <c r="AJ25" i="6"/>
  <c r="B22" i="6"/>
  <c r="B27" i="6"/>
  <c r="AB28" i="6"/>
  <c r="AB30" i="6" s="1"/>
  <c r="AB21" i="8" s="1"/>
  <c r="AB22" i="8" s="1"/>
  <c r="P28" i="6"/>
  <c r="P30" i="6" s="1"/>
  <c r="P21" i="8" s="1"/>
  <c r="P22" i="8" s="1"/>
  <c r="D30" i="6"/>
  <c r="AA28" i="6"/>
  <c r="AA30" i="6" s="1"/>
  <c r="AA21" i="8" s="1"/>
  <c r="AA22" i="8" s="1"/>
  <c r="O28" i="6"/>
  <c r="O30" i="6" s="1"/>
  <c r="O21" i="8" s="1"/>
  <c r="O22" i="8" s="1"/>
  <c r="CB26" i="8" l="1"/>
  <c r="AL26" i="8"/>
  <c r="H26" i="8"/>
  <c r="E26" i="8"/>
  <c r="CM26" i="8"/>
  <c r="BC26" i="8"/>
  <c r="AZ26" i="8"/>
  <c r="AT26" i="8"/>
  <c r="AK26" i="8"/>
  <c r="CU26" i="8"/>
  <c r="BZ26" i="8"/>
  <c r="BW26" i="8"/>
  <c r="BQ26" i="8"/>
  <c r="BK26" i="8"/>
  <c r="BH26" i="8"/>
  <c r="AM26" i="8"/>
  <c r="BB26" i="8"/>
  <c r="CQ26" i="8"/>
  <c r="CN26" i="8"/>
  <c r="BG26" i="8"/>
  <c r="AY53" i="8"/>
  <c r="X53" i="8"/>
  <c r="O47" i="8"/>
  <c r="I53" i="8"/>
  <c r="CF26" i="8"/>
  <c r="BN53" i="8"/>
  <c r="BH53" i="8"/>
  <c r="AV26" i="8"/>
  <c r="AS53" i="8"/>
  <c r="AD26" i="8"/>
  <c r="X47" i="8"/>
  <c r="U26" i="8"/>
  <c r="R47" i="8"/>
  <c r="F47" i="8"/>
  <c r="CO53" i="8"/>
  <c r="AJ57" i="8"/>
  <c r="AK31" i="8" s="1"/>
  <c r="AJ56" i="8"/>
  <c r="R53" i="8"/>
  <c r="CU23" i="8"/>
  <c r="CU29" i="6"/>
  <c r="CU30" i="6" s="1"/>
  <c r="CU21" i="8" s="1"/>
  <c r="CU53" i="8"/>
  <c r="CR26" i="8"/>
  <c r="CL53" i="8"/>
  <c r="CI26" i="8"/>
  <c r="CC26" i="8"/>
  <c r="BZ53" i="8"/>
  <c r="BW53" i="8"/>
  <c r="BQ53" i="8"/>
  <c r="BK53" i="8"/>
  <c r="BE53" i="8"/>
  <c r="AV53" i="8"/>
  <c r="AS26" i="8"/>
  <c r="AP53" i="8"/>
  <c r="AM53" i="8"/>
  <c r="AG26" i="8"/>
  <c r="AD47" i="8"/>
  <c r="AA26" i="8"/>
  <c r="R26" i="8"/>
  <c r="O26" i="8"/>
  <c r="L26" i="8"/>
  <c r="I26" i="8"/>
  <c r="B28" i="6"/>
  <c r="CN53" i="8"/>
  <c r="CC53" i="8"/>
  <c r="BT53" i="8"/>
  <c r="BB53" i="8"/>
  <c r="U53" i="8"/>
  <c r="CT53" i="8"/>
  <c r="CH53" i="8"/>
  <c r="CB53" i="8"/>
  <c r="BV53" i="8"/>
  <c r="BS53" i="8"/>
  <c r="BD26" i="8"/>
  <c r="AU26" i="8"/>
  <c r="AR53" i="8"/>
  <c r="AI47" i="8"/>
  <c r="AF53" i="8"/>
  <c r="AC53" i="8"/>
  <c r="Z53" i="8"/>
  <c r="W26" i="8"/>
  <c r="T53" i="8"/>
  <c r="N26" i="8"/>
  <c r="D47" i="8"/>
  <c r="AG47" i="8"/>
  <c r="AA47" i="8"/>
  <c r="L47" i="8"/>
  <c r="F53" i="8"/>
  <c r="D21" i="8"/>
  <c r="CQ53" i="8"/>
  <c r="CK26" i="8"/>
  <c r="BY53" i="8"/>
  <c r="BM53" i="8"/>
  <c r="BJ26" i="8"/>
  <c r="BG53" i="8"/>
  <c r="BD53" i="8"/>
  <c r="BA53" i="8"/>
  <c r="AO53" i="8"/>
  <c r="AI26" i="8"/>
  <c r="AF47" i="8"/>
  <c r="AC47" i="8"/>
  <c r="Z47" i="8"/>
  <c r="W47" i="8"/>
  <c r="T47" i="8"/>
  <c r="Q53" i="8"/>
  <c r="K53" i="8"/>
  <c r="AI53" i="8"/>
  <c r="Q26" i="8"/>
  <c r="N53" i="8"/>
  <c r="K47" i="8"/>
  <c r="H47" i="8"/>
  <c r="CT26" i="8"/>
  <c r="CK53" i="8"/>
  <c r="CH26" i="8"/>
  <c r="BY26" i="8"/>
  <c r="BV26" i="8"/>
  <c r="BS26" i="8"/>
  <c r="BM26" i="8"/>
  <c r="BJ53" i="8"/>
  <c r="BA26" i="8"/>
  <c r="AR26" i="8"/>
  <c r="AO26" i="8"/>
  <c r="AL53" i="8"/>
  <c r="AF26" i="8"/>
  <c r="Z26" i="8"/>
  <c r="W53" i="8"/>
  <c r="T26" i="8"/>
  <c r="Q47" i="8"/>
  <c r="N47" i="8"/>
  <c r="K26" i="8"/>
  <c r="H53" i="8"/>
  <c r="E53" i="8"/>
  <c r="CE53" i="8"/>
  <c r="AU53" i="8"/>
  <c r="AC26" i="8"/>
  <c r="BR53" i="8"/>
  <c r="AW53" i="8"/>
  <c r="AH53" i="8"/>
  <c r="V26" i="8"/>
  <c r="P26" i="8"/>
  <c r="M53" i="8"/>
  <c r="J53" i="8"/>
  <c r="E47" i="8"/>
  <c r="CS53" i="8"/>
  <c r="CJ53" i="8"/>
  <c r="CG26" i="8"/>
  <c r="BX53" i="8"/>
  <c r="BR26" i="8"/>
  <c r="BL53" i="8"/>
  <c r="BI53" i="8"/>
  <c r="BF53" i="8"/>
  <c r="AQ26" i="8"/>
  <c r="AN26" i="8"/>
  <c r="AH47" i="8"/>
  <c r="Y53" i="8"/>
  <c r="V47" i="8"/>
  <c r="S47" i="8"/>
  <c r="M47" i="8"/>
  <c r="J47" i="8"/>
  <c r="G53" i="8"/>
  <c r="E33" i="2"/>
  <c r="D33" i="2"/>
  <c r="CD53" i="8"/>
  <c r="BU26" i="8"/>
  <c r="BC53" i="8"/>
  <c r="AZ53" i="8"/>
  <c r="AK53" i="8"/>
  <c r="AE26" i="8"/>
  <c r="AB47" i="8"/>
  <c r="Y47" i="8"/>
  <c r="V53" i="8"/>
  <c r="P53" i="8"/>
  <c r="G47" i="8"/>
  <c r="CP53" i="8"/>
  <c r="CM53" i="8"/>
  <c r="CA53" i="8"/>
  <c r="AT53" i="8"/>
  <c r="AN53" i="8"/>
  <c r="AB53" i="8"/>
  <c r="CJ26" i="8"/>
  <c r="CG53" i="8"/>
  <c r="CA26" i="8"/>
  <c r="BX26" i="8"/>
  <c r="BU53" i="8"/>
  <c r="BO53" i="8"/>
  <c r="BL26" i="8"/>
  <c r="AQ53" i="8"/>
  <c r="AH26" i="8"/>
  <c r="AE53" i="8"/>
  <c r="AB26" i="8"/>
  <c r="S26" i="8"/>
  <c r="P47" i="8"/>
  <c r="M26" i="8"/>
  <c r="J26" i="8"/>
  <c r="D53" i="8"/>
  <c r="BP53" i="8"/>
  <c r="AX53" i="8"/>
  <c r="AE47" i="8"/>
  <c r="S53" i="8"/>
  <c r="AJ23" i="8"/>
  <c r="AJ29" i="6"/>
  <c r="B25" i="6"/>
  <c r="CR53" i="8"/>
  <c r="CI53" i="8"/>
  <c r="CF53" i="8"/>
  <c r="BT26" i="8"/>
  <c r="BN26" i="8"/>
  <c r="BE26" i="8"/>
  <c r="AY26" i="8"/>
  <c r="AP26" i="8"/>
  <c r="AG53" i="8"/>
  <c r="AD53" i="8"/>
  <c r="AA53" i="8"/>
  <c r="U47" i="8"/>
  <c r="O53" i="8"/>
  <c r="L53" i="8"/>
  <c r="I47" i="8"/>
  <c r="B29" i="6" l="1"/>
  <c r="AJ30" i="6"/>
  <c r="B23" i="8"/>
  <c r="AJ25" i="8"/>
  <c r="AK29" i="8"/>
  <c r="B13" i="8"/>
  <c r="AK32" i="8"/>
  <c r="D22" i="8"/>
  <c r="D41" i="2" l="1"/>
  <c r="C41" i="2"/>
  <c r="B41" i="2"/>
  <c r="J41" i="2"/>
  <c r="H41" i="2"/>
  <c r="I41" i="2"/>
  <c r="G41" i="2"/>
  <c r="B25" i="8"/>
  <c r="E41" i="2"/>
  <c r="F41" i="2"/>
  <c r="B14" i="2"/>
  <c r="AK30" i="8"/>
  <c r="AK36" i="8" s="1"/>
  <c r="AK37" i="8"/>
  <c r="AJ21" i="8"/>
  <c r="B16" i="10"/>
  <c r="B30" i="6"/>
  <c r="B52" i="2"/>
  <c r="D26" i="8"/>
  <c r="D27" i="8" l="1"/>
  <c r="AJ22" i="8"/>
  <c r="B21" i="8"/>
  <c r="C16" i="10"/>
  <c r="D16" i="10"/>
  <c r="AK58" i="8"/>
  <c r="D14" i="2"/>
  <c r="E14" i="2"/>
  <c r="AJ26" i="8" l="1"/>
  <c r="I40" i="2"/>
  <c r="H40" i="2"/>
  <c r="J40" i="2"/>
  <c r="E40" i="2"/>
  <c r="G40" i="2"/>
  <c r="F40" i="2"/>
  <c r="D40" i="2"/>
  <c r="C40" i="2"/>
  <c r="B22" i="8"/>
  <c r="B6" i="8"/>
  <c r="B40" i="2"/>
  <c r="E27" i="8"/>
  <c r="F27" i="8" s="1"/>
  <c r="G27" i="8" s="1"/>
  <c r="H27" i="8" s="1"/>
  <c r="I27" i="8" s="1"/>
  <c r="J27" i="8" s="1"/>
  <c r="K27" i="8" s="1"/>
  <c r="L27" i="8" s="1"/>
  <c r="M27" i="8" s="1"/>
  <c r="N27" i="8" s="1"/>
  <c r="O27" i="8" s="1"/>
  <c r="P27" i="8" s="1"/>
  <c r="Q27" i="8" s="1"/>
  <c r="R27" i="8" s="1"/>
  <c r="S27" i="8" s="1"/>
  <c r="T27" i="8" s="1"/>
  <c r="U27" i="8" s="1"/>
  <c r="V27" i="8" s="1"/>
  <c r="W27" i="8" s="1"/>
  <c r="X27" i="8" s="1"/>
  <c r="Y27" i="8" s="1"/>
  <c r="Z27" i="8" s="1"/>
  <c r="AA27" i="8" s="1"/>
  <c r="AB27" i="8" s="1"/>
  <c r="AC27" i="8" s="1"/>
  <c r="AD27" i="8" s="1"/>
  <c r="AE27" i="8" s="1"/>
  <c r="AF27" i="8" s="1"/>
  <c r="AG27" i="8" s="1"/>
  <c r="AH27" i="8" s="1"/>
  <c r="AI27" i="8" s="1"/>
  <c r="B15" i="2" l="1"/>
  <c r="AJ27" i="8"/>
  <c r="AK27" i="8" s="1"/>
  <c r="AL27" i="8" s="1"/>
  <c r="AM27" i="8" s="1"/>
  <c r="AN27" i="8" s="1"/>
  <c r="AO27" i="8" s="1"/>
  <c r="AP27" i="8" s="1"/>
  <c r="AQ27" i="8" s="1"/>
  <c r="AR27" i="8" s="1"/>
  <c r="AS27" i="8" s="1"/>
  <c r="AT27" i="8" s="1"/>
  <c r="AU27" i="8" s="1"/>
  <c r="AV27" i="8" s="1"/>
  <c r="AW27" i="8" s="1"/>
  <c r="AX27" i="8" s="1"/>
  <c r="AY27" i="8" s="1"/>
  <c r="AZ27" i="8" s="1"/>
  <c r="BA27" i="8" s="1"/>
  <c r="BB27" i="8" s="1"/>
  <c r="BC27" i="8" s="1"/>
  <c r="BD27" i="8" s="1"/>
  <c r="BE27" i="8" s="1"/>
  <c r="BF27" i="8" s="1"/>
  <c r="BG27" i="8" s="1"/>
  <c r="BH27" i="8" s="1"/>
  <c r="BI27" i="8" s="1"/>
  <c r="BJ27" i="8" s="1"/>
  <c r="BK27" i="8" s="1"/>
  <c r="BL27" i="8" s="1"/>
  <c r="BM27" i="8" s="1"/>
  <c r="BN27" i="8" s="1"/>
  <c r="BO27" i="8" s="1"/>
  <c r="BP27" i="8" s="1"/>
  <c r="BQ27" i="8" s="1"/>
  <c r="BR27" i="8" s="1"/>
  <c r="BS27" i="8" s="1"/>
  <c r="BT27" i="8" s="1"/>
  <c r="BU27" i="8" s="1"/>
  <c r="BV27" i="8" s="1"/>
  <c r="BW27" i="8" s="1"/>
  <c r="BX27" i="8" s="1"/>
  <c r="BY27" i="8" s="1"/>
  <c r="BZ27" i="8" s="1"/>
  <c r="CA27" i="8" s="1"/>
  <c r="CB27" i="8" s="1"/>
  <c r="CC27" i="8" s="1"/>
  <c r="CD27" i="8" s="1"/>
  <c r="CE27" i="8" s="1"/>
  <c r="CF27" i="8" s="1"/>
  <c r="CG27" i="8" s="1"/>
  <c r="CH27" i="8" s="1"/>
  <c r="CI27" i="8" s="1"/>
  <c r="CJ27" i="8" s="1"/>
  <c r="CK27" i="8" s="1"/>
  <c r="CL27" i="8" s="1"/>
  <c r="CM27" i="8" s="1"/>
  <c r="CN27" i="8" s="1"/>
  <c r="CO27" i="8" s="1"/>
  <c r="CP27" i="8" s="1"/>
  <c r="CQ27" i="8" s="1"/>
  <c r="CR27" i="8" s="1"/>
  <c r="CS27" i="8" s="1"/>
  <c r="CT27" i="8" s="1"/>
  <c r="CU27" i="8" s="1"/>
  <c r="I42" i="2"/>
  <c r="B26" i="8"/>
  <c r="D42" i="2"/>
  <c r="H42" i="2"/>
  <c r="B9" i="2"/>
  <c r="B42" i="2"/>
  <c r="F42" i="2"/>
  <c r="G42" i="2"/>
  <c r="E42" i="2"/>
  <c r="J42" i="2"/>
  <c r="C42" i="2"/>
  <c r="B6" i="2"/>
  <c r="E6" i="2" l="1"/>
  <c r="D6" i="2"/>
  <c r="B22" i="2"/>
  <c r="E15" i="2"/>
  <c r="D15" i="2"/>
  <c r="D9" i="2"/>
  <c r="E9" i="2"/>
  <c r="E22" i="2" l="1"/>
  <c r="D22" i="2"/>
  <c r="E6" i="10"/>
  <c r="E7" i="10"/>
  <c r="E9" i="10"/>
  <c r="E10" i="10"/>
  <c r="E11" i="10"/>
  <c r="E12" i="10"/>
  <c r="E13" i="10"/>
  <c r="E14" i="10"/>
  <c r="E16" i="10"/>
  <c r="B18" i="10"/>
  <c r="C18" i="10"/>
  <c r="D18" i="10"/>
  <c r="E18" i="10"/>
  <c r="B19" i="10"/>
  <c r="G19" i="10"/>
  <c r="B7" i="8"/>
  <c r="B8" i="8"/>
  <c r="B10" i="8"/>
  <c r="B11" i="8"/>
  <c r="B12" i="8"/>
  <c r="B14" i="8"/>
  <c r="E29" i="8"/>
  <c r="F29" i="8"/>
  <c r="G29" i="8"/>
  <c r="H29" i="8"/>
  <c r="I29" i="8"/>
  <c r="J29" i="8"/>
  <c r="K29" i="8"/>
  <c r="L29" i="8"/>
  <c r="M29" i="8"/>
  <c r="N29" i="8"/>
  <c r="O29" i="8"/>
  <c r="P29" i="8"/>
  <c r="Q29" i="8"/>
  <c r="R29" i="8"/>
  <c r="S29" i="8"/>
  <c r="T29" i="8"/>
  <c r="U29" i="8"/>
  <c r="V29" i="8"/>
  <c r="W29" i="8"/>
  <c r="X29" i="8"/>
  <c r="Y29" i="8"/>
  <c r="Z29" i="8"/>
  <c r="AA29" i="8"/>
  <c r="AB29" i="8"/>
  <c r="AC29" i="8"/>
  <c r="AD29" i="8"/>
  <c r="AE29" i="8"/>
  <c r="AF29" i="8"/>
  <c r="AG29" i="8"/>
  <c r="AH29" i="8"/>
  <c r="AI29" i="8"/>
  <c r="AJ29" i="8"/>
  <c r="AL29" i="8"/>
  <c r="AM29" i="8"/>
  <c r="AN29" i="8"/>
  <c r="AO29" i="8"/>
  <c r="AP29" i="8"/>
  <c r="AQ29" i="8"/>
  <c r="AR29" i="8"/>
  <c r="AS29" i="8"/>
  <c r="AT29" i="8"/>
  <c r="AU29" i="8"/>
  <c r="AV29" i="8"/>
  <c r="AW29" i="8"/>
  <c r="AX29" i="8"/>
  <c r="AY29" i="8"/>
  <c r="AZ29" i="8"/>
  <c r="BA29" i="8"/>
  <c r="BB29" i="8"/>
  <c r="BC29" i="8"/>
  <c r="BD29" i="8"/>
  <c r="BE29" i="8"/>
  <c r="BF29" i="8"/>
  <c r="BG29" i="8"/>
  <c r="BH29" i="8"/>
  <c r="BI29" i="8"/>
  <c r="BJ29" i="8"/>
  <c r="BK29" i="8"/>
  <c r="BL29" i="8"/>
  <c r="BM29" i="8"/>
  <c r="BN29" i="8"/>
  <c r="BO29" i="8"/>
  <c r="BP29" i="8"/>
  <c r="BQ29" i="8"/>
  <c r="BR29" i="8"/>
  <c r="BS29" i="8"/>
  <c r="BT29" i="8"/>
  <c r="BU29" i="8"/>
  <c r="BV29" i="8"/>
  <c r="BW29" i="8"/>
  <c r="BX29" i="8"/>
  <c r="BY29" i="8"/>
  <c r="BZ29" i="8"/>
  <c r="CA29" i="8"/>
  <c r="CB29" i="8"/>
  <c r="CC29" i="8"/>
  <c r="CD29" i="8"/>
  <c r="CE29" i="8"/>
  <c r="CF29" i="8"/>
  <c r="CG29" i="8"/>
  <c r="CH29" i="8"/>
  <c r="CI29" i="8"/>
  <c r="CJ29" i="8"/>
  <c r="CK29" i="8"/>
  <c r="CL29" i="8"/>
  <c r="CM29" i="8"/>
  <c r="CN29" i="8"/>
  <c r="CO29" i="8"/>
  <c r="CP29" i="8"/>
  <c r="CQ29" i="8"/>
  <c r="CR29" i="8"/>
  <c r="CS29" i="8"/>
  <c r="CT29" i="8"/>
  <c r="CU29" i="8"/>
  <c r="B30" i="8"/>
  <c r="E30" i="8"/>
  <c r="F30" i="8"/>
  <c r="G30" i="8"/>
  <c r="H30" i="8"/>
  <c r="I30" i="8"/>
  <c r="J30" i="8"/>
  <c r="K30" i="8"/>
  <c r="L30" i="8"/>
  <c r="M30" i="8"/>
  <c r="N30" i="8"/>
  <c r="O30" i="8"/>
  <c r="P30" i="8"/>
  <c r="Q30" i="8"/>
  <c r="R30" i="8"/>
  <c r="S30" i="8"/>
  <c r="T30" i="8"/>
  <c r="U30" i="8"/>
  <c r="V30" i="8"/>
  <c r="W30" i="8"/>
  <c r="X30" i="8"/>
  <c r="Y30" i="8"/>
  <c r="Z30" i="8"/>
  <c r="AA30" i="8"/>
  <c r="AB30" i="8"/>
  <c r="AC30" i="8"/>
  <c r="AD30" i="8"/>
  <c r="AE30" i="8"/>
  <c r="AF30" i="8"/>
  <c r="AG30" i="8"/>
  <c r="AH30" i="8"/>
  <c r="AI30" i="8"/>
  <c r="AJ30" i="8"/>
  <c r="AL30" i="8"/>
  <c r="AM30" i="8"/>
  <c r="AN30" i="8"/>
  <c r="AO30" i="8"/>
  <c r="AP30" i="8"/>
  <c r="AQ30" i="8"/>
  <c r="AR30" i="8"/>
  <c r="AS30" i="8"/>
  <c r="AT30" i="8"/>
  <c r="AU30" i="8"/>
  <c r="AV30" i="8"/>
  <c r="AW30" i="8"/>
  <c r="AX30" i="8"/>
  <c r="AY30" i="8"/>
  <c r="AZ30" i="8"/>
  <c r="BA30" i="8"/>
  <c r="BB30" i="8"/>
  <c r="BC30" i="8"/>
  <c r="BD30" i="8"/>
  <c r="BE30" i="8"/>
  <c r="BF30" i="8"/>
  <c r="BG30" i="8"/>
  <c r="BH30" i="8"/>
  <c r="BI30" i="8"/>
  <c r="BJ30" i="8"/>
  <c r="BK30" i="8"/>
  <c r="BL30" i="8"/>
  <c r="BM30" i="8"/>
  <c r="BN30" i="8"/>
  <c r="BO30" i="8"/>
  <c r="BP30" i="8"/>
  <c r="BQ30" i="8"/>
  <c r="BR30" i="8"/>
  <c r="BS30" i="8"/>
  <c r="BT30" i="8"/>
  <c r="BU30" i="8"/>
  <c r="BV30" i="8"/>
  <c r="BW30" i="8"/>
  <c r="BX30" i="8"/>
  <c r="BY30" i="8"/>
  <c r="BZ30" i="8"/>
  <c r="CA30" i="8"/>
  <c r="CB30" i="8"/>
  <c r="CC30" i="8"/>
  <c r="CD30" i="8"/>
  <c r="CE30" i="8"/>
  <c r="CF30" i="8"/>
  <c r="CG30" i="8"/>
  <c r="CH30" i="8"/>
  <c r="CI30" i="8"/>
  <c r="CJ30" i="8"/>
  <c r="CK30" i="8"/>
  <c r="CL30" i="8"/>
  <c r="CM30" i="8"/>
  <c r="CN30" i="8"/>
  <c r="CO30" i="8"/>
  <c r="CP30" i="8"/>
  <c r="CQ30" i="8"/>
  <c r="CR30" i="8"/>
  <c r="CS30" i="8"/>
  <c r="CT30" i="8"/>
  <c r="CU30" i="8"/>
  <c r="E31" i="8"/>
  <c r="F31" i="8"/>
  <c r="G31" i="8"/>
  <c r="H31" i="8"/>
  <c r="I31" i="8"/>
  <c r="J31" i="8"/>
  <c r="K31" i="8"/>
  <c r="L31" i="8"/>
  <c r="M31" i="8"/>
  <c r="N31" i="8"/>
  <c r="O31" i="8"/>
  <c r="P31" i="8"/>
  <c r="Q31" i="8"/>
  <c r="R31" i="8"/>
  <c r="S31" i="8"/>
  <c r="T31" i="8"/>
  <c r="U31" i="8"/>
  <c r="V31" i="8"/>
  <c r="W31" i="8"/>
  <c r="X31" i="8"/>
  <c r="Y31" i="8"/>
  <c r="Z31" i="8"/>
  <c r="AA31" i="8"/>
  <c r="AB31" i="8"/>
  <c r="AC31" i="8"/>
  <c r="AD31" i="8"/>
  <c r="AE31" i="8"/>
  <c r="AF31" i="8"/>
  <c r="AG31" i="8"/>
  <c r="AH31" i="8"/>
  <c r="AI31" i="8"/>
  <c r="AJ31" i="8"/>
  <c r="AL31" i="8"/>
  <c r="AM31" i="8"/>
  <c r="AN31" i="8"/>
  <c r="AO31" i="8"/>
  <c r="AP31" i="8"/>
  <c r="AQ31" i="8"/>
  <c r="AR31" i="8"/>
  <c r="AS31" i="8"/>
  <c r="AT31" i="8"/>
  <c r="AU31" i="8"/>
  <c r="AV31" i="8"/>
  <c r="AW31" i="8"/>
  <c r="AX31" i="8"/>
  <c r="AY31" i="8"/>
  <c r="AZ31" i="8"/>
  <c r="BA31" i="8"/>
  <c r="BB31" i="8"/>
  <c r="BC31" i="8"/>
  <c r="BD31" i="8"/>
  <c r="BE31" i="8"/>
  <c r="BF31" i="8"/>
  <c r="BG31" i="8"/>
  <c r="BH31" i="8"/>
  <c r="BI31" i="8"/>
  <c r="BJ31" i="8"/>
  <c r="BK31" i="8"/>
  <c r="BL31" i="8"/>
  <c r="BM31" i="8"/>
  <c r="BN31" i="8"/>
  <c r="BO31" i="8"/>
  <c r="BP31" i="8"/>
  <c r="BQ31" i="8"/>
  <c r="BR31" i="8"/>
  <c r="BS31" i="8"/>
  <c r="BT31" i="8"/>
  <c r="BU31" i="8"/>
  <c r="BV31" i="8"/>
  <c r="BW31" i="8"/>
  <c r="BX31" i="8"/>
  <c r="BY31" i="8"/>
  <c r="BZ31" i="8"/>
  <c r="CA31" i="8"/>
  <c r="CB31" i="8"/>
  <c r="CC31" i="8"/>
  <c r="CD31" i="8"/>
  <c r="CE31" i="8"/>
  <c r="CF31" i="8"/>
  <c r="CG31" i="8"/>
  <c r="CH31" i="8"/>
  <c r="CI31" i="8"/>
  <c r="CJ31" i="8"/>
  <c r="CK31" i="8"/>
  <c r="CL31" i="8"/>
  <c r="CM31" i="8"/>
  <c r="CN31" i="8"/>
  <c r="CO31" i="8"/>
  <c r="CP31" i="8"/>
  <c r="CQ31" i="8"/>
  <c r="CR31" i="8"/>
  <c r="CS31" i="8"/>
  <c r="CT31" i="8"/>
  <c r="CU31" i="8"/>
  <c r="B32" i="8"/>
  <c r="E32" i="8"/>
  <c r="F32" i="8"/>
  <c r="G32" i="8"/>
  <c r="H32" i="8"/>
  <c r="I32" i="8"/>
  <c r="J32" i="8"/>
  <c r="K32" i="8"/>
  <c r="L32" i="8"/>
  <c r="M32" i="8"/>
  <c r="N32" i="8"/>
  <c r="O32" i="8"/>
  <c r="P32" i="8"/>
  <c r="Q32" i="8"/>
  <c r="R32" i="8"/>
  <c r="S32" i="8"/>
  <c r="T32" i="8"/>
  <c r="U32" i="8"/>
  <c r="V32" i="8"/>
  <c r="W32" i="8"/>
  <c r="X32" i="8"/>
  <c r="Y32" i="8"/>
  <c r="Z32" i="8"/>
  <c r="AA32" i="8"/>
  <c r="AB32" i="8"/>
  <c r="AC32" i="8"/>
  <c r="AD32" i="8"/>
  <c r="AE32" i="8"/>
  <c r="AF32" i="8"/>
  <c r="AG32" i="8"/>
  <c r="AH32" i="8"/>
  <c r="AI32" i="8"/>
  <c r="AJ32" i="8"/>
  <c r="AL32" i="8"/>
  <c r="AM32" i="8"/>
  <c r="AN32" i="8"/>
  <c r="AO32" i="8"/>
  <c r="AP32" i="8"/>
  <c r="AQ32" i="8"/>
  <c r="AR32" i="8"/>
  <c r="AS32" i="8"/>
  <c r="AT32" i="8"/>
  <c r="AU32" i="8"/>
  <c r="AV32" i="8"/>
  <c r="AW32" i="8"/>
  <c r="AX32" i="8"/>
  <c r="AY32" i="8"/>
  <c r="AZ32" i="8"/>
  <c r="BA32" i="8"/>
  <c r="BB32" i="8"/>
  <c r="BC32" i="8"/>
  <c r="BD32" i="8"/>
  <c r="BE32" i="8"/>
  <c r="BF32" i="8"/>
  <c r="BG32" i="8"/>
  <c r="BH32" i="8"/>
  <c r="BI32" i="8"/>
  <c r="BJ32" i="8"/>
  <c r="BK32" i="8"/>
  <c r="BL32" i="8"/>
  <c r="BM32" i="8"/>
  <c r="BN32" i="8"/>
  <c r="BO32" i="8"/>
  <c r="BP32" i="8"/>
  <c r="BQ32" i="8"/>
  <c r="BR32" i="8"/>
  <c r="BS32" i="8"/>
  <c r="BT32" i="8"/>
  <c r="BU32" i="8"/>
  <c r="BV32" i="8"/>
  <c r="BW32" i="8"/>
  <c r="BX32" i="8"/>
  <c r="BY32" i="8"/>
  <c r="BZ32" i="8"/>
  <c r="CA32" i="8"/>
  <c r="CB32" i="8"/>
  <c r="CC32" i="8"/>
  <c r="CD32" i="8"/>
  <c r="CE32" i="8"/>
  <c r="CF32" i="8"/>
  <c r="CG32" i="8"/>
  <c r="CH32" i="8"/>
  <c r="CI32" i="8"/>
  <c r="CJ32" i="8"/>
  <c r="CK32" i="8"/>
  <c r="CL32" i="8"/>
  <c r="CM32" i="8"/>
  <c r="CN32" i="8"/>
  <c r="CO32" i="8"/>
  <c r="CP32" i="8"/>
  <c r="CQ32" i="8"/>
  <c r="CR32" i="8"/>
  <c r="CS32" i="8"/>
  <c r="CT32" i="8"/>
  <c r="CU32" i="8"/>
  <c r="B33" i="8"/>
  <c r="D33" i="8"/>
  <c r="E33" i="8"/>
  <c r="F33" i="8"/>
  <c r="G33" i="8"/>
  <c r="H33" i="8"/>
  <c r="I33" i="8"/>
  <c r="J33" i="8"/>
  <c r="K33" i="8"/>
  <c r="L33" i="8"/>
  <c r="M33" i="8"/>
  <c r="N33" i="8"/>
  <c r="O33" i="8"/>
  <c r="P33" i="8"/>
  <c r="Q33" i="8"/>
  <c r="R33" i="8"/>
  <c r="S33" i="8"/>
  <c r="T33" i="8"/>
  <c r="U33" i="8"/>
  <c r="V33" i="8"/>
  <c r="W33" i="8"/>
  <c r="X33" i="8"/>
  <c r="Y33" i="8"/>
  <c r="Z33" i="8"/>
  <c r="AA33" i="8"/>
  <c r="AB33" i="8"/>
  <c r="AC33" i="8"/>
  <c r="AD33" i="8"/>
  <c r="AE33" i="8"/>
  <c r="AF33" i="8"/>
  <c r="AG33" i="8"/>
  <c r="AH33" i="8"/>
  <c r="AI33" i="8"/>
  <c r="AJ33" i="8"/>
  <c r="AK33" i="8"/>
  <c r="AL33" i="8"/>
  <c r="AM33" i="8"/>
  <c r="AN33" i="8"/>
  <c r="AO33" i="8"/>
  <c r="AP33" i="8"/>
  <c r="AQ33" i="8"/>
  <c r="AR33" i="8"/>
  <c r="AS33" i="8"/>
  <c r="AT33" i="8"/>
  <c r="AU33" i="8"/>
  <c r="AV33" i="8"/>
  <c r="AW33" i="8"/>
  <c r="AX33" i="8"/>
  <c r="AY33" i="8"/>
  <c r="AZ33" i="8"/>
  <c r="BA33" i="8"/>
  <c r="BB33" i="8"/>
  <c r="BC33" i="8"/>
  <c r="BD33" i="8"/>
  <c r="BE33" i="8"/>
  <c r="BF33" i="8"/>
  <c r="BG33" i="8"/>
  <c r="BH33" i="8"/>
  <c r="BI33" i="8"/>
  <c r="BJ33" i="8"/>
  <c r="BK33" i="8"/>
  <c r="BL33" i="8"/>
  <c r="BM33" i="8"/>
  <c r="BN33" i="8"/>
  <c r="BO33" i="8"/>
  <c r="BP33" i="8"/>
  <c r="BQ33" i="8"/>
  <c r="BR33" i="8"/>
  <c r="BS33" i="8"/>
  <c r="BT33" i="8"/>
  <c r="BU33" i="8"/>
  <c r="BV33" i="8"/>
  <c r="BW33" i="8"/>
  <c r="BX33" i="8"/>
  <c r="BY33" i="8"/>
  <c r="BZ33" i="8"/>
  <c r="CA33" i="8"/>
  <c r="CB33" i="8"/>
  <c r="CC33" i="8"/>
  <c r="CD33" i="8"/>
  <c r="CE33" i="8"/>
  <c r="CF33" i="8"/>
  <c r="CG33" i="8"/>
  <c r="CH33" i="8"/>
  <c r="CI33" i="8"/>
  <c r="CJ33" i="8"/>
  <c r="CK33" i="8"/>
  <c r="CL33" i="8"/>
  <c r="CM33" i="8"/>
  <c r="CN33" i="8"/>
  <c r="CO33" i="8"/>
  <c r="CP33" i="8"/>
  <c r="CQ33" i="8"/>
  <c r="CR33" i="8"/>
  <c r="CS33" i="8"/>
  <c r="CT33" i="8"/>
  <c r="CU33" i="8"/>
  <c r="B34" i="8"/>
  <c r="D34" i="8"/>
  <c r="E34" i="8"/>
  <c r="F34" i="8"/>
  <c r="G34" i="8"/>
  <c r="H34" i="8"/>
  <c r="I34" i="8"/>
  <c r="J34" i="8"/>
  <c r="K34" i="8"/>
  <c r="L34" i="8"/>
  <c r="M34" i="8"/>
  <c r="N34" i="8"/>
  <c r="O34" i="8"/>
  <c r="P34" i="8"/>
  <c r="Q34" i="8"/>
  <c r="R34" i="8"/>
  <c r="S34" i="8"/>
  <c r="T34" i="8"/>
  <c r="U34" i="8"/>
  <c r="V34" i="8"/>
  <c r="W34" i="8"/>
  <c r="X34" i="8"/>
  <c r="Y34" i="8"/>
  <c r="Z34" i="8"/>
  <c r="AA34" i="8"/>
  <c r="AB34" i="8"/>
  <c r="AC34" i="8"/>
  <c r="AD34" i="8"/>
  <c r="AE34" i="8"/>
  <c r="AF34" i="8"/>
  <c r="AG34" i="8"/>
  <c r="AH34" i="8"/>
  <c r="AI34" i="8"/>
  <c r="AJ34" i="8"/>
  <c r="B35" i="8"/>
  <c r="D35" i="8"/>
  <c r="E35" i="8"/>
  <c r="F35" i="8"/>
  <c r="G35" i="8"/>
  <c r="H35" i="8"/>
  <c r="I35" i="8"/>
  <c r="J35" i="8"/>
  <c r="K35" i="8"/>
  <c r="L35" i="8"/>
  <c r="M35" i="8"/>
  <c r="N35" i="8"/>
  <c r="O35" i="8"/>
  <c r="P35" i="8"/>
  <c r="Q35" i="8"/>
  <c r="R35" i="8"/>
  <c r="S35" i="8"/>
  <c r="T35" i="8"/>
  <c r="U35" i="8"/>
  <c r="V35" i="8"/>
  <c r="W35" i="8"/>
  <c r="X35" i="8"/>
  <c r="Y35" i="8"/>
  <c r="Z35" i="8"/>
  <c r="AA35" i="8"/>
  <c r="AB35" i="8"/>
  <c r="AC35" i="8"/>
  <c r="AD35" i="8"/>
  <c r="AE35" i="8"/>
  <c r="AF35" i="8"/>
  <c r="AG35" i="8"/>
  <c r="AH35" i="8"/>
  <c r="AI35" i="8"/>
  <c r="AJ35" i="8"/>
  <c r="B36" i="8"/>
  <c r="D36" i="8"/>
  <c r="E36" i="8"/>
  <c r="F36" i="8"/>
  <c r="G36" i="8"/>
  <c r="H36" i="8"/>
  <c r="I36" i="8"/>
  <c r="J36" i="8"/>
  <c r="K36" i="8"/>
  <c r="L36" i="8"/>
  <c r="M36" i="8"/>
  <c r="N36" i="8"/>
  <c r="O36" i="8"/>
  <c r="P36" i="8"/>
  <c r="Q36" i="8"/>
  <c r="R36" i="8"/>
  <c r="S36" i="8"/>
  <c r="T36" i="8"/>
  <c r="U36" i="8"/>
  <c r="V36" i="8"/>
  <c r="W36" i="8"/>
  <c r="X36" i="8"/>
  <c r="Y36" i="8"/>
  <c r="Z36" i="8"/>
  <c r="AA36" i="8"/>
  <c r="AB36" i="8"/>
  <c r="AC36" i="8"/>
  <c r="AD36" i="8"/>
  <c r="AE36" i="8"/>
  <c r="AF36" i="8"/>
  <c r="AG36" i="8"/>
  <c r="AH36" i="8"/>
  <c r="AI36" i="8"/>
  <c r="AJ36" i="8"/>
  <c r="AL36" i="8"/>
  <c r="AM36" i="8"/>
  <c r="AN36" i="8"/>
  <c r="AO36" i="8"/>
  <c r="AP36" i="8"/>
  <c r="AQ36" i="8"/>
  <c r="AR36" i="8"/>
  <c r="AS36" i="8"/>
  <c r="AT36" i="8"/>
  <c r="AU36" i="8"/>
  <c r="AV36" i="8"/>
  <c r="AW36" i="8"/>
  <c r="AX36" i="8"/>
  <c r="AY36" i="8"/>
  <c r="AZ36" i="8"/>
  <c r="BA36" i="8"/>
  <c r="BB36" i="8"/>
  <c r="BC36" i="8"/>
  <c r="BD36" i="8"/>
  <c r="BE36" i="8"/>
  <c r="BF36" i="8"/>
  <c r="BG36" i="8"/>
  <c r="BH36" i="8"/>
  <c r="BI36" i="8"/>
  <c r="BJ36" i="8"/>
  <c r="BK36" i="8"/>
  <c r="BL36" i="8"/>
  <c r="BM36" i="8"/>
  <c r="BN36" i="8"/>
  <c r="BO36" i="8"/>
  <c r="BP36" i="8"/>
  <c r="BQ36" i="8"/>
  <c r="BR36" i="8"/>
  <c r="BS36" i="8"/>
  <c r="BT36" i="8"/>
  <c r="BU36" i="8"/>
  <c r="BV36" i="8"/>
  <c r="BW36" i="8"/>
  <c r="BX36" i="8"/>
  <c r="BY36" i="8"/>
  <c r="BZ36" i="8"/>
  <c r="CA36" i="8"/>
  <c r="CB36" i="8"/>
  <c r="CC36" i="8"/>
  <c r="CD36" i="8"/>
  <c r="CE36" i="8"/>
  <c r="CF36" i="8"/>
  <c r="CG36" i="8"/>
  <c r="CH36" i="8"/>
  <c r="CI36" i="8"/>
  <c r="CJ36" i="8"/>
  <c r="CK36" i="8"/>
  <c r="CL36" i="8"/>
  <c r="CM36" i="8"/>
  <c r="CN36" i="8"/>
  <c r="CO36" i="8"/>
  <c r="CP36" i="8"/>
  <c r="CQ36" i="8"/>
  <c r="CR36" i="8"/>
  <c r="CS36" i="8"/>
  <c r="CT36" i="8"/>
  <c r="CU36" i="8"/>
  <c r="B37" i="8"/>
  <c r="E37" i="8"/>
  <c r="F37" i="8"/>
  <c r="G37" i="8"/>
  <c r="H37" i="8"/>
  <c r="I37" i="8"/>
  <c r="J37" i="8"/>
  <c r="K37" i="8"/>
  <c r="L37" i="8"/>
  <c r="M37" i="8"/>
  <c r="N37" i="8"/>
  <c r="O37" i="8"/>
  <c r="P37" i="8"/>
  <c r="Q37" i="8"/>
  <c r="R37" i="8"/>
  <c r="S37" i="8"/>
  <c r="T37" i="8"/>
  <c r="U37" i="8"/>
  <c r="V37" i="8"/>
  <c r="W37" i="8"/>
  <c r="X37" i="8"/>
  <c r="Y37" i="8"/>
  <c r="Z37" i="8"/>
  <c r="AA37" i="8"/>
  <c r="AB37" i="8"/>
  <c r="AC37" i="8"/>
  <c r="AD37" i="8"/>
  <c r="AE37" i="8"/>
  <c r="AF37" i="8"/>
  <c r="AG37" i="8"/>
  <c r="AH37" i="8"/>
  <c r="AI37" i="8"/>
  <c r="AJ37" i="8"/>
  <c r="AL37" i="8"/>
  <c r="AM37" i="8"/>
  <c r="AN37" i="8"/>
  <c r="AO37" i="8"/>
  <c r="AP37" i="8"/>
  <c r="AQ37" i="8"/>
  <c r="AR37" i="8"/>
  <c r="AS37" i="8"/>
  <c r="AT37" i="8"/>
  <c r="AU37" i="8"/>
  <c r="AV37" i="8"/>
  <c r="AW37" i="8"/>
  <c r="AX37" i="8"/>
  <c r="AY37" i="8"/>
  <c r="AZ37" i="8"/>
  <c r="BA37" i="8"/>
  <c r="BB37" i="8"/>
  <c r="BC37" i="8"/>
  <c r="BD37" i="8"/>
  <c r="BE37" i="8"/>
  <c r="BF37" i="8"/>
  <c r="BG37" i="8"/>
  <c r="BH37" i="8"/>
  <c r="BI37" i="8"/>
  <c r="BJ37" i="8"/>
  <c r="BK37" i="8"/>
  <c r="BL37" i="8"/>
  <c r="BM37" i="8"/>
  <c r="BN37" i="8"/>
  <c r="BO37" i="8"/>
  <c r="BP37" i="8"/>
  <c r="BQ37" i="8"/>
  <c r="BR37" i="8"/>
  <c r="BS37" i="8"/>
  <c r="BT37" i="8"/>
  <c r="BU37" i="8"/>
  <c r="BV37" i="8"/>
  <c r="BW37" i="8"/>
  <c r="BX37" i="8"/>
  <c r="BY37" i="8"/>
  <c r="BZ37" i="8"/>
  <c r="CA37" i="8"/>
  <c r="CB37" i="8"/>
  <c r="CC37" i="8"/>
  <c r="CD37" i="8"/>
  <c r="CE37" i="8"/>
  <c r="CF37" i="8"/>
  <c r="CG37" i="8"/>
  <c r="CH37" i="8"/>
  <c r="CI37" i="8"/>
  <c r="CJ37" i="8"/>
  <c r="CK37" i="8"/>
  <c r="CL37" i="8"/>
  <c r="CM37" i="8"/>
  <c r="CN37" i="8"/>
  <c r="CO37" i="8"/>
  <c r="CP37" i="8"/>
  <c r="CQ37" i="8"/>
  <c r="CR37" i="8"/>
  <c r="CS37" i="8"/>
  <c r="CT37" i="8"/>
  <c r="CU37" i="8"/>
  <c r="D38" i="8"/>
  <c r="E38" i="8"/>
  <c r="F38" i="8"/>
  <c r="G38" i="8"/>
  <c r="H38" i="8"/>
  <c r="I38" i="8"/>
  <c r="J38" i="8"/>
  <c r="K38" i="8"/>
  <c r="L38" i="8"/>
  <c r="M38" i="8"/>
  <c r="N38" i="8"/>
  <c r="O38" i="8"/>
  <c r="P38" i="8"/>
  <c r="Q38" i="8"/>
  <c r="R38" i="8"/>
  <c r="S38" i="8"/>
  <c r="T38" i="8"/>
  <c r="U38" i="8"/>
  <c r="V38" i="8"/>
  <c r="W38" i="8"/>
  <c r="X38" i="8"/>
  <c r="Y38" i="8"/>
  <c r="Z38" i="8"/>
  <c r="AA38" i="8"/>
  <c r="AB38" i="8"/>
  <c r="AC38" i="8"/>
  <c r="AD38" i="8"/>
  <c r="AE38" i="8"/>
  <c r="AF38" i="8"/>
  <c r="AG38" i="8"/>
  <c r="AH38" i="8"/>
  <c r="AI38" i="8"/>
  <c r="AJ38" i="8"/>
  <c r="AK38" i="8"/>
  <c r="AL38" i="8"/>
  <c r="AM38" i="8"/>
  <c r="AN38" i="8"/>
  <c r="AO38" i="8"/>
  <c r="AP38" i="8"/>
  <c r="AQ38" i="8"/>
  <c r="AR38" i="8"/>
  <c r="AS38" i="8"/>
  <c r="AT38" i="8"/>
  <c r="AU38" i="8"/>
  <c r="AV38" i="8"/>
  <c r="AW38" i="8"/>
  <c r="AX38" i="8"/>
  <c r="AY38" i="8"/>
  <c r="AZ38" i="8"/>
  <c r="BA38" i="8"/>
  <c r="BB38" i="8"/>
  <c r="BC38" i="8"/>
  <c r="BD38" i="8"/>
  <c r="BE38" i="8"/>
  <c r="BF38" i="8"/>
  <c r="BG38" i="8"/>
  <c r="BH38" i="8"/>
  <c r="BI38" i="8"/>
  <c r="BJ38" i="8"/>
  <c r="BK38" i="8"/>
  <c r="BL38" i="8"/>
  <c r="BM38" i="8"/>
  <c r="BN38" i="8"/>
  <c r="BO38" i="8"/>
  <c r="BP38" i="8"/>
  <c r="BQ38" i="8"/>
  <c r="BR38" i="8"/>
  <c r="BS38" i="8"/>
  <c r="BT38" i="8"/>
  <c r="BU38" i="8"/>
  <c r="BV38" i="8"/>
  <c r="BW38" i="8"/>
  <c r="BX38" i="8"/>
  <c r="BY38" i="8"/>
  <c r="BZ38" i="8"/>
  <c r="CA38" i="8"/>
  <c r="CB38" i="8"/>
  <c r="CC38" i="8"/>
  <c r="CD38" i="8"/>
  <c r="CE38" i="8"/>
  <c r="CF38" i="8"/>
  <c r="CG38" i="8"/>
  <c r="CH38" i="8"/>
  <c r="CI38" i="8"/>
  <c r="CJ38" i="8"/>
  <c r="CK38" i="8"/>
  <c r="CL38" i="8"/>
  <c r="CM38" i="8"/>
  <c r="CN38" i="8"/>
  <c r="CO38" i="8"/>
  <c r="CP38" i="8"/>
  <c r="CQ38" i="8"/>
  <c r="CR38" i="8"/>
  <c r="CS38" i="8"/>
  <c r="CT38" i="8"/>
  <c r="CU38" i="8"/>
  <c r="E39" i="8"/>
  <c r="F39" i="8"/>
  <c r="G39" i="8"/>
  <c r="H39" i="8"/>
  <c r="I39" i="8"/>
  <c r="J39" i="8"/>
  <c r="K39" i="8"/>
  <c r="L39" i="8"/>
  <c r="M39" i="8"/>
  <c r="N39" i="8"/>
  <c r="O39" i="8"/>
  <c r="P39" i="8"/>
  <c r="Q39" i="8"/>
  <c r="R39" i="8"/>
  <c r="S39" i="8"/>
  <c r="T39" i="8"/>
  <c r="U39" i="8"/>
  <c r="V39" i="8"/>
  <c r="W39" i="8"/>
  <c r="X39" i="8"/>
  <c r="Y39" i="8"/>
  <c r="Z39" i="8"/>
  <c r="AA39" i="8"/>
  <c r="AB39" i="8"/>
  <c r="AC39" i="8"/>
  <c r="AD39" i="8"/>
  <c r="AE39" i="8"/>
  <c r="AF39" i="8"/>
  <c r="AG39" i="8"/>
  <c r="AH39" i="8"/>
  <c r="AI39" i="8"/>
  <c r="AJ39" i="8"/>
  <c r="AK39" i="8"/>
  <c r="AL39" i="8"/>
  <c r="AM39" i="8"/>
  <c r="AN39" i="8"/>
  <c r="AO39" i="8"/>
  <c r="AP39" i="8"/>
  <c r="AQ39" i="8"/>
  <c r="AR39" i="8"/>
  <c r="AS39" i="8"/>
  <c r="AT39" i="8"/>
  <c r="AU39" i="8"/>
  <c r="AV39" i="8"/>
  <c r="AW39" i="8"/>
  <c r="AX39" i="8"/>
  <c r="AY39" i="8"/>
  <c r="AZ39" i="8"/>
  <c r="BA39" i="8"/>
  <c r="BB39" i="8"/>
  <c r="BC39" i="8"/>
  <c r="BD39" i="8"/>
  <c r="BE39" i="8"/>
  <c r="BF39" i="8"/>
  <c r="BG39" i="8"/>
  <c r="BH39" i="8"/>
  <c r="BI39" i="8"/>
  <c r="BJ39" i="8"/>
  <c r="BK39" i="8"/>
  <c r="BL39" i="8"/>
  <c r="BM39" i="8"/>
  <c r="BN39" i="8"/>
  <c r="BO39" i="8"/>
  <c r="BP39" i="8"/>
  <c r="BQ39" i="8"/>
  <c r="BR39" i="8"/>
  <c r="BS39" i="8"/>
  <c r="BT39" i="8"/>
  <c r="BU39" i="8"/>
  <c r="BV39" i="8"/>
  <c r="BW39" i="8"/>
  <c r="BX39" i="8"/>
  <c r="BY39" i="8"/>
  <c r="BZ39" i="8"/>
  <c r="CA39" i="8"/>
  <c r="CB39" i="8"/>
  <c r="CC39" i="8"/>
  <c r="CD39" i="8"/>
  <c r="CE39" i="8"/>
  <c r="CF39" i="8"/>
  <c r="CG39" i="8"/>
  <c r="CH39" i="8"/>
  <c r="CI39" i="8"/>
  <c r="CJ39" i="8"/>
  <c r="CK39" i="8"/>
  <c r="CL39" i="8"/>
  <c r="CM39" i="8"/>
  <c r="CN39" i="8"/>
  <c r="CO39" i="8"/>
  <c r="CP39" i="8"/>
  <c r="CQ39" i="8"/>
  <c r="CR39" i="8"/>
  <c r="CS39" i="8"/>
  <c r="CT39" i="8"/>
  <c r="CU39" i="8"/>
  <c r="B40" i="8"/>
  <c r="D40" i="8"/>
  <c r="E40" i="8"/>
  <c r="F40" i="8"/>
  <c r="G40" i="8"/>
  <c r="H40" i="8"/>
  <c r="I40" i="8"/>
  <c r="J40" i="8"/>
  <c r="K40" i="8"/>
  <c r="L40" i="8"/>
  <c r="M40" i="8"/>
  <c r="N40" i="8"/>
  <c r="O40" i="8"/>
  <c r="P40" i="8"/>
  <c r="Q40" i="8"/>
  <c r="R40" i="8"/>
  <c r="S40" i="8"/>
  <c r="T40" i="8"/>
  <c r="U40" i="8"/>
  <c r="V40" i="8"/>
  <c r="W40" i="8"/>
  <c r="X40" i="8"/>
  <c r="Y40" i="8"/>
  <c r="Z40" i="8"/>
  <c r="AA40" i="8"/>
  <c r="AB40" i="8"/>
  <c r="AC40" i="8"/>
  <c r="AD40" i="8"/>
  <c r="AE40" i="8"/>
  <c r="AF40" i="8"/>
  <c r="AG40" i="8"/>
  <c r="AH40" i="8"/>
  <c r="AI40" i="8"/>
  <c r="AJ40" i="8"/>
  <c r="AK40" i="8"/>
  <c r="AL40" i="8"/>
  <c r="AM40" i="8"/>
  <c r="AN40" i="8"/>
  <c r="AO40" i="8"/>
  <c r="AP40" i="8"/>
  <c r="AQ40" i="8"/>
  <c r="AR40" i="8"/>
  <c r="AS40" i="8"/>
  <c r="AT40" i="8"/>
  <c r="AU40" i="8"/>
  <c r="AV40" i="8"/>
  <c r="AW40" i="8"/>
  <c r="AX40" i="8"/>
  <c r="AY40" i="8"/>
  <c r="AZ40" i="8"/>
  <c r="BA40" i="8"/>
  <c r="BB40" i="8"/>
  <c r="BC40" i="8"/>
  <c r="BD40" i="8"/>
  <c r="BE40" i="8"/>
  <c r="BF40" i="8"/>
  <c r="BG40" i="8"/>
  <c r="BH40" i="8"/>
  <c r="BI40" i="8"/>
  <c r="BJ40" i="8"/>
  <c r="BK40" i="8"/>
  <c r="BL40" i="8"/>
  <c r="BM40" i="8"/>
  <c r="BN40" i="8"/>
  <c r="BO40" i="8"/>
  <c r="BP40" i="8"/>
  <c r="BQ40" i="8"/>
  <c r="BR40" i="8"/>
  <c r="BS40" i="8"/>
  <c r="BT40" i="8"/>
  <c r="BU40" i="8"/>
  <c r="BV40" i="8"/>
  <c r="BW40" i="8"/>
  <c r="BX40" i="8"/>
  <c r="BY40" i="8"/>
  <c r="BZ40" i="8"/>
  <c r="CA40" i="8"/>
  <c r="CB40" i="8"/>
  <c r="CC40" i="8"/>
  <c r="CD40" i="8"/>
  <c r="CE40" i="8"/>
  <c r="CF40" i="8"/>
  <c r="CG40" i="8"/>
  <c r="CH40" i="8"/>
  <c r="CI40" i="8"/>
  <c r="CJ40" i="8"/>
  <c r="CK40" i="8"/>
  <c r="CL40" i="8"/>
  <c r="CM40" i="8"/>
  <c r="CN40" i="8"/>
  <c r="CO40" i="8"/>
  <c r="CP40" i="8"/>
  <c r="CQ40" i="8"/>
  <c r="CR40" i="8"/>
  <c r="CS40" i="8"/>
  <c r="CT40" i="8"/>
  <c r="CU40" i="8"/>
  <c r="B41" i="8"/>
  <c r="D41" i="8"/>
  <c r="E41" i="8"/>
  <c r="F41" i="8"/>
  <c r="G41" i="8"/>
  <c r="H41" i="8"/>
  <c r="I41" i="8"/>
  <c r="J41" i="8"/>
  <c r="K41" i="8"/>
  <c r="L41" i="8"/>
  <c r="M41" i="8"/>
  <c r="N41" i="8"/>
  <c r="O41" i="8"/>
  <c r="P41" i="8"/>
  <c r="Q41" i="8"/>
  <c r="R41" i="8"/>
  <c r="S41" i="8"/>
  <c r="T41" i="8"/>
  <c r="U41" i="8"/>
  <c r="V41" i="8"/>
  <c r="W41" i="8"/>
  <c r="X41" i="8"/>
  <c r="Y41" i="8"/>
  <c r="Z41" i="8"/>
  <c r="AA41" i="8"/>
  <c r="AB41" i="8"/>
  <c r="AC41" i="8"/>
  <c r="AD41" i="8"/>
  <c r="AE41" i="8"/>
  <c r="AF41" i="8"/>
  <c r="AG41" i="8"/>
  <c r="AH41" i="8"/>
  <c r="AI41" i="8"/>
  <c r="AJ41" i="8"/>
  <c r="AK41" i="8"/>
  <c r="AL41" i="8"/>
  <c r="AM41" i="8"/>
  <c r="AN41" i="8"/>
  <c r="AO41" i="8"/>
  <c r="AP41" i="8"/>
  <c r="AQ41" i="8"/>
  <c r="AR41" i="8"/>
  <c r="AS41" i="8"/>
  <c r="AT41" i="8"/>
  <c r="AU41" i="8"/>
  <c r="AV41" i="8"/>
  <c r="AW41" i="8"/>
  <c r="AX41" i="8"/>
  <c r="AY41" i="8"/>
  <c r="AZ41" i="8"/>
  <c r="BA41" i="8"/>
  <c r="BB41" i="8"/>
  <c r="BC41" i="8"/>
  <c r="BD41" i="8"/>
  <c r="BE41" i="8"/>
  <c r="BF41" i="8"/>
  <c r="BG41" i="8"/>
  <c r="BH41" i="8"/>
  <c r="BI41" i="8"/>
  <c r="BJ41" i="8"/>
  <c r="BK41" i="8"/>
  <c r="BL41" i="8"/>
  <c r="BM41" i="8"/>
  <c r="BN41" i="8"/>
  <c r="BO41" i="8"/>
  <c r="BP41" i="8"/>
  <c r="BQ41" i="8"/>
  <c r="BR41" i="8"/>
  <c r="BS41" i="8"/>
  <c r="BT41" i="8"/>
  <c r="BU41" i="8"/>
  <c r="BV41" i="8"/>
  <c r="BW41" i="8"/>
  <c r="BX41" i="8"/>
  <c r="BY41" i="8"/>
  <c r="BZ41" i="8"/>
  <c r="CA41" i="8"/>
  <c r="CB41" i="8"/>
  <c r="CC41" i="8"/>
  <c r="CD41" i="8"/>
  <c r="CE41" i="8"/>
  <c r="CF41" i="8"/>
  <c r="CG41" i="8"/>
  <c r="CH41" i="8"/>
  <c r="CI41" i="8"/>
  <c r="CJ41" i="8"/>
  <c r="CK41" i="8"/>
  <c r="CL41" i="8"/>
  <c r="CM41" i="8"/>
  <c r="CN41" i="8"/>
  <c r="CO41" i="8"/>
  <c r="CP41" i="8"/>
  <c r="CQ41" i="8"/>
  <c r="CR41" i="8"/>
  <c r="CS41" i="8"/>
  <c r="CT41" i="8"/>
  <c r="CU41" i="8"/>
  <c r="D42" i="8"/>
  <c r="E42" i="8"/>
  <c r="F42" i="8"/>
  <c r="G42" i="8"/>
  <c r="H42" i="8"/>
  <c r="I42" i="8"/>
  <c r="J42" i="8"/>
  <c r="K42" i="8"/>
  <c r="L42" i="8"/>
  <c r="M42" i="8"/>
  <c r="N42" i="8"/>
  <c r="O42" i="8"/>
  <c r="P42" i="8"/>
  <c r="Q42" i="8"/>
  <c r="R42" i="8"/>
  <c r="S42" i="8"/>
  <c r="T42" i="8"/>
  <c r="U42" i="8"/>
  <c r="V42" i="8"/>
  <c r="W42" i="8"/>
  <c r="X42" i="8"/>
  <c r="Y42" i="8"/>
  <c r="Z42" i="8"/>
  <c r="AA42" i="8"/>
  <c r="AB42" i="8"/>
  <c r="AC42" i="8"/>
  <c r="AD42" i="8"/>
  <c r="AE42" i="8"/>
  <c r="AF42" i="8"/>
  <c r="AG42" i="8"/>
  <c r="AH42" i="8"/>
  <c r="AI42" i="8"/>
  <c r="AJ42" i="8"/>
  <c r="AK42" i="8"/>
  <c r="AL42" i="8"/>
  <c r="AM42" i="8"/>
  <c r="AN42" i="8"/>
  <c r="AO42" i="8"/>
  <c r="AP42" i="8"/>
  <c r="AQ42" i="8"/>
  <c r="AR42" i="8"/>
  <c r="AS42" i="8"/>
  <c r="AT42" i="8"/>
  <c r="AU42" i="8"/>
  <c r="AV42" i="8"/>
  <c r="AW42" i="8"/>
  <c r="AX42" i="8"/>
  <c r="AY42" i="8"/>
  <c r="AZ42" i="8"/>
  <c r="BA42" i="8"/>
  <c r="BB42" i="8"/>
  <c r="BC42" i="8"/>
  <c r="BD42" i="8"/>
  <c r="BE42" i="8"/>
  <c r="BF42" i="8"/>
  <c r="BG42" i="8"/>
  <c r="BH42" i="8"/>
  <c r="BI42" i="8"/>
  <c r="BJ42" i="8"/>
  <c r="BK42" i="8"/>
  <c r="BL42" i="8"/>
  <c r="BM42" i="8"/>
  <c r="BN42" i="8"/>
  <c r="BO42" i="8"/>
  <c r="BP42" i="8"/>
  <c r="BQ42" i="8"/>
  <c r="BR42" i="8"/>
  <c r="BS42" i="8"/>
  <c r="BT42" i="8"/>
  <c r="BU42" i="8"/>
  <c r="BV42" i="8"/>
  <c r="BW42" i="8"/>
  <c r="BX42" i="8"/>
  <c r="BY42" i="8"/>
  <c r="BZ42" i="8"/>
  <c r="CA42" i="8"/>
  <c r="CB42" i="8"/>
  <c r="CC42" i="8"/>
  <c r="CD42" i="8"/>
  <c r="CE42" i="8"/>
  <c r="CF42" i="8"/>
  <c r="CG42" i="8"/>
  <c r="CH42" i="8"/>
  <c r="CI42" i="8"/>
  <c r="CJ42" i="8"/>
  <c r="CK42" i="8"/>
  <c r="CL42" i="8"/>
  <c r="CM42" i="8"/>
  <c r="CN42" i="8"/>
  <c r="CO42" i="8"/>
  <c r="CP42" i="8"/>
  <c r="CQ42" i="8"/>
  <c r="CR42" i="8"/>
  <c r="CS42" i="8"/>
  <c r="CT42" i="8"/>
  <c r="CU42" i="8"/>
  <c r="B43" i="8"/>
  <c r="D43" i="8"/>
  <c r="E43" i="8"/>
  <c r="F43" i="8"/>
  <c r="G43" i="8"/>
  <c r="H43" i="8"/>
  <c r="I43" i="8"/>
  <c r="J43" i="8"/>
  <c r="K43" i="8"/>
  <c r="L43" i="8"/>
  <c r="M43" i="8"/>
  <c r="N43" i="8"/>
  <c r="O43" i="8"/>
  <c r="P43" i="8"/>
  <c r="Q43" i="8"/>
  <c r="R43" i="8"/>
  <c r="S43" i="8"/>
  <c r="T43" i="8"/>
  <c r="U43" i="8"/>
  <c r="V43" i="8"/>
  <c r="W43" i="8"/>
  <c r="X43" i="8"/>
  <c r="Y43" i="8"/>
  <c r="Z43" i="8"/>
  <c r="AA43" i="8"/>
  <c r="AB43" i="8"/>
  <c r="AC43" i="8"/>
  <c r="AD43" i="8"/>
  <c r="AE43" i="8"/>
  <c r="AF43" i="8"/>
  <c r="AG43" i="8"/>
  <c r="AH43" i="8"/>
  <c r="AI43" i="8"/>
  <c r="AJ43" i="8"/>
  <c r="AK43" i="8"/>
  <c r="AL43" i="8"/>
  <c r="AM43" i="8"/>
  <c r="AN43" i="8"/>
  <c r="AO43" i="8"/>
  <c r="AP43" i="8"/>
  <c r="AQ43" i="8"/>
  <c r="AR43" i="8"/>
  <c r="AS43" i="8"/>
  <c r="AT43" i="8"/>
  <c r="AU43" i="8"/>
  <c r="AV43" i="8"/>
  <c r="AW43" i="8"/>
  <c r="AX43" i="8"/>
  <c r="AY43" i="8"/>
  <c r="AZ43" i="8"/>
  <c r="BA43" i="8"/>
  <c r="BB43" i="8"/>
  <c r="BC43" i="8"/>
  <c r="BD43" i="8"/>
  <c r="BE43" i="8"/>
  <c r="BF43" i="8"/>
  <c r="BG43" i="8"/>
  <c r="BH43" i="8"/>
  <c r="BI43" i="8"/>
  <c r="BJ43" i="8"/>
  <c r="BK43" i="8"/>
  <c r="BL43" i="8"/>
  <c r="BM43" i="8"/>
  <c r="BN43" i="8"/>
  <c r="BO43" i="8"/>
  <c r="BP43" i="8"/>
  <c r="BQ43" i="8"/>
  <c r="BR43" i="8"/>
  <c r="BS43" i="8"/>
  <c r="BT43" i="8"/>
  <c r="BU43" i="8"/>
  <c r="BV43" i="8"/>
  <c r="BW43" i="8"/>
  <c r="BX43" i="8"/>
  <c r="BY43" i="8"/>
  <c r="BZ43" i="8"/>
  <c r="CA43" i="8"/>
  <c r="CB43" i="8"/>
  <c r="CC43" i="8"/>
  <c r="CD43" i="8"/>
  <c r="CE43" i="8"/>
  <c r="CF43" i="8"/>
  <c r="CG43" i="8"/>
  <c r="CH43" i="8"/>
  <c r="CI43" i="8"/>
  <c r="CJ43" i="8"/>
  <c r="CK43" i="8"/>
  <c r="CL43" i="8"/>
  <c r="CM43" i="8"/>
  <c r="CN43" i="8"/>
  <c r="CO43" i="8"/>
  <c r="CP43" i="8"/>
  <c r="CQ43" i="8"/>
  <c r="CR43" i="8"/>
  <c r="CS43" i="8"/>
  <c r="CT43" i="8"/>
  <c r="CU43" i="8"/>
  <c r="B44" i="8"/>
  <c r="D44" i="8"/>
  <c r="E44" i="8"/>
  <c r="F44" i="8"/>
  <c r="G44" i="8"/>
  <c r="H44" i="8"/>
  <c r="I44" i="8"/>
  <c r="J44" i="8"/>
  <c r="K44" i="8"/>
  <c r="L44" i="8"/>
  <c r="M44" i="8"/>
  <c r="N44" i="8"/>
  <c r="O44" i="8"/>
  <c r="P44" i="8"/>
  <c r="Q44" i="8"/>
  <c r="R44" i="8"/>
  <c r="S44" i="8"/>
  <c r="T44" i="8"/>
  <c r="U44" i="8"/>
  <c r="V44" i="8"/>
  <c r="W44" i="8"/>
  <c r="X44" i="8"/>
  <c r="Y44" i="8"/>
  <c r="Z44" i="8"/>
  <c r="AA44" i="8"/>
  <c r="AB44" i="8"/>
  <c r="AC44" i="8"/>
  <c r="AD44" i="8"/>
  <c r="AE44" i="8"/>
  <c r="AF44" i="8"/>
  <c r="AG44" i="8"/>
  <c r="AH44" i="8"/>
  <c r="AI44" i="8"/>
  <c r="AJ44" i="8"/>
  <c r="AK44" i="8"/>
  <c r="AL44" i="8"/>
  <c r="AM44" i="8"/>
  <c r="AN44" i="8"/>
  <c r="AO44" i="8"/>
  <c r="AP44" i="8"/>
  <c r="AQ44" i="8"/>
  <c r="AR44" i="8"/>
  <c r="AS44" i="8"/>
  <c r="AT44" i="8"/>
  <c r="AU44" i="8"/>
  <c r="AV44" i="8"/>
  <c r="AW44" i="8"/>
  <c r="AX44" i="8"/>
  <c r="AY44" i="8"/>
  <c r="AZ44" i="8"/>
  <c r="BA44" i="8"/>
  <c r="BB44" i="8"/>
  <c r="BC44" i="8"/>
  <c r="BD44" i="8"/>
  <c r="BE44" i="8"/>
  <c r="BF44" i="8"/>
  <c r="BG44" i="8"/>
  <c r="BH44" i="8"/>
  <c r="BI44" i="8"/>
  <c r="BJ44" i="8"/>
  <c r="BK44" i="8"/>
  <c r="BL44" i="8"/>
  <c r="BM44" i="8"/>
  <c r="BN44" i="8"/>
  <c r="BO44" i="8"/>
  <c r="BP44" i="8"/>
  <c r="BQ44" i="8"/>
  <c r="BR44" i="8"/>
  <c r="BS44" i="8"/>
  <c r="BT44" i="8"/>
  <c r="BU44" i="8"/>
  <c r="BV44" i="8"/>
  <c r="BW44" i="8"/>
  <c r="BX44" i="8"/>
  <c r="BY44" i="8"/>
  <c r="BZ44" i="8"/>
  <c r="CA44" i="8"/>
  <c r="CB44" i="8"/>
  <c r="CC44" i="8"/>
  <c r="CD44" i="8"/>
  <c r="CE44" i="8"/>
  <c r="CF44" i="8"/>
  <c r="CG44" i="8"/>
  <c r="CH44" i="8"/>
  <c r="CI44" i="8"/>
  <c r="CJ44" i="8"/>
  <c r="CK44" i="8"/>
  <c r="CL44" i="8"/>
  <c r="CM44" i="8"/>
  <c r="CN44" i="8"/>
  <c r="CO44" i="8"/>
  <c r="CP44" i="8"/>
  <c r="CQ44" i="8"/>
  <c r="CR44" i="8"/>
  <c r="CS44" i="8"/>
  <c r="CT44" i="8"/>
  <c r="CU44" i="8"/>
  <c r="B45" i="8"/>
  <c r="D45" i="8"/>
  <c r="E45" i="8"/>
  <c r="F45" i="8"/>
  <c r="G45" i="8"/>
  <c r="H45" i="8"/>
  <c r="I45" i="8"/>
  <c r="J45" i="8"/>
  <c r="K45" i="8"/>
  <c r="L45" i="8"/>
  <c r="M45" i="8"/>
  <c r="N45" i="8"/>
  <c r="O45" i="8"/>
  <c r="P45" i="8"/>
  <c r="Q45" i="8"/>
  <c r="R45" i="8"/>
  <c r="S45" i="8"/>
  <c r="T45" i="8"/>
  <c r="U45" i="8"/>
  <c r="V45" i="8"/>
  <c r="W45" i="8"/>
  <c r="X45" i="8"/>
  <c r="Y45" i="8"/>
  <c r="Z45" i="8"/>
  <c r="AA45" i="8"/>
  <c r="AB45" i="8"/>
  <c r="AC45" i="8"/>
  <c r="AD45" i="8"/>
  <c r="AE45" i="8"/>
  <c r="AF45" i="8"/>
  <c r="AG45" i="8"/>
  <c r="AH45" i="8"/>
  <c r="AI45" i="8"/>
  <c r="AJ45" i="8"/>
  <c r="AK45" i="8"/>
  <c r="AL45" i="8"/>
  <c r="AM45" i="8"/>
  <c r="AN45" i="8"/>
  <c r="AO45" i="8"/>
  <c r="AP45" i="8"/>
  <c r="AQ45" i="8"/>
  <c r="AR45" i="8"/>
  <c r="AS45" i="8"/>
  <c r="AT45" i="8"/>
  <c r="AU45" i="8"/>
  <c r="AV45" i="8"/>
  <c r="AW45" i="8"/>
  <c r="AX45" i="8"/>
  <c r="AY45" i="8"/>
  <c r="AZ45" i="8"/>
  <c r="BA45" i="8"/>
  <c r="BB45" i="8"/>
  <c r="BC45" i="8"/>
  <c r="BD45" i="8"/>
  <c r="BE45" i="8"/>
  <c r="BF45" i="8"/>
  <c r="BG45" i="8"/>
  <c r="BH45" i="8"/>
  <c r="BI45" i="8"/>
  <c r="BJ45" i="8"/>
  <c r="BK45" i="8"/>
  <c r="BL45" i="8"/>
  <c r="BM45" i="8"/>
  <c r="BN45" i="8"/>
  <c r="BO45" i="8"/>
  <c r="BP45" i="8"/>
  <c r="BQ45" i="8"/>
  <c r="BR45" i="8"/>
  <c r="BS45" i="8"/>
  <c r="BT45" i="8"/>
  <c r="BU45" i="8"/>
  <c r="BV45" i="8"/>
  <c r="BW45" i="8"/>
  <c r="BX45" i="8"/>
  <c r="BY45" i="8"/>
  <c r="BZ45" i="8"/>
  <c r="CA45" i="8"/>
  <c r="CB45" i="8"/>
  <c r="CC45" i="8"/>
  <c r="CD45" i="8"/>
  <c r="CE45" i="8"/>
  <c r="CF45" i="8"/>
  <c r="CG45" i="8"/>
  <c r="CH45" i="8"/>
  <c r="CI45" i="8"/>
  <c r="CJ45" i="8"/>
  <c r="CK45" i="8"/>
  <c r="CL45" i="8"/>
  <c r="CM45" i="8"/>
  <c r="CN45" i="8"/>
  <c r="CO45" i="8"/>
  <c r="CP45" i="8"/>
  <c r="CQ45" i="8"/>
  <c r="CR45" i="8"/>
  <c r="CS45" i="8"/>
  <c r="CT45" i="8"/>
  <c r="CU45" i="8"/>
  <c r="D46" i="8"/>
  <c r="E46" i="8"/>
  <c r="F46" i="8"/>
  <c r="G46" i="8"/>
  <c r="H46" i="8"/>
  <c r="I46" i="8"/>
  <c r="J46" i="8"/>
  <c r="K46" i="8"/>
  <c r="L46" i="8"/>
  <c r="M46" i="8"/>
  <c r="N46" i="8"/>
  <c r="O46" i="8"/>
  <c r="P46" i="8"/>
  <c r="Q46" i="8"/>
  <c r="R46" i="8"/>
  <c r="S46" i="8"/>
  <c r="T46" i="8"/>
  <c r="U46" i="8"/>
  <c r="V46" i="8"/>
  <c r="W46" i="8"/>
  <c r="X46" i="8"/>
  <c r="Y46" i="8"/>
  <c r="Z46" i="8"/>
  <c r="AA46" i="8"/>
  <c r="AB46" i="8"/>
  <c r="AC46" i="8"/>
  <c r="AD46" i="8"/>
  <c r="AE46" i="8"/>
  <c r="AF46" i="8"/>
  <c r="AG46" i="8"/>
  <c r="AH46" i="8"/>
  <c r="AI46" i="8"/>
  <c r="AJ46" i="8"/>
  <c r="AK46" i="8"/>
  <c r="AL46" i="8"/>
  <c r="AM46" i="8"/>
  <c r="AN46" i="8"/>
  <c r="AO46" i="8"/>
  <c r="AP46" i="8"/>
  <c r="AQ46" i="8"/>
  <c r="AR46" i="8"/>
  <c r="AS46" i="8"/>
  <c r="AT46" i="8"/>
  <c r="AU46" i="8"/>
  <c r="AV46" i="8"/>
  <c r="AW46" i="8"/>
  <c r="AX46" i="8"/>
  <c r="AY46" i="8"/>
  <c r="AZ46" i="8"/>
  <c r="BA46" i="8"/>
  <c r="BB46" i="8"/>
  <c r="BC46" i="8"/>
  <c r="BD46" i="8"/>
  <c r="BE46" i="8"/>
  <c r="BF46" i="8"/>
  <c r="BG46" i="8"/>
  <c r="BH46" i="8"/>
  <c r="BI46" i="8"/>
  <c r="BJ46" i="8"/>
  <c r="BK46" i="8"/>
  <c r="BL46" i="8"/>
  <c r="BM46" i="8"/>
  <c r="BN46" i="8"/>
  <c r="BO46" i="8"/>
  <c r="BP46" i="8"/>
  <c r="BQ46" i="8"/>
  <c r="BR46" i="8"/>
  <c r="BS46" i="8"/>
  <c r="BT46" i="8"/>
  <c r="BU46" i="8"/>
  <c r="BV46" i="8"/>
  <c r="BW46" i="8"/>
  <c r="BX46" i="8"/>
  <c r="BY46" i="8"/>
  <c r="BZ46" i="8"/>
  <c r="CA46" i="8"/>
  <c r="CB46" i="8"/>
  <c r="CC46" i="8"/>
  <c r="CD46" i="8"/>
  <c r="CE46" i="8"/>
  <c r="CF46" i="8"/>
  <c r="CG46" i="8"/>
  <c r="CH46" i="8"/>
  <c r="CI46" i="8"/>
  <c r="CJ46" i="8"/>
  <c r="CK46" i="8"/>
  <c r="CL46" i="8"/>
  <c r="CM46" i="8"/>
  <c r="CN46" i="8"/>
  <c r="CO46" i="8"/>
  <c r="CP46" i="8"/>
  <c r="CQ46" i="8"/>
  <c r="CR46" i="8"/>
  <c r="CS46" i="8"/>
  <c r="CT46" i="8"/>
  <c r="CU46" i="8"/>
  <c r="AJ47" i="8"/>
  <c r="AK47" i="8"/>
  <c r="AL47" i="8"/>
  <c r="AM47" i="8"/>
  <c r="AN47" i="8"/>
  <c r="AO47" i="8"/>
  <c r="AP47" i="8"/>
  <c r="AQ47" i="8"/>
  <c r="AR47" i="8"/>
  <c r="AS47" i="8"/>
  <c r="AT47" i="8"/>
  <c r="AU47" i="8"/>
  <c r="AV47" i="8"/>
  <c r="AW47" i="8"/>
  <c r="AX47" i="8"/>
  <c r="AY47" i="8"/>
  <c r="AZ47" i="8"/>
  <c r="BA47" i="8"/>
  <c r="BB47" i="8"/>
  <c r="BC47" i="8"/>
  <c r="BD47" i="8"/>
  <c r="BE47" i="8"/>
  <c r="BF47" i="8"/>
  <c r="BG47" i="8"/>
  <c r="BH47" i="8"/>
  <c r="BI47" i="8"/>
  <c r="BJ47" i="8"/>
  <c r="BK47" i="8"/>
  <c r="BL47" i="8"/>
  <c r="BM47" i="8"/>
  <c r="BN47" i="8"/>
  <c r="BO47" i="8"/>
  <c r="BP47" i="8"/>
  <c r="BQ47" i="8"/>
  <c r="BR47" i="8"/>
  <c r="BS47" i="8"/>
  <c r="BT47" i="8"/>
  <c r="BU47" i="8"/>
  <c r="BV47" i="8"/>
  <c r="BW47" i="8"/>
  <c r="BX47" i="8"/>
  <c r="BY47" i="8"/>
  <c r="BZ47" i="8"/>
  <c r="CA47" i="8"/>
  <c r="CB47" i="8"/>
  <c r="CC47" i="8"/>
  <c r="CD47" i="8"/>
  <c r="CE47" i="8"/>
  <c r="CF47" i="8"/>
  <c r="CG47" i="8"/>
  <c r="CH47" i="8"/>
  <c r="CI47" i="8"/>
  <c r="CJ47" i="8"/>
  <c r="CK47" i="8"/>
  <c r="CL47" i="8"/>
  <c r="CM47" i="8"/>
  <c r="CN47" i="8"/>
  <c r="CO47" i="8"/>
  <c r="CP47" i="8"/>
  <c r="CQ47" i="8"/>
  <c r="CR47" i="8"/>
  <c r="CS47" i="8"/>
  <c r="CT47" i="8"/>
  <c r="CU47" i="8"/>
  <c r="D48" i="8"/>
  <c r="E48" i="8"/>
  <c r="F48" i="8"/>
  <c r="G48" i="8"/>
  <c r="H48" i="8"/>
  <c r="I48" i="8"/>
  <c r="J48" i="8"/>
  <c r="K48" i="8"/>
  <c r="L48" i="8"/>
  <c r="M48" i="8"/>
  <c r="N48" i="8"/>
  <c r="O48" i="8"/>
  <c r="P48" i="8"/>
  <c r="Q48" i="8"/>
  <c r="R48" i="8"/>
  <c r="S48" i="8"/>
  <c r="T48" i="8"/>
  <c r="U48" i="8"/>
  <c r="V48" i="8"/>
  <c r="W48" i="8"/>
  <c r="X48" i="8"/>
  <c r="Y48" i="8"/>
  <c r="Z48" i="8"/>
  <c r="AA48" i="8"/>
  <c r="AB48" i="8"/>
  <c r="AC48" i="8"/>
  <c r="AD48" i="8"/>
  <c r="AE48" i="8"/>
  <c r="AF48" i="8"/>
  <c r="AG48" i="8"/>
  <c r="AH48" i="8"/>
  <c r="AI48" i="8"/>
  <c r="AJ48" i="8"/>
  <c r="AK48" i="8"/>
  <c r="AL48" i="8"/>
  <c r="AM48" i="8"/>
  <c r="AN48" i="8"/>
  <c r="AO48" i="8"/>
  <c r="AP48" i="8"/>
  <c r="AQ48" i="8"/>
  <c r="AR48" i="8"/>
  <c r="AS48" i="8"/>
  <c r="AT48" i="8"/>
  <c r="AU48" i="8"/>
  <c r="AV48" i="8"/>
  <c r="AW48" i="8"/>
  <c r="AX48" i="8"/>
  <c r="AY48" i="8"/>
  <c r="AZ48" i="8"/>
  <c r="BA48" i="8"/>
  <c r="BB48" i="8"/>
  <c r="BC48" i="8"/>
  <c r="BD48" i="8"/>
  <c r="BE48" i="8"/>
  <c r="BF48" i="8"/>
  <c r="BG48" i="8"/>
  <c r="BH48" i="8"/>
  <c r="BI48" i="8"/>
  <c r="BJ48" i="8"/>
  <c r="BK48" i="8"/>
  <c r="BL48" i="8"/>
  <c r="BM48" i="8"/>
  <c r="BN48" i="8"/>
  <c r="BO48" i="8"/>
  <c r="BP48" i="8"/>
  <c r="BQ48" i="8"/>
  <c r="BR48" i="8"/>
  <c r="BS48" i="8"/>
  <c r="BT48" i="8"/>
  <c r="BU48" i="8"/>
  <c r="BV48" i="8"/>
  <c r="BW48" i="8"/>
  <c r="BX48" i="8"/>
  <c r="BY48" i="8"/>
  <c r="BZ48" i="8"/>
  <c r="CA48" i="8"/>
  <c r="CB48" i="8"/>
  <c r="CC48" i="8"/>
  <c r="CD48" i="8"/>
  <c r="CE48" i="8"/>
  <c r="CF48" i="8"/>
  <c r="CG48" i="8"/>
  <c r="CH48" i="8"/>
  <c r="CI48" i="8"/>
  <c r="CJ48" i="8"/>
  <c r="CK48" i="8"/>
  <c r="CL48" i="8"/>
  <c r="CM48" i="8"/>
  <c r="CN48" i="8"/>
  <c r="CO48" i="8"/>
  <c r="CP48" i="8"/>
  <c r="CQ48" i="8"/>
  <c r="CR48" i="8"/>
  <c r="CS48" i="8"/>
  <c r="CT48" i="8"/>
  <c r="CU48" i="8"/>
  <c r="B49" i="8"/>
  <c r="D49" i="8"/>
  <c r="E49" i="8"/>
  <c r="F49" i="8"/>
  <c r="G49" i="8"/>
  <c r="H49" i="8"/>
  <c r="I49" i="8"/>
  <c r="J49" i="8"/>
  <c r="K49" i="8"/>
  <c r="L49" i="8"/>
  <c r="M49" i="8"/>
  <c r="N49" i="8"/>
  <c r="O49" i="8"/>
  <c r="P49" i="8"/>
  <c r="Q49" i="8"/>
  <c r="R49" i="8"/>
  <c r="S49" i="8"/>
  <c r="T49" i="8"/>
  <c r="U49" i="8"/>
  <c r="V49" i="8"/>
  <c r="W49" i="8"/>
  <c r="X49" i="8"/>
  <c r="Y49" i="8"/>
  <c r="Z49" i="8"/>
  <c r="AA49" i="8"/>
  <c r="AB49" i="8"/>
  <c r="AC49" i="8"/>
  <c r="AD49" i="8"/>
  <c r="AE49" i="8"/>
  <c r="AF49" i="8"/>
  <c r="AG49" i="8"/>
  <c r="AH49" i="8"/>
  <c r="AI49" i="8"/>
  <c r="AJ49" i="8"/>
  <c r="AK49" i="8"/>
  <c r="AL49" i="8"/>
  <c r="AM49" i="8"/>
  <c r="AN49" i="8"/>
  <c r="AO49" i="8"/>
  <c r="AP49" i="8"/>
  <c r="AQ49" i="8"/>
  <c r="AR49" i="8"/>
  <c r="AS49" i="8"/>
  <c r="AT49" i="8"/>
  <c r="AU49" i="8"/>
  <c r="AV49" i="8"/>
  <c r="AW49" i="8"/>
  <c r="AX49" i="8"/>
  <c r="AY49" i="8"/>
  <c r="AZ49" i="8"/>
  <c r="BA49" i="8"/>
  <c r="BB49" i="8"/>
  <c r="BC49" i="8"/>
  <c r="BD49" i="8"/>
  <c r="BE49" i="8"/>
  <c r="BF49" i="8"/>
  <c r="BG49" i="8"/>
  <c r="BH49" i="8"/>
  <c r="BI49" i="8"/>
  <c r="BJ49" i="8"/>
  <c r="BK49" i="8"/>
  <c r="BL49" i="8"/>
  <c r="BM49" i="8"/>
  <c r="BN49" i="8"/>
  <c r="BO49" i="8"/>
  <c r="BP49" i="8"/>
  <c r="BQ49" i="8"/>
  <c r="BR49" i="8"/>
  <c r="BS49" i="8"/>
  <c r="BT49" i="8"/>
  <c r="BU49" i="8"/>
  <c r="BV49" i="8"/>
  <c r="BW49" i="8"/>
  <c r="BX49" i="8"/>
  <c r="BY49" i="8"/>
  <c r="BZ49" i="8"/>
  <c r="CA49" i="8"/>
  <c r="CB49" i="8"/>
  <c r="CC49" i="8"/>
  <c r="CD49" i="8"/>
  <c r="CE49" i="8"/>
  <c r="CF49" i="8"/>
  <c r="CG49" i="8"/>
  <c r="CH49" i="8"/>
  <c r="CI49" i="8"/>
  <c r="CJ49" i="8"/>
  <c r="CK49" i="8"/>
  <c r="CL49" i="8"/>
  <c r="CM49" i="8"/>
  <c r="CN49" i="8"/>
  <c r="CO49" i="8"/>
  <c r="CP49" i="8"/>
  <c r="CQ49" i="8"/>
  <c r="CR49" i="8"/>
  <c r="CS49" i="8"/>
  <c r="CT49" i="8"/>
  <c r="CU49" i="8"/>
  <c r="D50" i="8"/>
  <c r="E50" i="8"/>
  <c r="F50" i="8"/>
  <c r="G50" i="8"/>
  <c r="H50" i="8"/>
  <c r="I50" i="8"/>
  <c r="J50" i="8"/>
  <c r="K50" i="8"/>
  <c r="L50" i="8"/>
  <c r="M50" i="8"/>
  <c r="N50" i="8"/>
  <c r="O50" i="8"/>
  <c r="P50" i="8"/>
  <c r="Q50" i="8"/>
  <c r="R50" i="8"/>
  <c r="S50" i="8"/>
  <c r="T50" i="8"/>
  <c r="U50" i="8"/>
  <c r="V50" i="8"/>
  <c r="W50" i="8"/>
  <c r="X50" i="8"/>
  <c r="Y50" i="8"/>
  <c r="Z50" i="8"/>
  <c r="AA50" i="8"/>
  <c r="AB50" i="8"/>
  <c r="AC50" i="8"/>
  <c r="AD50" i="8"/>
  <c r="AE50" i="8"/>
  <c r="AF50" i="8"/>
  <c r="AG50" i="8"/>
  <c r="AH50" i="8"/>
  <c r="AI50" i="8"/>
  <c r="AJ50" i="8"/>
  <c r="AK50" i="8"/>
  <c r="AL50" i="8"/>
  <c r="AM50" i="8"/>
  <c r="AN50" i="8"/>
  <c r="AO50" i="8"/>
  <c r="AP50" i="8"/>
  <c r="AQ50" i="8"/>
  <c r="AR50" i="8"/>
  <c r="AS50" i="8"/>
  <c r="AT50" i="8"/>
  <c r="AU50" i="8"/>
  <c r="AV50" i="8"/>
  <c r="AW50" i="8"/>
  <c r="AX50" i="8"/>
  <c r="AY50" i="8"/>
  <c r="AZ50" i="8"/>
  <c r="BA50" i="8"/>
  <c r="BB50" i="8"/>
  <c r="BC50" i="8"/>
  <c r="BD50" i="8"/>
  <c r="BE50" i="8"/>
  <c r="BF50" i="8"/>
  <c r="BG50" i="8"/>
  <c r="BH50" i="8"/>
  <c r="BI50" i="8"/>
  <c r="BJ50" i="8"/>
  <c r="BK50" i="8"/>
  <c r="BL50" i="8"/>
  <c r="BM50" i="8"/>
  <c r="BN50" i="8"/>
  <c r="BO50" i="8"/>
  <c r="BP50" i="8"/>
  <c r="BQ50" i="8"/>
  <c r="BR50" i="8"/>
  <c r="BS50" i="8"/>
  <c r="BT50" i="8"/>
  <c r="BU50" i="8"/>
  <c r="BV50" i="8"/>
  <c r="BW50" i="8"/>
  <c r="BX50" i="8"/>
  <c r="BY50" i="8"/>
  <c r="BZ50" i="8"/>
  <c r="CA50" i="8"/>
  <c r="CB50" i="8"/>
  <c r="CC50" i="8"/>
  <c r="CD50" i="8"/>
  <c r="CE50" i="8"/>
  <c r="CF50" i="8"/>
  <c r="CG50" i="8"/>
  <c r="CH50" i="8"/>
  <c r="CI50" i="8"/>
  <c r="CJ50" i="8"/>
  <c r="CK50" i="8"/>
  <c r="CL50" i="8"/>
  <c r="CM50" i="8"/>
  <c r="CN50" i="8"/>
  <c r="CO50" i="8"/>
  <c r="CP50" i="8"/>
  <c r="CQ50" i="8"/>
  <c r="CR50" i="8"/>
  <c r="CS50" i="8"/>
  <c r="CT50" i="8"/>
  <c r="CU50" i="8"/>
  <c r="B51" i="8"/>
  <c r="D51" i="8"/>
  <c r="E51" i="8"/>
  <c r="F51" i="8"/>
  <c r="G51" i="8"/>
  <c r="H51" i="8"/>
  <c r="I51" i="8"/>
  <c r="J51" i="8"/>
  <c r="K51" i="8"/>
  <c r="L51" i="8"/>
  <c r="M51" i="8"/>
  <c r="N51" i="8"/>
  <c r="O51" i="8"/>
  <c r="P51" i="8"/>
  <c r="Q51" i="8"/>
  <c r="R51" i="8"/>
  <c r="S51" i="8"/>
  <c r="T51" i="8"/>
  <c r="U51" i="8"/>
  <c r="V51" i="8"/>
  <c r="W51" i="8"/>
  <c r="X51" i="8"/>
  <c r="Y51" i="8"/>
  <c r="Z51" i="8"/>
  <c r="AA51" i="8"/>
  <c r="AB51" i="8"/>
  <c r="AC51" i="8"/>
  <c r="AD51" i="8"/>
  <c r="AE51" i="8"/>
  <c r="AF51" i="8"/>
  <c r="AG51" i="8"/>
  <c r="AH51" i="8"/>
  <c r="AI51" i="8"/>
  <c r="AJ51" i="8"/>
  <c r="AK51" i="8"/>
  <c r="AL51" i="8"/>
  <c r="AM51" i="8"/>
  <c r="AN51" i="8"/>
  <c r="AO51" i="8"/>
  <c r="AP51" i="8"/>
  <c r="AQ51" i="8"/>
  <c r="AR51" i="8"/>
  <c r="AS51" i="8"/>
  <c r="AT51" i="8"/>
  <c r="AU51" i="8"/>
  <c r="AV51" i="8"/>
  <c r="AW51" i="8"/>
  <c r="AX51" i="8"/>
  <c r="AY51" i="8"/>
  <c r="AZ51" i="8"/>
  <c r="BA51" i="8"/>
  <c r="BB51" i="8"/>
  <c r="BC51" i="8"/>
  <c r="BD51" i="8"/>
  <c r="BE51" i="8"/>
  <c r="BF51" i="8"/>
  <c r="BG51" i="8"/>
  <c r="BH51" i="8"/>
  <c r="BI51" i="8"/>
  <c r="BJ51" i="8"/>
  <c r="BK51" i="8"/>
  <c r="BL51" i="8"/>
  <c r="BM51" i="8"/>
  <c r="BN51" i="8"/>
  <c r="BO51" i="8"/>
  <c r="BP51" i="8"/>
  <c r="BQ51" i="8"/>
  <c r="BR51" i="8"/>
  <c r="BS51" i="8"/>
  <c r="BT51" i="8"/>
  <c r="BU51" i="8"/>
  <c r="BV51" i="8"/>
  <c r="BW51" i="8"/>
  <c r="BX51" i="8"/>
  <c r="BY51" i="8"/>
  <c r="BZ51" i="8"/>
  <c r="CA51" i="8"/>
  <c r="CB51" i="8"/>
  <c r="CC51" i="8"/>
  <c r="CD51" i="8"/>
  <c r="CE51" i="8"/>
  <c r="CF51" i="8"/>
  <c r="CG51" i="8"/>
  <c r="CH51" i="8"/>
  <c r="CI51" i="8"/>
  <c r="CJ51" i="8"/>
  <c r="CK51" i="8"/>
  <c r="CL51" i="8"/>
  <c r="CM51" i="8"/>
  <c r="CN51" i="8"/>
  <c r="CO51" i="8"/>
  <c r="CP51" i="8"/>
  <c r="CQ51" i="8"/>
  <c r="CR51" i="8"/>
  <c r="CS51" i="8"/>
  <c r="CT51" i="8"/>
  <c r="CU51" i="8"/>
  <c r="D52" i="8"/>
  <c r="E52" i="8"/>
  <c r="F52" i="8"/>
  <c r="G52" i="8"/>
  <c r="H52" i="8"/>
  <c r="I52" i="8"/>
  <c r="J52" i="8"/>
  <c r="K52" i="8"/>
  <c r="L52" i="8"/>
  <c r="M52" i="8"/>
  <c r="N52" i="8"/>
  <c r="O52" i="8"/>
  <c r="P52" i="8"/>
  <c r="Q52" i="8"/>
  <c r="R52" i="8"/>
  <c r="S52" i="8"/>
  <c r="T52" i="8"/>
  <c r="U52" i="8"/>
  <c r="V52" i="8"/>
  <c r="W52" i="8"/>
  <c r="X52" i="8"/>
  <c r="Y52" i="8"/>
  <c r="Z52" i="8"/>
  <c r="AA52" i="8"/>
  <c r="AB52" i="8"/>
  <c r="AC52" i="8"/>
  <c r="AD52" i="8"/>
  <c r="AE52" i="8"/>
  <c r="AF52" i="8"/>
  <c r="AG52" i="8"/>
  <c r="AH52" i="8"/>
  <c r="AI52" i="8"/>
  <c r="AJ52" i="8"/>
  <c r="AK52" i="8"/>
  <c r="AL52" i="8"/>
  <c r="AM52" i="8"/>
  <c r="AN52" i="8"/>
  <c r="AO52" i="8"/>
  <c r="AP52" i="8"/>
  <c r="AQ52" i="8"/>
  <c r="AR52" i="8"/>
  <c r="AS52" i="8"/>
  <c r="AT52" i="8"/>
  <c r="AU52" i="8"/>
  <c r="AV52" i="8"/>
  <c r="AW52" i="8"/>
  <c r="AX52" i="8"/>
  <c r="AY52" i="8"/>
  <c r="AZ52" i="8"/>
  <c r="BA52" i="8"/>
  <c r="BB52" i="8"/>
  <c r="BC52" i="8"/>
  <c r="BD52" i="8"/>
  <c r="BE52" i="8"/>
  <c r="BF52" i="8"/>
  <c r="BG52" i="8"/>
  <c r="BH52" i="8"/>
  <c r="BI52" i="8"/>
  <c r="BJ52" i="8"/>
  <c r="BK52" i="8"/>
  <c r="BL52" i="8"/>
  <c r="BM52" i="8"/>
  <c r="BN52" i="8"/>
  <c r="BO52" i="8"/>
  <c r="BP52" i="8"/>
  <c r="BQ52" i="8"/>
  <c r="BR52" i="8"/>
  <c r="BS52" i="8"/>
  <c r="BT52" i="8"/>
  <c r="BU52" i="8"/>
  <c r="BV52" i="8"/>
  <c r="BW52" i="8"/>
  <c r="BX52" i="8"/>
  <c r="BY52" i="8"/>
  <c r="BZ52" i="8"/>
  <c r="CA52" i="8"/>
  <c r="CB52" i="8"/>
  <c r="CC52" i="8"/>
  <c r="CD52" i="8"/>
  <c r="CE52" i="8"/>
  <c r="CF52" i="8"/>
  <c r="CG52" i="8"/>
  <c r="CH52" i="8"/>
  <c r="CI52" i="8"/>
  <c r="CJ52" i="8"/>
  <c r="CK52" i="8"/>
  <c r="CL52" i="8"/>
  <c r="CM52" i="8"/>
  <c r="CN52" i="8"/>
  <c r="CO52" i="8"/>
  <c r="CP52" i="8"/>
  <c r="CQ52" i="8"/>
  <c r="CR52" i="8"/>
  <c r="CS52" i="8"/>
  <c r="CT52" i="8"/>
  <c r="CU52" i="8"/>
  <c r="B53" i="8"/>
  <c r="AJ53" i="8"/>
  <c r="B54" i="8"/>
  <c r="D54" i="8"/>
  <c r="E54" i="8"/>
  <c r="F54" i="8"/>
  <c r="G54" i="8"/>
  <c r="H54" i="8"/>
  <c r="I54" i="8"/>
  <c r="J54" i="8"/>
  <c r="K54" i="8"/>
  <c r="L54" i="8"/>
  <c r="M54" i="8"/>
  <c r="N54" i="8"/>
  <c r="O54" i="8"/>
  <c r="P54" i="8"/>
  <c r="Q54" i="8"/>
  <c r="R54" i="8"/>
  <c r="S54" i="8"/>
  <c r="T54" i="8"/>
  <c r="U54" i="8"/>
  <c r="V54" i="8"/>
  <c r="W54" i="8"/>
  <c r="X54" i="8"/>
  <c r="Y54" i="8"/>
  <c r="Z54" i="8"/>
  <c r="AA54" i="8"/>
  <c r="AB54" i="8"/>
  <c r="AC54" i="8"/>
  <c r="AD54" i="8"/>
  <c r="AE54" i="8"/>
  <c r="AF54" i="8"/>
  <c r="AG54" i="8"/>
  <c r="AH54" i="8"/>
  <c r="AI54" i="8"/>
  <c r="AJ54" i="8"/>
  <c r="AK54" i="8"/>
  <c r="AL54" i="8"/>
  <c r="AM54" i="8"/>
  <c r="AN54" i="8"/>
  <c r="AO54" i="8"/>
  <c r="AP54" i="8"/>
  <c r="AQ54" i="8"/>
  <c r="AR54" i="8"/>
  <c r="AS54" i="8"/>
  <c r="AT54" i="8"/>
  <c r="AU54" i="8"/>
  <c r="AV54" i="8"/>
  <c r="AW54" i="8"/>
  <c r="AX54" i="8"/>
  <c r="AY54" i="8"/>
  <c r="AZ54" i="8"/>
  <c r="BA54" i="8"/>
  <c r="BB54" i="8"/>
  <c r="BC54" i="8"/>
  <c r="BD54" i="8"/>
  <c r="BE54" i="8"/>
  <c r="BF54" i="8"/>
  <c r="BG54" i="8"/>
  <c r="BH54" i="8"/>
  <c r="BI54" i="8"/>
  <c r="BJ54" i="8"/>
  <c r="BK54" i="8"/>
  <c r="BL54" i="8"/>
  <c r="BM54" i="8"/>
  <c r="BN54" i="8"/>
  <c r="BO54" i="8"/>
  <c r="BP54" i="8"/>
  <c r="BQ54" i="8"/>
  <c r="BR54" i="8"/>
  <c r="BS54" i="8"/>
  <c r="BT54" i="8"/>
  <c r="BU54" i="8"/>
  <c r="BV54" i="8"/>
  <c r="BW54" i="8"/>
  <c r="BX54" i="8"/>
  <c r="BY54" i="8"/>
  <c r="BZ54" i="8"/>
  <c r="CA54" i="8"/>
  <c r="CB54" i="8"/>
  <c r="CC54" i="8"/>
  <c r="CD54" i="8"/>
  <c r="CE54" i="8"/>
  <c r="CF54" i="8"/>
  <c r="CG54" i="8"/>
  <c r="CH54" i="8"/>
  <c r="CI54" i="8"/>
  <c r="CJ54" i="8"/>
  <c r="CK54" i="8"/>
  <c r="CL54" i="8"/>
  <c r="CM54" i="8"/>
  <c r="CN54" i="8"/>
  <c r="CO54" i="8"/>
  <c r="CP54" i="8"/>
  <c r="CQ54" i="8"/>
  <c r="CR54" i="8"/>
  <c r="CS54" i="8"/>
  <c r="CT54" i="8"/>
  <c r="CU54" i="8"/>
  <c r="D55" i="8"/>
  <c r="E55" i="8"/>
  <c r="F55" i="8"/>
  <c r="G55" i="8"/>
  <c r="H55" i="8"/>
  <c r="I55" i="8"/>
  <c r="J55" i="8"/>
  <c r="K55" i="8"/>
  <c r="L55" i="8"/>
  <c r="M55" i="8"/>
  <c r="N55" i="8"/>
  <c r="O55" i="8"/>
  <c r="P55" i="8"/>
  <c r="Q55" i="8"/>
  <c r="R55" i="8"/>
  <c r="S55" i="8"/>
  <c r="T55" i="8"/>
  <c r="U55" i="8"/>
  <c r="V55" i="8"/>
  <c r="W55" i="8"/>
  <c r="X55" i="8"/>
  <c r="Y55" i="8"/>
  <c r="Z55" i="8"/>
  <c r="AA55" i="8"/>
  <c r="AB55" i="8"/>
  <c r="AC55" i="8"/>
  <c r="AD55" i="8"/>
  <c r="AE55" i="8"/>
  <c r="AF55" i="8"/>
  <c r="AG55" i="8"/>
  <c r="AH55" i="8"/>
  <c r="AI55" i="8"/>
  <c r="AJ55" i="8"/>
  <c r="AK55" i="8"/>
  <c r="AL55" i="8"/>
  <c r="AM55" i="8"/>
  <c r="AN55" i="8"/>
  <c r="AO55" i="8"/>
  <c r="AP55" i="8"/>
  <c r="AQ55" i="8"/>
  <c r="AR55" i="8"/>
  <c r="AS55" i="8"/>
  <c r="AT55" i="8"/>
  <c r="AU55" i="8"/>
  <c r="AV55" i="8"/>
  <c r="AW55" i="8"/>
  <c r="AX55" i="8"/>
  <c r="AY55" i="8"/>
  <c r="AZ55" i="8"/>
  <c r="BA55" i="8"/>
  <c r="BB55" i="8"/>
  <c r="BC55" i="8"/>
  <c r="BD55" i="8"/>
  <c r="BE55" i="8"/>
  <c r="BF55" i="8"/>
  <c r="BG55" i="8"/>
  <c r="BH55" i="8"/>
  <c r="BI55" i="8"/>
  <c r="BJ55" i="8"/>
  <c r="BK55" i="8"/>
  <c r="BL55" i="8"/>
  <c r="BM55" i="8"/>
  <c r="BN55" i="8"/>
  <c r="BO55" i="8"/>
  <c r="BP55" i="8"/>
  <c r="BQ55" i="8"/>
  <c r="BR55" i="8"/>
  <c r="BS55" i="8"/>
  <c r="BT55" i="8"/>
  <c r="BU55" i="8"/>
  <c r="BV55" i="8"/>
  <c r="BW55" i="8"/>
  <c r="BX55" i="8"/>
  <c r="BY55" i="8"/>
  <c r="BZ55" i="8"/>
  <c r="CA55" i="8"/>
  <c r="CB55" i="8"/>
  <c r="CC55" i="8"/>
  <c r="CD55" i="8"/>
  <c r="CE55" i="8"/>
  <c r="CF55" i="8"/>
  <c r="CG55" i="8"/>
  <c r="CH55" i="8"/>
  <c r="CI55" i="8"/>
  <c r="CJ55" i="8"/>
  <c r="CK55" i="8"/>
  <c r="CL55" i="8"/>
  <c r="CM55" i="8"/>
  <c r="CN55" i="8"/>
  <c r="CO55" i="8"/>
  <c r="CP55" i="8"/>
  <c r="CQ55" i="8"/>
  <c r="CR55" i="8"/>
  <c r="CS55" i="8"/>
  <c r="CT55" i="8"/>
  <c r="CU55" i="8"/>
  <c r="D56" i="8"/>
  <c r="E56" i="8"/>
  <c r="F56" i="8"/>
  <c r="G56" i="8"/>
  <c r="H56" i="8"/>
  <c r="I56" i="8"/>
  <c r="J56" i="8"/>
  <c r="K56" i="8"/>
  <c r="L56" i="8"/>
  <c r="M56" i="8"/>
  <c r="N56" i="8"/>
  <c r="O56" i="8"/>
  <c r="P56" i="8"/>
  <c r="Q56" i="8"/>
  <c r="R56" i="8"/>
  <c r="S56" i="8"/>
  <c r="T56" i="8"/>
  <c r="U56" i="8"/>
  <c r="V56" i="8"/>
  <c r="W56" i="8"/>
  <c r="X56" i="8"/>
  <c r="Y56" i="8"/>
  <c r="Z56" i="8"/>
  <c r="AA56" i="8"/>
  <c r="AB56" i="8"/>
  <c r="AC56" i="8"/>
  <c r="AD56" i="8"/>
  <c r="AE56" i="8"/>
  <c r="AF56" i="8"/>
  <c r="AG56" i="8"/>
  <c r="AH56" i="8"/>
  <c r="AI56" i="8"/>
  <c r="AK56" i="8"/>
  <c r="AL56" i="8"/>
  <c r="AM56" i="8"/>
  <c r="AN56" i="8"/>
  <c r="AO56" i="8"/>
  <c r="AP56" i="8"/>
  <c r="AQ56" i="8"/>
  <c r="AR56" i="8"/>
  <c r="AS56" i="8"/>
  <c r="AT56" i="8"/>
  <c r="AU56" i="8"/>
  <c r="AV56" i="8"/>
  <c r="AW56" i="8"/>
  <c r="AX56" i="8"/>
  <c r="AY56" i="8"/>
  <c r="AZ56" i="8"/>
  <c r="BA56" i="8"/>
  <c r="BB56" i="8"/>
  <c r="BC56" i="8"/>
  <c r="BD56" i="8"/>
  <c r="BE56" i="8"/>
  <c r="BF56" i="8"/>
  <c r="BG56" i="8"/>
  <c r="BH56" i="8"/>
  <c r="BI56" i="8"/>
  <c r="BJ56" i="8"/>
  <c r="BK56" i="8"/>
  <c r="BL56" i="8"/>
  <c r="BM56" i="8"/>
  <c r="BN56" i="8"/>
  <c r="BO56" i="8"/>
  <c r="BP56" i="8"/>
  <c r="BQ56" i="8"/>
  <c r="BR56" i="8"/>
  <c r="BS56" i="8"/>
  <c r="BT56" i="8"/>
  <c r="BU56" i="8"/>
  <c r="BV56" i="8"/>
  <c r="BW56" i="8"/>
  <c r="BX56" i="8"/>
  <c r="BY56" i="8"/>
  <c r="BZ56" i="8"/>
  <c r="CA56" i="8"/>
  <c r="CB56" i="8"/>
  <c r="CC56" i="8"/>
  <c r="CD56" i="8"/>
  <c r="CE56" i="8"/>
  <c r="CF56" i="8"/>
  <c r="CG56" i="8"/>
  <c r="CH56" i="8"/>
  <c r="CI56" i="8"/>
  <c r="CJ56" i="8"/>
  <c r="CK56" i="8"/>
  <c r="CL56" i="8"/>
  <c r="CM56" i="8"/>
  <c r="CN56" i="8"/>
  <c r="CO56" i="8"/>
  <c r="CP56" i="8"/>
  <c r="CQ56" i="8"/>
  <c r="CR56" i="8"/>
  <c r="CS56" i="8"/>
  <c r="CT56" i="8"/>
  <c r="CU56" i="8"/>
  <c r="D57" i="8"/>
  <c r="E57" i="8"/>
  <c r="F57" i="8"/>
  <c r="G57" i="8"/>
  <c r="H57" i="8"/>
  <c r="I57" i="8"/>
  <c r="J57" i="8"/>
  <c r="K57" i="8"/>
  <c r="L57" i="8"/>
  <c r="M57" i="8"/>
  <c r="N57" i="8"/>
  <c r="O57" i="8"/>
  <c r="P57" i="8"/>
  <c r="Q57" i="8"/>
  <c r="R57" i="8"/>
  <c r="S57" i="8"/>
  <c r="T57" i="8"/>
  <c r="U57" i="8"/>
  <c r="V57" i="8"/>
  <c r="W57" i="8"/>
  <c r="X57" i="8"/>
  <c r="Y57" i="8"/>
  <c r="Z57" i="8"/>
  <c r="AA57" i="8"/>
  <c r="AB57" i="8"/>
  <c r="AC57" i="8"/>
  <c r="AD57" i="8"/>
  <c r="AE57" i="8"/>
  <c r="AF57" i="8"/>
  <c r="AG57" i="8"/>
  <c r="AH57" i="8"/>
  <c r="AI57" i="8"/>
  <c r="AK57" i="8"/>
  <c r="AL57" i="8"/>
  <c r="AM57" i="8"/>
  <c r="AN57" i="8"/>
  <c r="AO57" i="8"/>
  <c r="AP57" i="8"/>
  <c r="AQ57" i="8"/>
  <c r="AR57" i="8"/>
  <c r="AS57" i="8"/>
  <c r="AT57" i="8"/>
  <c r="AU57" i="8"/>
  <c r="AV57" i="8"/>
  <c r="AW57" i="8"/>
  <c r="AX57" i="8"/>
  <c r="AY57" i="8"/>
  <c r="AZ57" i="8"/>
  <c r="BA57" i="8"/>
  <c r="BB57" i="8"/>
  <c r="BC57" i="8"/>
  <c r="BD57" i="8"/>
  <c r="BE57" i="8"/>
  <c r="BF57" i="8"/>
  <c r="BG57" i="8"/>
  <c r="BH57" i="8"/>
  <c r="BI57" i="8"/>
  <c r="BJ57" i="8"/>
  <c r="BK57" i="8"/>
  <c r="BL57" i="8"/>
  <c r="BM57" i="8"/>
  <c r="BN57" i="8"/>
  <c r="BO57" i="8"/>
  <c r="BP57" i="8"/>
  <c r="BQ57" i="8"/>
  <c r="BR57" i="8"/>
  <c r="BS57" i="8"/>
  <c r="BT57" i="8"/>
  <c r="BU57" i="8"/>
  <c r="BV57" i="8"/>
  <c r="BW57" i="8"/>
  <c r="BX57" i="8"/>
  <c r="BY57" i="8"/>
  <c r="BZ57" i="8"/>
  <c r="CA57" i="8"/>
  <c r="CB57" i="8"/>
  <c r="CC57" i="8"/>
  <c r="CD57" i="8"/>
  <c r="CE57" i="8"/>
  <c r="CF57" i="8"/>
  <c r="CG57" i="8"/>
  <c r="CH57" i="8"/>
  <c r="CI57" i="8"/>
  <c r="CJ57" i="8"/>
  <c r="CK57" i="8"/>
  <c r="CL57" i="8"/>
  <c r="CM57" i="8"/>
  <c r="CN57" i="8"/>
  <c r="CO57" i="8"/>
  <c r="CP57" i="8"/>
  <c r="CQ57" i="8"/>
  <c r="CR57" i="8"/>
  <c r="CS57" i="8"/>
  <c r="CT57" i="8"/>
  <c r="CU57" i="8"/>
  <c r="B58" i="8"/>
  <c r="D58" i="8"/>
  <c r="E58" i="8"/>
  <c r="F58" i="8"/>
  <c r="G58" i="8"/>
  <c r="H58" i="8"/>
  <c r="I58" i="8"/>
  <c r="J58" i="8"/>
  <c r="K58" i="8"/>
  <c r="L58" i="8"/>
  <c r="M58" i="8"/>
  <c r="N58" i="8"/>
  <c r="O58" i="8"/>
  <c r="P58" i="8"/>
  <c r="Q58" i="8"/>
  <c r="R58" i="8"/>
  <c r="S58" i="8"/>
  <c r="T58" i="8"/>
  <c r="U58" i="8"/>
  <c r="V58" i="8"/>
  <c r="W58" i="8"/>
  <c r="X58" i="8"/>
  <c r="Y58" i="8"/>
  <c r="Z58" i="8"/>
  <c r="AA58" i="8"/>
  <c r="AB58" i="8"/>
  <c r="AC58" i="8"/>
  <c r="AD58" i="8"/>
  <c r="AE58" i="8"/>
  <c r="AF58" i="8"/>
  <c r="AG58" i="8"/>
  <c r="AH58" i="8"/>
  <c r="AI58" i="8"/>
  <c r="AJ58" i="8"/>
  <c r="AL58" i="8"/>
  <c r="AM58" i="8"/>
  <c r="AN58" i="8"/>
  <c r="AO58" i="8"/>
  <c r="AP58" i="8"/>
  <c r="AQ58" i="8"/>
  <c r="AR58" i="8"/>
  <c r="AS58" i="8"/>
  <c r="AT58" i="8"/>
  <c r="AU58" i="8"/>
  <c r="AV58" i="8"/>
  <c r="AW58" i="8"/>
  <c r="AX58" i="8"/>
  <c r="AY58" i="8"/>
  <c r="AZ58" i="8"/>
  <c r="BA58" i="8"/>
  <c r="BB58" i="8"/>
  <c r="BC58" i="8"/>
  <c r="BD58" i="8"/>
  <c r="BE58" i="8"/>
  <c r="BF58" i="8"/>
  <c r="BG58" i="8"/>
  <c r="BH58" i="8"/>
  <c r="BI58" i="8"/>
  <c r="BJ58" i="8"/>
  <c r="BK58" i="8"/>
  <c r="BL58" i="8"/>
  <c r="BM58" i="8"/>
  <c r="BN58" i="8"/>
  <c r="BO58" i="8"/>
  <c r="BP58" i="8"/>
  <c r="BQ58" i="8"/>
  <c r="BR58" i="8"/>
  <c r="BS58" i="8"/>
  <c r="BT58" i="8"/>
  <c r="BU58" i="8"/>
  <c r="BV58" i="8"/>
  <c r="BW58" i="8"/>
  <c r="BX58" i="8"/>
  <c r="BY58" i="8"/>
  <c r="BZ58" i="8"/>
  <c r="CA58" i="8"/>
  <c r="CB58" i="8"/>
  <c r="CC58" i="8"/>
  <c r="CD58" i="8"/>
  <c r="CE58" i="8"/>
  <c r="CF58" i="8"/>
  <c r="CG58" i="8"/>
  <c r="CH58" i="8"/>
  <c r="CI58" i="8"/>
  <c r="CJ58" i="8"/>
  <c r="CK58" i="8"/>
  <c r="CL58" i="8"/>
  <c r="CM58" i="8"/>
  <c r="CN58" i="8"/>
  <c r="CO58" i="8"/>
  <c r="CP58" i="8"/>
  <c r="CQ58" i="8"/>
  <c r="CR58" i="8"/>
  <c r="CS58" i="8"/>
  <c r="CT58" i="8"/>
  <c r="CU58" i="8"/>
  <c r="B60" i="8"/>
  <c r="D60" i="8"/>
  <c r="E60" i="8"/>
  <c r="F60" i="8"/>
  <c r="G60" i="8"/>
  <c r="H60" i="8"/>
  <c r="I60" i="8"/>
  <c r="J60" i="8"/>
  <c r="K60" i="8"/>
  <c r="L60" i="8"/>
  <c r="M60" i="8"/>
  <c r="N60" i="8"/>
  <c r="O60" i="8"/>
  <c r="P60" i="8"/>
  <c r="Q60" i="8"/>
  <c r="R60" i="8"/>
  <c r="S60" i="8"/>
  <c r="T60" i="8"/>
  <c r="U60" i="8"/>
  <c r="V60" i="8"/>
  <c r="W60" i="8"/>
  <c r="X60" i="8"/>
  <c r="Y60" i="8"/>
  <c r="Z60" i="8"/>
  <c r="AA60" i="8"/>
  <c r="AB60" i="8"/>
  <c r="AC60" i="8"/>
  <c r="AD60" i="8"/>
  <c r="AE60" i="8"/>
  <c r="AF60" i="8"/>
  <c r="AG60" i="8"/>
  <c r="AH60" i="8"/>
  <c r="AI60" i="8"/>
  <c r="AJ60" i="8"/>
  <c r="AK60" i="8"/>
  <c r="AL60" i="8"/>
  <c r="AM60" i="8"/>
  <c r="AN60" i="8"/>
  <c r="AO60" i="8"/>
  <c r="AP60" i="8"/>
  <c r="AQ60" i="8"/>
  <c r="AR60" i="8"/>
  <c r="AS60" i="8"/>
  <c r="AT60" i="8"/>
  <c r="AU60" i="8"/>
  <c r="AV60" i="8"/>
  <c r="AW60" i="8"/>
  <c r="AX60" i="8"/>
  <c r="AY60" i="8"/>
  <c r="AZ60" i="8"/>
  <c r="BA60" i="8"/>
  <c r="BB60" i="8"/>
  <c r="BC60" i="8"/>
  <c r="BD60" i="8"/>
  <c r="BE60" i="8"/>
  <c r="BF60" i="8"/>
  <c r="BG60" i="8"/>
  <c r="BH60" i="8"/>
  <c r="BI60" i="8"/>
  <c r="BJ60" i="8"/>
  <c r="BK60" i="8"/>
  <c r="BL60" i="8"/>
  <c r="BM60" i="8"/>
  <c r="BN60" i="8"/>
  <c r="BO60" i="8"/>
  <c r="BP60" i="8"/>
  <c r="BQ60" i="8"/>
  <c r="BR60" i="8"/>
  <c r="BS60" i="8"/>
  <c r="BT60" i="8"/>
  <c r="BU60" i="8"/>
  <c r="BV60" i="8"/>
  <c r="BW60" i="8"/>
  <c r="BX60" i="8"/>
  <c r="BY60" i="8"/>
  <c r="BZ60" i="8"/>
  <c r="CA60" i="8"/>
  <c r="CB60" i="8"/>
  <c r="CC60" i="8"/>
  <c r="CD60" i="8"/>
  <c r="CE60" i="8"/>
  <c r="CF60" i="8"/>
  <c r="CG60" i="8"/>
  <c r="CH60" i="8"/>
  <c r="CI60" i="8"/>
  <c r="CJ60" i="8"/>
  <c r="CK60" i="8"/>
  <c r="CL60" i="8"/>
  <c r="CM60" i="8"/>
  <c r="CN60" i="8"/>
  <c r="CO60" i="8"/>
  <c r="CP60" i="8"/>
  <c r="CQ60" i="8"/>
  <c r="CR60" i="8"/>
  <c r="CS60" i="8"/>
  <c r="CT60" i="8"/>
  <c r="CU60" i="8"/>
  <c r="B61" i="8"/>
  <c r="D61" i="8"/>
  <c r="E61" i="8"/>
  <c r="F61" i="8"/>
  <c r="G61" i="8"/>
  <c r="H61" i="8"/>
  <c r="I61" i="8"/>
  <c r="J61" i="8"/>
  <c r="K61" i="8"/>
  <c r="L61" i="8"/>
  <c r="M61" i="8"/>
  <c r="N61" i="8"/>
  <c r="O61" i="8"/>
  <c r="P61" i="8"/>
  <c r="Q61" i="8"/>
  <c r="R61" i="8"/>
  <c r="S61" i="8"/>
  <c r="T61" i="8"/>
  <c r="U61" i="8"/>
  <c r="V61" i="8"/>
  <c r="W61" i="8"/>
  <c r="X61" i="8"/>
  <c r="Y61" i="8"/>
  <c r="Z61" i="8"/>
  <c r="AA61" i="8"/>
  <c r="AB61" i="8"/>
  <c r="AC61" i="8"/>
  <c r="AD61" i="8"/>
  <c r="AE61" i="8"/>
  <c r="AF61" i="8"/>
  <c r="AG61" i="8"/>
  <c r="AH61" i="8"/>
  <c r="AI61" i="8"/>
  <c r="AJ61" i="8"/>
  <c r="AK61" i="8"/>
  <c r="AL61" i="8"/>
  <c r="AM61" i="8"/>
  <c r="AN61" i="8"/>
  <c r="AO61" i="8"/>
  <c r="AP61" i="8"/>
  <c r="AQ61" i="8"/>
  <c r="AR61" i="8"/>
  <c r="AS61" i="8"/>
  <c r="AT61" i="8"/>
  <c r="AU61" i="8"/>
  <c r="AV61" i="8"/>
  <c r="AW61" i="8"/>
  <c r="AX61" i="8"/>
  <c r="AY61" i="8"/>
  <c r="AZ61" i="8"/>
  <c r="BA61" i="8"/>
  <c r="BB61" i="8"/>
  <c r="BC61" i="8"/>
  <c r="BD61" i="8"/>
  <c r="BE61" i="8"/>
  <c r="BF61" i="8"/>
  <c r="BG61" i="8"/>
  <c r="BH61" i="8"/>
  <c r="BI61" i="8"/>
  <c r="BJ61" i="8"/>
  <c r="BK61" i="8"/>
  <c r="BL61" i="8"/>
  <c r="BM61" i="8"/>
  <c r="BN61" i="8"/>
  <c r="BO61" i="8"/>
  <c r="BP61" i="8"/>
  <c r="BQ61" i="8"/>
  <c r="BR61" i="8"/>
  <c r="BS61" i="8"/>
  <c r="BT61" i="8"/>
  <c r="BU61" i="8"/>
  <c r="BV61" i="8"/>
  <c r="BW61" i="8"/>
  <c r="BX61" i="8"/>
  <c r="BY61" i="8"/>
  <c r="BZ61" i="8"/>
  <c r="CA61" i="8"/>
  <c r="CB61" i="8"/>
  <c r="CC61" i="8"/>
  <c r="CD61" i="8"/>
  <c r="CE61" i="8"/>
  <c r="CF61" i="8"/>
  <c r="CG61" i="8"/>
  <c r="CH61" i="8"/>
  <c r="CI61" i="8"/>
  <c r="CJ61" i="8"/>
  <c r="CK61" i="8"/>
  <c r="CL61" i="8"/>
  <c r="CM61" i="8"/>
  <c r="CN61" i="8"/>
  <c r="CO61" i="8"/>
  <c r="CP61" i="8"/>
  <c r="CQ61" i="8"/>
  <c r="CR61" i="8"/>
  <c r="CS61" i="8"/>
  <c r="CT61" i="8"/>
  <c r="CU61" i="8"/>
  <c r="B62" i="8"/>
  <c r="D62" i="8"/>
  <c r="E62" i="8"/>
  <c r="F62" i="8"/>
  <c r="G62" i="8"/>
  <c r="H62" i="8"/>
  <c r="I62" i="8"/>
  <c r="J62" i="8"/>
  <c r="K62" i="8"/>
  <c r="L62" i="8"/>
  <c r="M62" i="8"/>
  <c r="N62" i="8"/>
  <c r="O62" i="8"/>
  <c r="P62" i="8"/>
  <c r="Q62" i="8"/>
  <c r="R62" i="8"/>
  <c r="S62" i="8"/>
  <c r="T62" i="8"/>
  <c r="U62" i="8"/>
  <c r="V62" i="8"/>
  <c r="W62" i="8"/>
  <c r="X62" i="8"/>
  <c r="Y62" i="8"/>
  <c r="Z62" i="8"/>
  <c r="AA62" i="8"/>
  <c r="AB62" i="8"/>
  <c r="AC62" i="8"/>
  <c r="AD62" i="8"/>
  <c r="AE62" i="8"/>
  <c r="AF62" i="8"/>
  <c r="AG62" i="8"/>
  <c r="AH62" i="8"/>
  <c r="AI62" i="8"/>
  <c r="AJ62" i="8"/>
  <c r="AK62" i="8"/>
  <c r="AL62" i="8"/>
  <c r="AM62" i="8"/>
  <c r="AN62" i="8"/>
  <c r="AO62" i="8"/>
  <c r="AP62" i="8"/>
  <c r="AQ62" i="8"/>
  <c r="AR62" i="8"/>
  <c r="AS62" i="8"/>
  <c r="AT62" i="8"/>
  <c r="AU62" i="8"/>
  <c r="AV62" i="8"/>
  <c r="AW62" i="8"/>
  <c r="AX62" i="8"/>
  <c r="AY62" i="8"/>
  <c r="AZ62" i="8"/>
  <c r="BA62" i="8"/>
  <c r="BB62" i="8"/>
  <c r="BC62" i="8"/>
  <c r="BD62" i="8"/>
  <c r="BE62" i="8"/>
  <c r="BF62" i="8"/>
  <c r="BG62" i="8"/>
  <c r="BH62" i="8"/>
  <c r="BI62" i="8"/>
  <c r="BJ62" i="8"/>
  <c r="BK62" i="8"/>
  <c r="BL62" i="8"/>
  <c r="BM62" i="8"/>
  <c r="BN62" i="8"/>
  <c r="BO62" i="8"/>
  <c r="BP62" i="8"/>
  <c r="BQ62" i="8"/>
  <c r="BR62" i="8"/>
  <c r="BS62" i="8"/>
  <c r="BT62" i="8"/>
  <c r="BU62" i="8"/>
  <c r="BV62" i="8"/>
  <c r="BW62" i="8"/>
  <c r="BX62" i="8"/>
  <c r="BY62" i="8"/>
  <c r="BZ62" i="8"/>
  <c r="CA62" i="8"/>
  <c r="CB62" i="8"/>
  <c r="CC62" i="8"/>
  <c r="CD62" i="8"/>
  <c r="CE62" i="8"/>
  <c r="CF62" i="8"/>
  <c r="CG62" i="8"/>
  <c r="CH62" i="8"/>
  <c r="CI62" i="8"/>
  <c r="CJ62" i="8"/>
  <c r="CK62" i="8"/>
  <c r="CL62" i="8"/>
  <c r="CM62" i="8"/>
  <c r="CN62" i="8"/>
  <c r="CO62" i="8"/>
  <c r="CP62" i="8"/>
  <c r="CQ62" i="8"/>
  <c r="CR62" i="8"/>
  <c r="CS62" i="8"/>
  <c r="CT62" i="8"/>
  <c r="CU62" i="8"/>
  <c r="D63" i="8"/>
  <c r="E63" i="8"/>
  <c r="F63" i="8"/>
  <c r="G63" i="8"/>
  <c r="H63" i="8"/>
  <c r="I63" i="8"/>
  <c r="J63" i="8"/>
  <c r="K63" i="8"/>
  <c r="L63" i="8"/>
  <c r="M63" i="8"/>
  <c r="N63" i="8"/>
  <c r="O63" i="8"/>
  <c r="P63" i="8"/>
  <c r="Q63" i="8"/>
  <c r="R63" i="8"/>
  <c r="S63" i="8"/>
  <c r="T63" i="8"/>
  <c r="U63" i="8"/>
  <c r="V63" i="8"/>
  <c r="W63" i="8"/>
  <c r="X63" i="8"/>
  <c r="Y63" i="8"/>
  <c r="Z63" i="8"/>
  <c r="AA63" i="8"/>
  <c r="AB63" i="8"/>
  <c r="AC63" i="8"/>
  <c r="AD63" i="8"/>
  <c r="AE63" i="8"/>
  <c r="AF63" i="8"/>
  <c r="AG63" i="8"/>
  <c r="AH63" i="8"/>
  <c r="AI63" i="8"/>
  <c r="AJ63" i="8"/>
  <c r="AK63" i="8"/>
  <c r="AL63" i="8"/>
  <c r="AM63" i="8"/>
  <c r="AN63" i="8"/>
  <c r="AO63" i="8"/>
  <c r="AP63" i="8"/>
  <c r="AQ63" i="8"/>
  <c r="AR63" i="8"/>
  <c r="AS63" i="8"/>
  <c r="AT63" i="8"/>
  <c r="AU63" i="8"/>
  <c r="AV63" i="8"/>
  <c r="AW63" i="8"/>
  <c r="AX63" i="8"/>
  <c r="AY63" i="8"/>
  <c r="AZ63" i="8"/>
  <c r="BA63" i="8"/>
  <c r="BB63" i="8"/>
  <c r="BC63" i="8"/>
  <c r="BD63" i="8"/>
  <c r="BE63" i="8"/>
  <c r="BF63" i="8"/>
  <c r="BG63" i="8"/>
  <c r="BH63" i="8"/>
  <c r="BI63" i="8"/>
  <c r="BJ63" i="8"/>
  <c r="BK63" i="8"/>
  <c r="BL63" i="8"/>
  <c r="BM63" i="8"/>
  <c r="BN63" i="8"/>
  <c r="BO63" i="8"/>
  <c r="BP63" i="8"/>
  <c r="BQ63" i="8"/>
  <c r="BR63" i="8"/>
  <c r="BS63" i="8"/>
  <c r="BT63" i="8"/>
  <c r="BU63" i="8"/>
  <c r="BV63" i="8"/>
  <c r="BW63" i="8"/>
  <c r="BX63" i="8"/>
  <c r="BY63" i="8"/>
  <c r="BZ63" i="8"/>
  <c r="CA63" i="8"/>
  <c r="CB63" i="8"/>
  <c r="CC63" i="8"/>
  <c r="CD63" i="8"/>
  <c r="CE63" i="8"/>
  <c r="CF63" i="8"/>
  <c r="CG63" i="8"/>
  <c r="CH63" i="8"/>
  <c r="CI63" i="8"/>
  <c r="CJ63" i="8"/>
  <c r="CK63" i="8"/>
  <c r="CL63" i="8"/>
  <c r="CM63" i="8"/>
  <c r="CN63" i="8"/>
  <c r="CO63" i="8"/>
  <c r="CP63" i="8"/>
  <c r="CQ63" i="8"/>
  <c r="CR63" i="8"/>
  <c r="CS63" i="8"/>
  <c r="CT63" i="8"/>
  <c r="CU63" i="8"/>
  <c r="B7" i="2"/>
  <c r="D7" i="2"/>
  <c r="E7" i="2"/>
  <c r="B8" i="2"/>
  <c r="D8" i="2"/>
  <c r="E8" i="2"/>
  <c r="B10" i="2"/>
  <c r="D10" i="2"/>
  <c r="E10" i="2"/>
  <c r="B11" i="2"/>
  <c r="D11" i="2"/>
  <c r="E11" i="2"/>
  <c r="B16" i="2"/>
  <c r="D16" i="2"/>
  <c r="E16" i="2"/>
  <c r="B17" i="2"/>
  <c r="D17" i="2"/>
  <c r="E17" i="2"/>
  <c r="B18" i="2"/>
  <c r="D18" i="2"/>
  <c r="E18" i="2"/>
  <c r="B19" i="2"/>
  <c r="D19" i="2"/>
  <c r="E19" i="2"/>
  <c r="B20" i="2"/>
  <c r="D20" i="2"/>
  <c r="E20" i="2"/>
  <c r="B23" i="2"/>
  <c r="D23" i="2"/>
  <c r="E23" i="2"/>
  <c r="B24" i="2"/>
  <c r="D24" i="2"/>
  <c r="E24" i="2"/>
  <c r="B25" i="2"/>
  <c r="D25" i="2"/>
  <c r="E25" i="2"/>
  <c r="B26" i="2"/>
  <c r="B27" i="2"/>
  <c r="D27" i="2"/>
  <c r="E27" i="2"/>
  <c r="B28" i="2"/>
  <c r="D28" i="2"/>
  <c r="E28" i="2"/>
  <c r="B43" i="2"/>
  <c r="C43" i="2"/>
  <c r="D43" i="2"/>
  <c r="E43" i="2"/>
  <c r="F43" i="2"/>
  <c r="G43" i="2"/>
  <c r="H43" i="2"/>
  <c r="I43" i="2"/>
  <c r="J43" i="2"/>
  <c r="B44" i="2"/>
  <c r="C44" i="2"/>
  <c r="D44" i="2"/>
  <c r="E44" i="2"/>
  <c r="F44" i="2"/>
  <c r="G44" i="2"/>
  <c r="H44" i="2"/>
  <c r="I44" i="2"/>
  <c r="J44" i="2"/>
  <c r="B45" i="2"/>
  <c r="C45" i="2"/>
  <c r="D45" i="2"/>
  <c r="E45" i="2"/>
  <c r="F45" i="2"/>
  <c r="G45" i="2"/>
  <c r="H45" i="2"/>
  <c r="I45" i="2"/>
  <c r="J45" i="2"/>
  <c r="C48" i="2"/>
  <c r="C49" i="2"/>
  <c r="C50" i="2"/>
  <c r="C51" i="2"/>
  <c r="C52" i="2"/>
  <c r="C53" i="2"/>
  <c r="B54" i="2"/>
  <c r="C54" i="2"/>
  <c r="B10" i="9"/>
  <c r="D10" i="9"/>
  <c r="E10" i="9"/>
  <c r="F10" i="9"/>
  <c r="G10" i="9"/>
  <c r="H10" i="9"/>
  <c r="I10" i="9"/>
  <c r="J10" i="9"/>
  <c r="K10" i="9"/>
  <c r="L10" i="9"/>
  <c r="M10" i="9"/>
  <c r="N10" i="9"/>
  <c r="O10" i="9"/>
  <c r="P10" i="9"/>
  <c r="Q10" i="9"/>
  <c r="R10" i="9"/>
  <c r="S10" i="9"/>
  <c r="T10" i="9"/>
  <c r="U10" i="9"/>
  <c r="V10" i="9"/>
  <c r="W10" i="9"/>
  <c r="X10" i="9"/>
  <c r="Y10" i="9"/>
  <c r="Z10" i="9"/>
  <c r="AA10" i="9"/>
  <c r="AB10" i="9"/>
  <c r="AC10" i="9"/>
  <c r="AD10" i="9"/>
  <c r="AE10" i="9"/>
  <c r="AF10" i="9"/>
  <c r="AG10" i="9"/>
  <c r="AH10" i="9"/>
  <c r="AI10" i="9"/>
  <c r="AJ10" i="9"/>
  <c r="AK10" i="9"/>
  <c r="AL10" i="9"/>
  <c r="AM10" i="9"/>
  <c r="AN10" i="9"/>
  <c r="AO10" i="9"/>
  <c r="AP10" i="9"/>
  <c r="AQ10" i="9"/>
  <c r="AR10" i="9"/>
  <c r="AS10" i="9"/>
  <c r="AT10" i="9"/>
  <c r="AU10" i="9"/>
  <c r="AV10" i="9"/>
  <c r="AW10" i="9"/>
  <c r="AX10" i="9"/>
  <c r="AY10" i="9"/>
  <c r="AZ10" i="9"/>
  <c r="BA10" i="9"/>
  <c r="BB10" i="9"/>
  <c r="BC10" i="9"/>
  <c r="BD10" i="9"/>
  <c r="BE10" i="9"/>
  <c r="BF10" i="9"/>
  <c r="BG10" i="9"/>
  <c r="BH10" i="9"/>
  <c r="BI10" i="9"/>
  <c r="BJ10" i="9"/>
  <c r="BK10" i="9"/>
  <c r="BL10" i="9"/>
  <c r="BM10" i="9"/>
  <c r="BN10" i="9"/>
  <c r="BO10" i="9"/>
  <c r="BP10" i="9"/>
  <c r="BQ10" i="9"/>
  <c r="BR10" i="9"/>
  <c r="BS10" i="9"/>
  <c r="BT10" i="9"/>
  <c r="BU10" i="9"/>
  <c r="BV10" i="9"/>
  <c r="BW10" i="9"/>
  <c r="BX10" i="9"/>
  <c r="BY10" i="9"/>
  <c r="BZ10" i="9"/>
  <c r="CA10" i="9"/>
  <c r="CB10" i="9"/>
  <c r="CC10" i="9"/>
  <c r="CD10" i="9"/>
  <c r="CE10" i="9"/>
  <c r="CF10" i="9"/>
  <c r="CG10" i="9"/>
  <c r="CH10" i="9"/>
  <c r="CI10" i="9"/>
  <c r="CJ10" i="9"/>
  <c r="CK10" i="9"/>
  <c r="CL10" i="9"/>
  <c r="CM10" i="9"/>
  <c r="CN10" i="9"/>
  <c r="CO10" i="9"/>
  <c r="CP10" i="9"/>
  <c r="CQ10" i="9"/>
  <c r="CR10" i="9"/>
  <c r="CS10" i="9"/>
  <c r="CT10" i="9"/>
  <c r="CU10" i="9"/>
  <c r="B11" i="9"/>
  <c r="D11" i="9"/>
  <c r="E11" i="9"/>
  <c r="F11" i="9"/>
  <c r="G11" i="9"/>
  <c r="H11" i="9"/>
  <c r="I11" i="9"/>
  <c r="J11" i="9"/>
  <c r="K11" i="9"/>
  <c r="L11" i="9"/>
  <c r="M11" i="9"/>
  <c r="N11" i="9"/>
  <c r="O11" i="9"/>
  <c r="P11" i="9"/>
  <c r="Q11" i="9"/>
  <c r="R11" i="9"/>
  <c r="S11" i="9"/>
  <c r="T11" i="9"/>
  <c r="U11" i="9"/>
  <c r="V11" i="9"/>
  <c r="W11" i="9"/>
  <c r="X11" i="9"/>
  <c r="Y11" i="9"/>
  <c r="Z11" i="9"/>
  <c r="AA11" i="9"/>
  <c r="AB11" i="9"/>
  <c r="AC11" i="9"/>
  <c r="AD11" i="9"/>
  <c r="AE11" i="9"/>
  <c r="AF11" i="9"/>
  <c r="AG11" i="9"/>
  <c r="AH11" i="9"/>
  <c r="AI11" i="9"/>
  <c r="AJ11" i="9"/>
  <c r="AK11" i="9"/>
  <c r="AL11" i="9"/>
  <c r="AM11" i="9"/>
  <c r="AN11" i="9"/>
  <c r="AO11" i="9"/>
  <c r="AP11" i="9"/>
  <c r="AQ11" i="9"/>
  <c r="AR11" i="9"/>
  <c r="AS11" i="9"/>
  <c r="AT11" i="9"/>
  <c r="AU11" i="9"/>
  <c r="AV11" i="9"/>
  <c r="AW11" i="9"/>
  <c r="AX11" i="9"/>
  <c r="AY11" i="9"/>
  <c r="AZ11" i="9"/>
  <c r="BA11" i="9"/>
  <c r="BB11" i="9"/>
  <c r="BC11" i="9"/>
  <c r="BD11" i="9"/>
  <c r="BE11" i="9"/>
  <c r="BF11" i="9"/>
  <c r="BG11" i="9"/>
  <c r="BH11" i="9"/>
  <c r="BI11" i="9"/>
  <c r="BJ11" i="9"/>
  <c r="BK11" i="9"/>
  <c r="BL11" i="9"/>
  <c r="BM11" i="9"/>
  <c r="BN11" i="9"/>
  <c r="BO11" i="9"/>
  <c r="BP11" i="9"/>
  <c r="BQ11" i="9"/>
  <c r="BR11" i="9"/>
  <c r="BS11" i="9"/>
  <c r="BT11" i="9"/>
  <c r="BU11" i="9"/>
  <c r="BV11" i="9"/>
  <c r="BW11" i="9"/>
  <c r="BX11" i="9"/>
  <c r="BY11" i="9"/>
  <c r="BZ11" i="9"/>
  <c r="CA11" i="9"/>
  <c r="CB11" i="9"/>
  <c r="CC11" i="9"/>
  <c r="CD11" i="9"/>
  <c r="CE11" i="9"/>
  <c r="CF11" i="9"/>
  <c r="CG11" i="9"/>
  <c r="CH11" i="9"/>
  <c r="CI11" i="9"/>
  <c r="CJ11" i="9"/>
  <c r="CK11" i="9"/>
  <c r="CL11" i="9"/>
  <c r="CM11" i="9"/>
  <c r="CN11" i="9"/>
  <c r="CO11" i="9"/>
  <c r="CP11" i="9"/>
  <c r="CQ11" i="9"/>
  <c r="CR11" i="9"/>
  <c r="CS11" i="9"/>
  <c r="CT11" i="9"/>
  <c r="CU11" i="9"/>
  <c r="E12" i="9"/>
  <c r="F12" i="9"/>
  <c r="G12" i="9"/>
  <c r="H12" i="9"/>
  <c r="I12" i="9"/>
  <c r="J12" i="9"/>
  <c r="K12" i="9"/>
  <c r="L12" i="9"/>
  <c r="M12" i="9"/>
  <c r="N12" i="9"/>
  <c r="O12" i="9"/>
  <c r="P12" i="9"/>
  <c r="Q12" i="9"/>
  <c r="R12" i="9"/>
  <c r="S12" i="9"/>
  <c r="T12" i="9"/>
  <c r="U12" i="9"/>
  <c r="V12" i="9"/>
  <c r="W12" i="9"/>
  <c r="X12" i="9"/>
  <c r="Y12" i="9"/>
  <c r="Z12" i="9"/>
  <c r="AA12" i="9"/>
  <c r="AB12" i="9"/>
  <c r="AC12" i="9"/>
  <c r="AD12" i="9"/>
  <c r="AE12" i="9"/>
  <c r="AF12" i="9"/>
  <c r="AG12" i="9"/>
  <c r="AH12" i="9"/>
  <c r="AI12" i="9"/>
  <c r="AJ12" i="9"/>
  <c r="AK12" i="9"/>
  <c r="AL12" i="9"/>
  <c r="AM12" i="9"/>
  <c r="AN12" i="9"/>
  <c r="AO12" i="9"/>
  <c r="AP12" i="9"/>
  <c r="AQ12" i="9"/>
  <c r="AR12" i="9"/>
  <c r="AS12" i="9"/>
  <c r="AT12" i="9"/>
  <c r="AU12" i="9"/>
  <c r="AV12" i="9"/>
  <c r="AW12" i="9"/>
  <c r="AX12" i="9"/>
  <c r="AY12" i="9"/>
  <c r="AZ12" i="9"/>
  <c r="BA12" i="9"/>
  <c r="BB12" i="9"/>
  <c r="BC12" i="9"/>
  <c r="BD12" i="9"/>
  <c r="BE12" i="9"/>
  <c r="BF12" i="9"/>
  <c r="BG12" i="9"/>
  <c r="BH12" i="9"/>
  <c r="BI12" i="9"/>
  <c r="BJ12" i="9"/>
  <c r="BK12" i="9"/>
  <c r="BL12" i="9"/>
  <c r="BM12" i="9"/>
  <c r="BN12" i="9"/>
  <c r="BO12" i="9"/>
  <c r="BP12" i="9"/>
  <c r="BQ12" i="9"/>
  <c r="BR12" i="9"/>
  <c r="BS12" i="9"/>
  <c r="BT12" i="9"/>
  <c r="BU12" i="9"/>
  <c r="BV12" i="9"/>
  <c r="BW12" i="9"/>
  <c r="BX12" i="9"/>
  <c r="BY12" i="9"/>
  <c r="BZ12" i="9"/>
  <c r="CA12" i="9"/>
  <c r="CB12" i="9"/>
  <c r="CC12" i="9"/>
  <c r="CD12" i="9"/>
  <c r="CE12" i="9"/>
  <c r="CF12" i="9"/>
  <c r="CG12" i="9"/>
  <c r="CH12" i="9"/>
  <c r="CI12" i="9"/>
  <c r="CJ12" i="9"/>
  <c r="CK12" i="9"/>
  <c r="CL12" i="9"/>
  <c r="CM12" i="9"/>
  <c r="CN12" i="9"/>
  <c r="CO12" i="9"/>
  <c r="CP12" i="9"/>
  <c r="CQ12" i="9"/>
  <c r="CR12" i="9"/>
  <c r="CS12" i="9"/>
  <c r="CT12" i="9"/>
  <c r="CU12" i="9"/>
  <c r="E13" i="9"/>
  <c r="F13" i="9"/>
  <c r="G13" i="9"/>
  <c r="H13" i="9"/>
  <c r="I13" i="9"/>
  <c r="J13" i="9"/>
  <c r="K13" i="9"/>
  <c r="L13" i="9"/>
  <c r="M13" i="9"/>
  <c r="N13" i="9"/>
  <c r="O13" i="9"/>
  <c r="P13" i="9"/>
  <c r="Q13" i="9"/>
  <c r="R13" i="9"/>
  <c r="S13" i="9"/>
  <c r="T13" i="9"/>
  <c r="U13" i="9"/>
  <c r="V13" i="9"/>
  <c r="W13" i="9"/>
  <c r="X13" i="9"/>
  <c r="Y13" i="9"/>
  <c r="Z13" i="9"/>
  <c r="AA13" i="9"/>
  <c r="AB13" i="9"/>
  <c r="AC13" i="9"/>
  <c r="AD13" i="9"/>
  <c r="AE13" i="9"/>
  <c r="AF13" i="9"/>
  <c r="AG13" i="9"/>
  <c r="AH13" i="9"/>
  <c r="AI13" i="9"/>
  <c r="AJ13" i="9"/>
  <c r="AK13" i="9"/>
  <c r="AL13" i="9"/>
  <c r="AM13" i="9"/>
  <c r="AN13" i="9"/>
  <c r="AO13" i="9"/>
  <c r="AP13" i="9"/>
  <c r="AQ13" i="9"/>
  <c r="AR13" i="9"/>
  <c r="AS13" i="9"/>
  <c r="AT13" i="9"/>
  <c r="AU13" i="9"/>
  <c r="AV13" i="9"/>
  <c r="AW13" i="9"/>
  <c r="AX13" i="9"/>
  <c r="AY13" i="9"/>
  <c r="AZ13" i="9"/>
  <c r="BA13" i="9"/>
  <c r="BB13" i="9"/>
  <c r="BC13" i="9"/>
  <c r="BD13" i="9"/>
  <c r="BE13" i="9"/>
  <c r="BF13" i="9"/>
  <c r="BG13" i="9"/>
  <c r="BH13" i="9"/>
  <c r="BI13" i="9"/>
  <c r="BJ13" i="9"/>
  <c r="BK13" i="9"/>
  <c r="BL13" i="9"/>
  <c r="BM13" i="9"/>
  <c r="BN13" i="9"/>
  <c r="BO13" i="9"/>
  <c r="BP13" i="9"/>
  <c r="BQ13" i="9"/>
  <c r="BR13" i="9"/>
  <c r="BS13" i="9"/>
  <c r="BT13" i="9"/>
  <c r="BU13" i="9"/>
  <c r="BV13" i="9"/>
  <c r="BW13" i="9"/>
  <c r="BX13" i="9"/>
  <c r="BY13" i="9"/>
  <c r="BZ13" i="9"/>
  <c r="CA13" i="9"/>
  <c r="CB13" i="9"/>
  <c r="CC13" i="9"/>
  <c r="CD13" i="9"/>
  <c r="CE13" i="9"/>
  <c r="CF13" i="9"/>
  <c r="CG13" i="9"/>
  <c r="CH13" i="9"/>
  <c r="CI13" i="9"/>
  <c r="CJ13" i="9"/>
  <c r="CK13" i="9"/>
  <c r="CL13" i="9"/>
  <c r="CM13" i="9"/>
  <c r="CN13" i="9"/>
  <c r="CO13" i="9"/>
  <c r="CP13" i="9"/>
  <c r="CQ13" i="9"/>
  <c r="CR13" i="9"/>
  <c r="CS13" i="9"/>
  <c r="CT13" i="9"/>
  <c r="CU13" i="9"/>
  <c r="B14" i="9"/>
  <c r="E14" i="9"/>
  <c r="F14" i="9"/>
  <c r="G14" i="9"/>
  <c r="H14" i="9"/>
  <c r="I14" i="9"/>
  <c r="J14" i="9"/>
  <c r="K14" i="9"/>
  <c r="L14" i="9"/>
  <c r="M14" i="9"/>
  <c r="N14" i="9"/>
  <c r="O14" i="9"/>
  <c r="P14" i="9"/>
  <c r="Q14" i="9"/>
  <c r="R14" i="9"/>
  <c r="S14" i="9"/>
  <c r="T14" i="9"/>
  <c r="U14" i="9"/>
  <c r="V14" i="9"/>
  <c r="W14" i="9"/>
  <c r="X14" i="9"/>
  <c r="Y14" i="9"/>
  <c r="Z14" i="9"/>
  <c r="AA14" i="9"/>
  <c r="AB14" i="9"/>
  <c r="AC14" i="9"/>
  <c r="AD14" i="9"/>
  <c r="AE14" i="9"/>
  <c r="AF14" i="9"/>
  <c r="AG14" i="9"/>
  <c r="AH14" i="9"/>
  <c r="AI14" i="9"/>
  <c r="AJ14" i="9"/>
  <c r="AK14" i="9"/>
  <c r="AL14" i="9"/>
  <c r="AM14" i="9"/>
  <c r="AN14" i="9"/>
  <c r="AO14" i="9"/>
  <c r="AP14" i="9"/>
  <c r="AQ14" i="9"/>
  <c r="AR14" i="9"/>
  <c r="AS14" i="9"/>
  <c r="AT14" i="9"/>
  <c r="AU14" i="9"/>
  <c r="AV14" i="9"/>
  <c r="AW14" i="9"/>
  <c r="AX14" i="9"/>
  <c r="AY14" i="9"/>
  <c r="AZ14" i="9"/>
  <c r="BA14" i="9"/>
  <c r="BB14" i="9"/>
  <c r="BC14" i="9"/>
  <c r="BD14" i="9"/>
  <c r="BE14" i="9"/>
  <c r="BF14" i="9"/>
  <c r="BG14" i="9"/>
  <c r="BH14" i="9"/>
  <c r="BI14" i="9"/>
  <c r="BJ14" i="9"/>
  <c r="BK14" i="9"/>
  <c r="BL14" i="9"/>
  <c r="BM14" i="9"/>
  <c r="BN14" i="9"/>
  <c r="BO14" i="9"/>
  <c r="BP14" i="9"/>
  <c r="BQ14" i="9"/>
  <c r="BR14" i="9"/>
  <c r="BS14" i="9"/>
  <c r="BT14" i="9"/>
  <c r="BU14" i="9"/>
  <c r="BV14" i="9"/>
  <c r="BW14" i="9"/>
  <c r="BX14" i="9"/>
  <c r="BY14" i="9"/>
  <c r="BZ14" i="9"/>
  <c r="CA14" i="9"/>
  <c r="CB14" i="9"/>
  <c r="CC14" i="9"/>
  <c r="CD14" i="9"/>
  <c r="CE14" i="9"/>
  <c r="CF14" i="9"/>
  <c r="CG14" i="9"/>
  <c r="CH14" i="9"/>
  <c r="CI14" i="9"/>
  <c r="CJ14" i="9"/>
  <c r="CK14" i="9"/>
  <c r="CL14" i="9"/>
  <c r="CM14" i="9"/>
  <c r="CN14" i="9"/>
  <c r="CO14" i="9"/>
  <c r="CP14" i="9"/>
  <c r="CQ14" i="9"/>
  <c r="CR14" i="9"/>
  <c r="CS14" i="9"/>
  <c r="CT14" i="9"/>
  <c r="CU14" i="9"/>
  <c r="B15" i="9"/>
  <c r="D15" i="9"/>
  <c r="E15" i="9"/>
  <c r="F15" i="9"/>
  <c r="G15" i="9"/>
  <c r="H15" i="9"/>
  <c r="I15" i="9"/>
  <c r="J15" i="9"/>
  <c r="K15" i="9"/>
  <c r="L15" i="9"/>
  <c r="M15" i="9"/>
  <c r="N15" i="9"/>
  <c r="O15" i="9"/>
  <c r="P15" i="9"/>
  <c r="Q15" i="9"/>
  <c r="R15" i="9"/>
  <c r="S15" i="9"/>
  <c r="T15" i="9"/>
  <c r="U15" i="9"/>
  <c r="V15" i="9"/>
  <c r="W15" i="9"/>
  <c r="X15" i="9"/>
  <c r="Y15" i="9"/>
  <c r="Z15" i="9"/>
  <c r="AA15" i="9"/>
  <c r="AB15" i="9"/>
  <c r="AC15" i="9"/>
  <c r="AD15" i="9"/>
  <c r="AE15" i="9"/>
  <c r="AF15" i="9"/>
  <c r="AG15" i="9"/>
  <c r="AH15" i="9"/>
  <c r="AI15" i="9"/>
  <c r="AJ15" i="9"/>
  <c r="AK15" i="9"/>
  <c r="AL15" i="9"/>
  <c r="AM15" i="9"/>
  <c r="AN15" i="9"/>
  <c r="AO15" i="9"/>
  <c r="AP15" i="9"/>
  <c r="AQ15" i="9"/>
  <c r="AR15" i="9"/>
  <c r="AS15" i="9"/>
  <c r="AT15" i="9"/>
  <c r="AU15" i="9"/>
  <c r="AV15" i="9"/>
  <c r="AW15" i="9"/>
  <c r="AX15" i="9"/>
  <c r="AY15" i="9"/>
  <c r="AZ15" i="9"/>
  <c r="BA15" i="9"/>
  <c r="BB15" i="9"/>
  <c r="BC15" i="9"/>
  <c r="BD15" i="9"/>
  <c r="BE15" i="9"/>
  <c r="BF15" i="9"/>
  <c r="BG15" i="9"/>
  <c r="BH15" i="9"/>
  <c r="BI15" i="9"/>
  <c r="BJ15" i="9"/>
  <c r="BK15" i="9"/>
  <c r="BL15" i="9"/>
  <c r="BM15" i="9"/>
  <c r="BN15" i="9"/>
  <c r="BO15" i="9"/>
  <c r="BP15" i="9"/>
  <c r="BQ15" i="9"/>
  <c r="BR15" i="9"/>
  <c r="BS15" i="9"/>
  <c r="BT15" i="9"/>
  <c r="BU15" i="9"/>
  <c r="BV15" i="9"/>
  <c r="BW15" i="9"/>
  <c r="BX15" i="9"/>
  <c r="BY15" i="9"/>
  <c r="BZ15" i="9"/>
  <c r="CA15" i="9"/>
  <c r="CB15" i="9"/>
  <c r="CC15" i="9"/>
  <c r="CD15" i="9"/>
  <c r="CE15" i="9"/>
  <c r="CF15" i="9"/>
  <c r="CG15" i="9"/>
  <c r="CH15" i="9"/>
  <c r="CI15" i="9"/>
  <c r="CJ15" i="9"/>
  <c r="CK15" i="9"/>
  <c r="CL15" i="9"/>
  <c r="CM15" i="9"/>
  <c r="CN15" i="9"/>
  <c r="CO15" i="9"/>
  <c r="CP15" i="9"/>
  <c r="CQ15" i="9"/>
  <c r="CR15" i="9"/>
  <c r="CS15" i="9"/>
  <c r="CT15" i="9"/>
  <c r="CU15" i="9"/>
  <c r="B16" i="9"/>
  <c r="D16" i="9"/>
  <c r="E16" i="9"/>
  <c r="F16" i="9"/>
  <c r="G16" i="9"/>
  <c r="H16" i="9"/>
  <c r="I16" i="9"/>
  <c r="J16" i="9"/>
  <c r="K16" i="9"/>
  <c r="L16" i="9"/>
  <c r="M16" i="9"/>
  <c r="N16" i="9"/>
  <c r="O16" i="9"/>
  <c r="P16" i="9"/>
  <c r="Q16" i="9"/>
  <c r="R16" i="9"/>
  <c r="S16" i="9"/>
  <c r="T16" i="9"/>
  <c r="U16" i="9"/>
  <c r="V16" i="9"/>
  <c r="W16" i="9"/>
  <c r="X16" i="9"/>
  <c r="Y16" i="9"/>
  <c r="Z16" i="9"/>
  <c r="AA16" i="9"/>
  <c r="AB16" i="9"/>
  <c r="AC16" i="9"/>
  <c r="AD16" i="9"/>
  <c r="AE16" i="9"/>
  <c r="AF16" i="9"/>
  <c r="AG16" i="9"/>
  <c r="AH16" i="9"/>
  <c r="AI16" i="9"/>
  <c r="AJ16" i="9"/>
  <c r="AK16" i="9"/>
  <c r="AL16" i="9"/>
  <c r="AM16" i="9"/>
  <c r="AN16" i="9"/>
  <c r="AO16" i="9"/>
  <c r="AP16" i="9"/>
  <c r="AQ16" i="9"/>
  <c r="AR16" i="9"/>
  <c r="AS16" i="9"/>
  <c r="AT16" i="9"/>
  <c r="AU16" i="9"/>
  <c r="AV16" i="9"/>
  <c r="AW16" i="9"/>
  <c r="AX16" i="9"/>
  <c r="AY16" i="9"/>
  <c r="AZ16" i="9"/>
  <c r="BA16" i="9"/>
  <c r="BB16" i="9"/>
  <c r="BC16" i="9"/>
  <c r="BD16" i="9"/>
  <c r="BE16" i="9"/>
  <c r="BF16" i="9"/>
  <c r="BG16" i="9"/>
  <c r="BH16" i="9"/>
  <c r="BI16" i="9"/>
  <c r="BJ16" i="9"/>
  <c r="BK16" i="9"/>
  <c r="BL16" i="9"/>
  <c r="BM16" i="9"/>
  <c r="BN16" i="9"/>
  <c r="BO16" i="9"/>
  <c r="BP16" i="9"/>
  <c r="BQ16" i="9"/>
  <c r="BR16" i="9"/>
  <c r="BS16" i="9"/>
  <c r="BT16" i="9"/>
  <c r="BU16" i="9"/>
  <c r="BV16" i="9"/>
  <c r="BW16" i="9"/>
  <c r="BX16" i="9"/>
  <c r="BY16" i="9"/>
  <c r="BZ16" i="9"/>
  <c r="CA16" i="9"/>
  <c r="CB16" i="9"/>
  <c r="CC16" i="9"/>
  <c r="CD16" i="9"/>
  <c r="CE16" i="9"/>
  <c r="CF16" i="9"/>
  <c r="CG16" i="9"/>
  <c r="CH16" i="9"/>
  <c r="CI16" i="9"/>
  <c r="CJ16" i="9"/>
  <c r="CK16" i="9"/>
  <c r="CL16" i="9"/>
  <c r="CM16" i="9"/>
  <c r="CN16" i="9"/>
  <c r="CO16" i="9"/>
  <c r="CP16" i="9"/>
  <c r="CQ16" i="9"/>
  <c r="CR16" i="9"/>
  <c r="CS16" i="9"/>
  <c r="CT16" i="9"/>
  <c r="CU16" i="9"/>
  <c r="B17" i="9"/>
  <c r="D17" i="9"/>
  <c r="E17" i="9"/>
  <c r="F17" i="9"/>
  <c r="G17" i="9"/>
  <c r="H17" i="9"/>
  <c r="I17" i="9"/>
  <c r="J17" i="9"/>
  <c r="K17" i="9"/>
  <c r="L17" i="9"/>
  <c r="M17" i="9"/>
  <c r="N17" i="9"/>
  <c r="O17" i="9"/>
  <c r="P17" i="9"/>
  <c r="Q17" i="9"/>
  <c r="R17" i="9"/>
  <c r="S17" i="9"/>
  <c r="T17" i="9"/>
  <c r="U17" i="9"/>
  <c r="V17" i="9"/>
  <c r="W17" i="9"/>
  <c r="X17" i="9"/>
  <c r="Y17" i="9"/>
  <c r="Z17" i="9"/>
  <c r="AA17" i="9"/>
  <c r="AB17" i="9"/>
  <c r="AC17" i="9"/>
  <c r="AD17" i="9"/>
  <c r="AE17" i="9"/>
  <c r="AF17" i="9"/>
  <c r="AG17" i="9"/>
  <c r="AH17" i="9"/>
  <c r="AI17" i="9"/>
  <c r="AJ17" i="9"/>
  <c r="AK17" i="9"/>
  <c r="AL17" i="9"/>
  <c r="AM17" i="9"/>
  <c r="AN17" i="9"/>
  <c r="AO17" i="9"/>
  <c r="AP17" i="9"/>
  <c r="AQ17" i="9"/>
  <c r="AR17" i="9"/>
  <c r="AS17" i="9"/>
  <c r="AT17" i="9"/>
  <c r="AU17" i="9"/>
  <c r="AV17" i="9"/>
  <c r="AW17" i="9"/>
  <c r="AX17" i="9"/>
  <c r="AY17" i="9"/>
  <c r="AZ17" i="9"/>
  <c r="BA17" i="9"/>
  <c r="BB17" i="9"/>
  <c r="BC17" i="9"/>
  <c r="BD17" i="9"/>
  <c r="BE17" i="9"/>
  <c r="BF17" i="9"/>
  <c r="BG17" i="9"/>
  <c r="BH17" i="9"/>
  <c r="BI17" i="9"/>
  <c r="BJ17" i="9"/>
  <c r="BK17" i="9"/>
  <c r="BL17" i="9"/>
  <c r="BM17" i="9"/>
  <c r="BN17" i="9"/>
  <c r="BO17" i="9"/>
  <c r="BP17" i="9"/>
  <c r="BQ17" i="9"/>
  <c r="BR17" i="9"/>
  <c r="BS17" i="9"/>
  <c r="BT17" i="9"/>
  <c r="BU17" i="9"/>
  <c r="BV17" i="9"/>
  <c r="BW17" i="9"/>
  <c r="BX17" i="9"/>
  <c r="BY17" i="9"/>
  <c r="BZ17" i="9"/>
  <c r="CA17" i="9"/>
  <c r="CB17" i="9"/>
  <c r="CC17" i="9"/>
  <c r="CD17" i="9"/>
  <c r="CE17" i="9"/>
  <c r="CF17" i="9"/>
  <c r="CG17" i="9"/>
  <c r="CH17" i="9"/>
  <c r="CI17" i="9"/>
  <c r="CJ17" i="9"/>
  <c r="CK17" i="9"/>
  <c r="CL17" i="9"/>
  <c r="CM17" i="9"/>
  <c r="CN17" i="9"/>
  <c r="CO17" i="9"/>
  <c r="CP17" i="9"/>
  <c r="CQ17" i="9"/>
  <c r="CR17" i="9"/>
  <c r="CS17" i="9"/>
  <c r="CT17" i="9"/>
  <c r="CU17" i="9"/>
  <c r="D18" i="9"/>
  <c r="E18" i="9"/>
  <c r="F18" i="9"/>
  <c r="G18" i="9"/>
  <c r="H18" i="9"/>
  <c r="I18" i="9"/>
  <c r="J18" i="9"/>
  <c r="K18" i="9"/>
  <c r="L18" i="9"/>
  <c r="M18" i="9"/>
  <c r="N18" i="9"/>
  <c r="O18" i="9"/>
  <c r="P18" i="9"/>
  <c r="Q18" i="9"/>
  <c r="R18" i="9"/>
  <c r="S18" i="9"/>
  <c r="T18" i="9"/>
  <c r="U18" i="9"/>
  <c r="V18" i="9"/>
  <c r="W18" i="9"/>
  <c r="X18" i="9"/>
  <c r="Y18" i="9"/>
  <c r="Z18" i="9"/>
  <c r="AA18" i="9"/>
  <c r="AB18" i="9"/>
  <c r="AC18" i="9"/>
  <c r="AD18" i="9"/>
  <c r="AE18" i="9"/>
  <c r="AF18" i="9"/>
  <c r="AG18" i="9"/>
  <c r="AH18" i="9"/>
  <c r="AI18" i="9"/>
  <c r="AJ18" i="9"/>
  <c r="AK18" i="9"/>
  <c r="AL18" i="9"/>
  <c r="AM18" i="9"/>
  <c r="AN18" i="9"/>
  <c r="AO18" i="9"/>
  <c r="AP18" i="9"/>
  <c r="AQ18" i="9"/>
  <c r="AR18" i="9"/>
  <c r="AS18" i="9"/>
  <c r="AT18" i="9"/>
  <c r="AU18" i="9"/>
  <c r="AV18" i="9"/>
  <c r="AW18" i="9"/>
  <c r="AX18" i="9"/>
  <c r="AY18" i="9"/>
  <c r="AZ18" i="9"/>
  <c r="BA18" i="9"/>
  <c r="BB18" i="9"/>
  <c r="BC18" i="9"/>
  <c r="BD18" i="9"/>
  <c r="BE18" i="9"/>
  <c r="BF18" i="9"/>
  <c r="BG18" i="9"/>
  <c r="BH18" i="9"/>
  <c r="BI18" i="9"/>
  <c r="BJ18" i="9"/>
  <c r="BK18" i="9"/>
  <c r="BL18" i="9"/>
  <c r="BM18" i="9"/>
  <c r="BN18" i="9"/>
  <c r="BO18" i="9"/>
  <c r="BP18" i="9"/>
  <c r="BQ18" i="9"/>
  <c r="BR18" i="9"/>
  <c r="BS18" i="9"/>
  <c r="BT18" i="9"/>
  <c r="BU18" i="9"/>
  <c r="BV18" i="9"/>
  <c r="BW18" i="9"/>
  <c r="BX18" i="9"/>
  <c r="BY18" i="9"/>
  <c r="BZ18" i="9"/>
  <c r="CA18" i="9"/>
  <c r="CB18" i="9"/>
  <c r="CC18" i="9"/>
  <c r="CD18" i="9"/>
  <c r="CE18" i="9"/>
  <c r="CF18" i="9"/>
  <c r="CG18" i="9"/>
  <c r="CH18" i="9"/>
  <c r="CI18" i="9"/>
  <c r="CJ18" i="9"/>
  <c r="CK18" i="9"/>
  <c r="CL18" i="9"/>
  <c r="CM18" i="9"/>
  <c r="CN18" i="9"/>
  <c r="CO18" i="9"/>
  <c r="CP18" i="9"/>
  <c r="CQ18" i="9"/>
  <c r="CR18" i="9"/>
  <c r="CS18" i="9"/>
  <c r="CT18" i="9"/>
  <c r="CU18" i="9"/>
  <c r="D19" i="9"/>
  <c r="E19" i="9"/>
  <c r="F19" i="9"/>
  <c r="G19" i="9"/>
  <c r="H19" i="9"/>
  <c r="I19" i="9"/>
  <c r="J19" i="9"/>
  <c r="K19" i="9"/>
  <c r="L19" i="9"/>
  <c r="M19" i="9"/>
  <c r="N19" i="9"/>
  <c r="O19" i="9"/>
  <c r="P19" i="9"/>
  <c r="Q19" i="9"/>
  <c r="R19" i="9"/>
  <c r="S19" i="9"/>
  <c r="T19" i="9"/>
  <c r="U19" i="9"/>
  <c r="V19" i="9"/>
  <c r="W19" i="9"/>
  <c r="X19" i="9"/>
  <c r="Y19" i="9"/>
  <c r="Z19" i="9"/>
  <c r="AA19" i="9"/>
  <c r="AB19" i="9"/>
  <c r="AC19" i="9"/>
  <c r="AD19" i="9"/>
  <c r="AE19" i="9"/>
  <c r="AF19" i="9"/>
  <c r="AG19" i="9"/>
  <c r="AH19" i="9"/>
  <c r="AI19" i="9"/>
  <c r="AJ19" i="9"/>
  <c r="AK19" i="9"/>
  <c r="AL19" i="9"/>
  <c r="AM19" i="9"/>
  <c r="AN19" i="9"/>
  <c r="AO19" i="9"/>
  <c r="AP19" i="9"/>
  <c r="AQ19" i="9"/>
  <c r="AR19" i="9"/>
  <c r="AS19" i="9"/>
  <c r="AT19" i="9"/>
  <c r="AU19" i="9"/>
  <c r="AV19" i="9"/>
  <c r="AW19" i="9"/>
  <c r="AX19" i="9"/>
  <c r="AY19" i="9"/>
  <c r="AZ19" i="9"/>
  <c r="BA19" i="9"/>
  <c r="BB19" i="9"/>
  <c r="BC19" i="9"/>
  <c r="BD19" i="9"/>
  <c r="BE19" i="9"/>
  <c r="BF19" i="9"/>
  <c r="BG19" i="9"/>
  <c r="BH19" i="9"/>
  <c r="BI19" i="9"/>
  <c r="BJ19" i="9"/>
  <c r="BK19" i="9"/>
  <c r="BL19" i="9"/>
  <c r="BM19" i="9"/>
  <c r="BN19" i="9"/>
  <c r="BO19" i="9"/>
  <c r="BP19" i="9"/>
  <c r="BQ19" i="9"/>
  <c r="BR19" i="9"/>
  <c r="BS19" i="9"/>
  <c r="BT19" i="9"/>
  <c r="BU19" i="9"/>
  <c r="BV19" i="9"/>
  <c r="BW19" i="9"/>
  <c r="BX19" i="9"/>
  <c r="BY19" i="9"/>
  <c r="BZ19" i="9"/>
  <c r="CA19" i="9"/>
  <c r="CB19" i="9"/>
  <c r="CC19" i="9"/>
  <c r="CD19" i="9"/>
  <c r="CE19" i="9"/>
  <c r="CF19" i="9"/>
  <c r="CG19" i="9"/>
  <c r="CH19" i="9"/>
  <c r="CI19" i="9"/>
  <c r="CJ19" i="9"/>
  <c r="CK19" i="9"/>
  <c r="CL19" i="9"/>
  <c r="CM19" i="9"/>
  <c r="CN19" i="9"/>
  <c r="CO19" i="9"/>
  <c r="CP19" i="9"/>
  <c r="CQ19" i="9"/>
  <c r="CR19" i="9"/>
  <c r="CS19" i="9"/>
  <c r="CT19" i="9"/>
  <c r="CU19" i="9"/>
  <c r="B20" i="9"/>
  <c r="D20" i="9"/>
  <c r="E20" i="9"/>
  <c r="F20" i="9"/>
  <c r="G20" i="9"/>
  <c r="H20" i="9"/>
  <c r="I20" i="9"/>
  <c r="J20" i="9"/>
  <c r="K20" i="9"/>
  <c r="L20" i="9"/>
  <c r="M20" i="9"/>
  <c r="N20" i="9"/>
  <c r="O20" i="9"/>
  <c r="P20" i="9"/>
  <c r="Q20" i="9"/>
  <c r="R20" i="9"/>
  <c r="S20" i="9"/>
  <c r="T20" i="9"/>
  <c r="U20" i="9"/>
  <c r="V20" i="9"/>
  <c r="W20" i="9"/>
  <c r="X20" i="9"/>
  <c r="Y20" i="9"/>
  <c r="Z20" i="9"/>
  <c r="AA20" i="9"/>
  <c r="AB20" i="9"/>
  <c r="AC20" i="9"/>
  <c r="AD20" i="9"/>
  <c r="AE20" i="9"/>
  <c r="AF20" i="9"/>
  <c r="AG20" i="9"/>
  <c r="AH20" i="9"/>
  <c r="AI20" i="9"/>
  <c r="AJ20" i="9"/>
  <c r="AK20" i="9"/>
  <c r="AL20" i="9"/>
  <c r="AM20" i="9"/>
  <c r="AN20" i="9"/>
  <c r="AO20" i="9"/>
  <c r="AP20" i="9"/>
  <c r="AQ20" i="9"/>
  <c r="AR20" i="9"/>
  <c r="AS20" i="9"/>
  <c r="AT20" i="9"/>
  <c r="AU20" i="9"/>
  <c r="AV20" i="9"/>
  <c r="AW20" i="9"/>
  <c r="AX20" i="9"/>
  <c r="AY20" i="9"/>
  <c r="AZ20" i="9"/>
  <c r="BA20" i="9"/>
  <c r="BB20" i="9"/>
  <c r="BC20" i="9"/>
  <c r="BD20" i="9"/>
  <c r="BE20" i="9"/>
  <c r="BF20" i="9"/>
  <c r="BG20" i="9"/>
  <c r="BH20" i="9"/>
  <c r="BI20" i="9"/>
  <c r="BJ20" i="9"/>
  <c r="BK20" i="9"/>
  <c r="BL20" i="9"/>
  <c r="BM20" i="9"/>
  <c r="BN20" i="9"/>
  <c r="BO20" i="9"/>
  <c r="BP20" i="9"/>
  <c r="BQ20" i="9"/>
  <c r="BR20" i="9"/>
  <c r="BS20" i="9"/>
  <c r="BT20" i="9"/>
  <c r="BU20" i="9"/>
  <c r="BV20" i="9"/>
  <c r="BW20" i="9"/>
  <c r="BX20" i="9"/>
  <c r="BY20" i="9"/>
  <c r="BZ20" i="9"/>
  <c r="CA20" i="9"/>
  <c r="CB20" i="9"/>
  <c r="CC20" i="9"/>
  <c r="CD20" i="9"/>
  <c r="CE20" i="9"/>
  <c r="CF20" i="9"/>
  <c r="CG20" i="9"/>
  <c r="CH20" i="9"/>
  <c r="CI20" i="9"/>
  <c r="CJ20" i="9"/>
  <c r="CK20" i="9"/>
  <c r="CL20" i="9"/>
  <c r="CM20" i="9"/>
  <c r="CN20" i="9"/>
  <c r="CO20" i="9"/>
  <c r="CP20" i="9"/>
  <c r="CQ20" i="9"/>
  <c r="CR20" i="9"/>
  <c r="CS20" i="9"/>
  <c r="CT20" i="9"/>
  <c r="CU20" i="9"/>
  <c r="B21" i="9"/>
  <c r="D21" i="9"/>
  <c r="E21" i="9"/>
  <c r="F21" i="9"/>
  <c r="G21" i="9"/>
  <c r="H21" i="9"/>
  <c r="I21" i="9"/>
  <c r="J21" i="9"/>
  <c r="K21" i="9"/>
  <c r="L21" i="9"/>
  <c r="M21" i="9"/>
  <c r="N21" i="9"/>
  <c r="O21" i="9"/>
  <c r="P21" i="9"/>
  <c r="Q21" i="9"/>
  <c r="R21" i="9"/>
  <c r="S21" i="9"/>
  <c r="T21" i="9"/>
  <c r="U21" i="9"/>
  <c r="V21" i="9"/>
  <c r="W21" i="9"/>
  <c r="X21" i="9"/>
  <c r="Y21" i="9"/>
  <c r="Z21" i="9"/>
  <c r="AA21" i="9"/>
  <c r="AB21" i="9"/>
  <c r="AC21" i="9"/>
  <c r="AD21" i="9"/>
  <c r="AE21" i="9"/>
  <c r="AF21" i="9"/>
  <c r="AG21" i="9"/>
  <c r="AH21" i="9"/>
  <c r="AI21" i="9"/>
  <c r="AJ21" i="9"/>
  <c r="AK21" i="9"/>
  <c r="AL21" i="9"/>
  <c r="AM21" i="9"/>
  <c r="AN21" i="9"/>
  <c r="AO21" i="9"/>
  <c r="AP21" i="9"/>
  <c r="AQ21" i="9"/>
  <c r="AR21" i="9"/>
  <c r="AS21" i="9"/>
  <c r="AT21" i="9"/>
  <c r="AU21" i="9"/>
  <c r="AV21" i="9"/>
  <c r="AW21" i="9"/>
  <c r="AX21" i="9"/>
  <c r="AY21" i="9"/>
  <c r="AZ21" i="9"/>
  <c r="BA21" i="9"/>
  <c r="BB21" i="9"/>
  <c r="BC21" i="9"/>
  <c r="BD21" i="9"/>
  <c r="BE21" i="9"/>
  <c r="BF21" i="9"/>
  <c r="BG21" i="9"/>
  <c r="BH21" i="9"/>
  <c r="BI21" i="9"/>
  <c r="BJ21" i="9"/>
  <c r="BK21" i="9"/>
  <c r="BL21" i="9"/>
  <c r="BM21" i="9"/>
  <c r="BN21" i="9"/>
  <c r="BO21" i="9"/>
  <c r="BP21" i="9"/>
  <c r="BQ21" i="9"/>
  <c r="BR21" i="9"/>
  <c r="BS21" i="9"/>
  <c r="BT21" i="9"/>
  <c r="BU21" i="9"/>
  <c r="BV21" i="9"/>
  <c r="BW21" i="9"/>
  <c r="BX21" i="9"/>
  <c r="BY21" i="9"/>
  <c r="BZ21" i="9"/>
  <c r="CA21" i="9"/>
  <c r="CB21" i="9"/>
  <c r="CC21" i="9"/>
  <c r="CD21" i="9"/>
  <c r="CE21" i="9"/>
  <c r="CF21" i="9"/>
  <c r="CG21" i="9"/>
  <c r="CH21" i="9"/>
  <c r="CI21" i="9"/>
  <c r="CJ21" i="9"/>
  <c r="CK21" i="9"/>
  <c r="CL21" i="9"/>
  <c r="CM21" i="9"/>
  <c r="CN21" i="9"/>
  <c r="CO21" i="9"/>
  <c r="CP21" i="9"/>
  <c r="CQ21" i="9"/>
  <c r="CR21" i="9"/>
  <c r="CS21" i="9"/>
  <c r="CT21" i="9"/>
  <c r="CU21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TerraMind</author>
  </authors>
  <commentList>
    <comment ref="B1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CDMX ISAI is progressive; ~4.5% is a common upper-bracket planning figure.</t>
        </r>
      </text>
    </comment>
    <comment ref="B20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CDMX zoning code H/4/20 means 4 stories and 20% open area.</t>
        </r>
      </text>
    </comment>
    <comment ref="B21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Leave empty to derive as stories × (1 − open area %).</t>
        </r>
      </text>
    </comment>
    <comment ref="B23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e.g. CDMX density letter M = one dwelling per 50 m² of land.</t>
        </r>
      </text>
    </comment>
    <comment ref="B32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Leave empty to use the maximum allowed coverage.</t>
        </r>
      </text>
    </comment>
    <comment ref="B47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Negative = presales before construction starts.</t>
        </r>
      </text>
    </comment>
    <comment ref="B74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How hard costs are spread over the construction months.</t>
        </r>
      </text>
    </comment>
  </commentList>
</comments>
</file>

<file path=xl/sharedStrings.xml><?xml version="1.0" encoding="utf-8"?>
<sst xmlns="http://schemas.openxmlformats.org/spreadsheetml/2006/main" count="710" uniqueCount="496">
  <si>
    <t>TerraMind AI · Financial model</t>
  </si>
  <si>
    <t>Polanco Residences (fictional)</t>
  </si>
  <si>
    <t>Location</t>
  </si>
  <si>
    <t>Fictional lot near Calle Lope de Vega, Polanco, Miguel Hidalgo, Polanco V Sección, Mexico City</t>
  </si>
  <si>
    <t>Strategy / business model</t>
  </si>
  <si>
    <t>ground_up · build_to_sell</t>
  </si>
  <si>
    <t>Currency</t>
  </si>
  <si>
    <t>MXN</t>
  </si>
  <si>
    <t>Exported</t>
  </si>
  <si>
    <t>2026-10-24</t>
  </si>
  <si>
    <t>How it works</t>
  </si>
  <si>
    <t>Change any blue cell on the Assumptions tab. Every other number is a formula, so the development program, schedules, cash flow, financing, waterfall, budget, outputs and charts all update.</t>
  </si>
  <si>
    <t>Circularity</t>
  </si>
  <si>
    <t>Debt is sized on total cost including financing, which is circular. Iterative calculation is enabled in this file (File → Options → Formulas → Enable iterative calculation).</t>
  </si>
  <si>
    <t>Reconciliation</t>
  </si>
  <si>
    <t>The Outputs tab compares the Excel results with TerraMind's engine at the time of export.</t>
  </si>
  <si>
    <t>Disclaimer</t>
  </si>
  <si>
    <t>FICTIONAL DEMO PROJECT: all inputs are illustrative. Decision support only, not investment advice. Verify assumptions before relying on them.</t>
  </si>
  <si>
    <t>Tabs</t>
  </si>
  <si>
    <t>Outputs</t>
  </si>
  <si>
    <t>Returns, profit, capital, reconciliation, annual summary and charts for investors</t>
  </si>
  <si>
    <t>Assumptions</t>
  </si>
  <si>
    <t>Every input (blue), unit mix, schedules, custom cash flows, user-defined variables</t>
  </si>
  <si>
    <t>Development</t>
  </si>
  <si>
    <t>Areas, units, legal capacity and compliance checks</t>
  </si>
  <si>
    <t>Construction</t>
  </si>
  <si>
    <t>Monthly development cost schedule (S-curve, escalation, land payments)</t>
  </si>
  <si>
    <t>Sales</t>
  </si>
  <si>
    <t>Monthly sales and buyer payments</t>
  </si>
  <si>
    <t>Cash Flow</t>
  </si>
  <si>
    <t>Unlevered cash flow, debt draws and repayments, interest, equity</t>
  </si>
  <si>
    <t>Waterfall</t>
  </si>
  <si>
    <t>Investor vs sponsor distributions</t>
  </si>
  <si>
    <t>Budget</t>
  </si>
  <si>
    <t>Development budget by line item</t>
  </si>
  <si>
    <t>Sensitivity</t>
  </si>
  <si>
    <t>Scenario, tornado and heatmap results from TerraMind's engine (snapshot)</t>
  </si>
  <si>
    <t>Legend</t>
  </si>
  <si>
    <t>1,234</t>
  </si>
  <si>
    <t>Input (edit these)</t>
  </si>
  <si>
    <t>Formula (do not overwrite)</t>
  </si>
  <si>
    <t>Key driver</t>
  </si>
  <si>
    <t>Most important inputs</t>
  </si>
  <si>
    <t>Polanco Residences (fictional): investment summary</t>
  </si>
  <si>
    <t>MXN. Every figure is a formula linked to the Assumptions tab.</t>
  </si>
  <si>
    <t>Metric</t>
  </si>
  <si>
    <t>Excel model</t>
  </si>
  <si>
    <t>TerraMind engine at export</t>
  </si>
  <si>
    <t>Difference</t>
  </si>
  <si>
    <t>Status</t>
  </si>
  <si>
    <t>Returns</t>
  </si>
  <si>
    <t>Project IRR (unlevered, annualized)</t>
  </si>
  <si>
    <t>Equity IRR (levered, annualized)</t>
  </si>
  <si>
    <t>Equity multiple (MOIC)</t>
  </si>
  <si>
    <t>NPV at discount rate (unlevered)</t>
  </si>
  <si>
    <t>Investor IRR</t>
  </si>
  <si>
    <t>Sponsor IRR</t>
  </si>
  <si>
    <t>Profitability</t>
  </si>
  <si>
    <t>Gross development value / exit value</t>
  </si>
  <si>
    <t>Total revenue (cash inflows)</t>
  </si>
  <si>
    <t>Total development cost (excl. financing)</t>
  </si>
  <si>
    <t>Financing cost</t>
  </si>
  <si>
    <t>Total cost incl. financing</t>
  </si>
  <si>
    <t>Development profit</t>
  </si>
  <si>
    <t>Net margin (profit / revenue)</t>
  </si>
  <si>
    <t>Profit on cost</t>
  </si>
  <si>
    <t>Capital</t>
  </si>
  <si>
    <t>Peak funding requirement (unlevered)</t>
  </si>
  <si>
    <t>Peak equity</t>
  </si>
  <si>
    <t>Equity contributed</t>
  </si>
  <si>
    <t>Senior commitment</t>
  </si>
  <si>
    <t>Peak senior debt</t>
  </si>
  <si>
    <t>Loan-to-cost (LTC)</t>
  </si>
  <si>
    <t>Funding gap (additional equity)</t>
  </si>
  <si>
    <t>Program &amp; timing</t>
  </si>
  <si>
    <t>Units</t>
  </si>
  <si>
    <t>Saleable / leasable area (m²)</t>
  </si>
  <si>
    <t>Delivery month</t>
  </si>
  <si>
    <t>Project duration (months)</t>
  </si>
  <si>
    <t>Column C is a snapshot of TerraMind's engine when the file was exported. After you edit assumptions in Excel, column B updates and Status shows 'changed'.</t>
  </si>
  <si>
    <t>Annual summary (Y0 = closing month, Y1 = months 1–12…)</t>
  </si>
  <si>
    <t>Year</t>
  </si>
  <si>
    <t>Y0</t>
  </si>
  <si>
    <t>Y1</t>
  </si>
  <si>
    <t>Y2</t>
  </si>
  <si>
    <t>Y3</t>
  </si>
  <si>
    <t>Y4</t>
  </si>
  <si>
    <t>Y5</t>
  </si>
  <si>
    <t>Y6</t>
  </si>
  <si>
    <t>Y7</t>
  </si>
  <si>
    <t>Y8</t>
  </si>
  <si>
    <t>Units sold</t>
  </si>
  <si>
    <t>Total outflows</t>
  </si>
  <si>
    <t>Total inflows</t>
  </si>
  <si>
    <t>Unlevered cash flow</t>
  </si>
  <si>
    <t>Equity contributions</t>
  </si>
  <si>
    <t>Equity distributions</t>
  </si>
  <si>
    <t>Levered cash flow</t>
  </si>
  <si>
    <t>Cost by category</t>
  </si>
  <si>
    <t>Land &amp; acquisition</t>
  </si>
  <si>
    <t>Hard costs</t>
  </si>
  <si>
    <t>Soft costs</t>
  </si>
  <si>
    <t>Contingency &amp; developer fee</t>
  </si>
  <si>
    <t>Sales &amp; marketing</t>
  </si>
  <si>
    <t>User-defined &amp; custom costs</t>
  </si>
  <si>
    <t>Financing</t>
  </si>
  <si>
    <t>All inputs of the model. Blue cells are inputs: change any of them and the whole workbook recalculates.</t>
  </si>
  <si>
    <t>Assumption</t>
  </si>
  <si>
    <t>Value</t>
  </si>
  <si>
    <t>Unit</t>
  </si>
  <si>
    <t>Source / note</t>
  </si>
  <si>
    <t>Project</t>
  </si>
  <si>
    <t>For-sale model (1) or rental model (0)</t>
  </si>
  <si>
    <t>Switches the revenue logic; set by the project's business model</t>
  </si>
  <si>
    <t>Ground-up development (1) or acquisition (0)</t>
  </si>
  <si>
    <t>Circuit breaker: size debt on cost incl. financing (1 = on, 0 = break the circular loop)</t>
  </si>
  <si>
    <t>Site &amp; acquisition</t>
  </si>
  <si>
    <t>Land area</t>
  </si>
  <si>
    <t>m²</t>
  </si>
  <si>
    <t>Source: demo</t>
  </si>
  <si>
    <t>Land / property acquisition price</t>
  </si>
  <si>
    <t>Transfer tax (ISAI)</t>
  </si>
  <si>
    <t>%</t>
  </si>
  <si>
    <t>Notary &amp; legal fees</t>
  </si>
  <si>
    <t>Brokerage on acquisition</t>
  </si>
  <si>
    <t>Due diligence &amp; closing (fixed)</t>
  </si>
  <si>
    <t>Regulation &amp; zoning (legal limits)</t>
  </si>
  <si>
    <t>Maximum stories above ground</t>
  </si>
  <si>
    <t>stories</t>
  </si>
  <si>
    <t>Minimum open (unbuilt) area</t>
  </si>
  <si>
    <t>Maximum FAR (CUS)</t>
  </si>
  <si>
    <t>x land</t>
  </si>
  <si>
    <t>Not set</t>
  </si>
  <si>
    <t>Maximum height</t>
  </si>
  <si>
    <t>m</t>
  </si>
  <si>
    <t>Density: land area per dwelling</t>
  </si>
  <si>
    <t>m²/unit</t>
  </si>
  <si>
    <t>Maximum dwellings</t>
  </si>
  <si>
    <t>units</t>
  </si>
  <si>
    <t>Maximum underground levels</t>
  </si>
  <si>
    <t>levels</t>
  </si>
  <si>
    <t>Minimum parking per unit</t>
  </si>
  <si>
    <t>spaces/unit</t>
  </si>
  <si>
    <t>Maximum parking per unit</t>
  </si>
  <si>
    <t>Development configuration</t>
  </si>
  <si>
    <t>Number of buildings</t>
  </si>
  <si>
    <t>count</t>
  </si>
  <si>
    <t>Stories above ground</t>
  </si>
  <si>
    <t>Underground levels</t>
  </si>
  <si>
    <t>Building footprint</t>
  </si>
  <si>
    <t>Saleable / gross efficiency</t>
  </si>
  <si>
    <t>Parking spaces</t>
  </si>
  <si>
    <t>spaces</t>
  </si>
  <si>
    <t>Gross area per parking space</t>
  </si>
  <si>
    <t>m²/space</t>
  </si>
  <si>
    <t>Amenity area (inside GBA)</t>
  </si>
  <si>
    <t>Construction quality</t>
  </si>
  <si>
    <t>high</t>
  </si>
  <si>
    <t>Existing rentable area (acquisitions)</t>
  </si>
  <si>
    <t>Sales revenue</t>
  </si>
  <si>
    <t>Base sale price</t>
  </si>
  <si>
    <t>MXN/m²</t>
  </si>
  <si>
    <t>Average floor / view premium</t>
  </si>
  <si>
    <t>Terrace value vs interior m²</t>
  </si>
  <si>
    <t>Average discount</t>
  </si>
  <si>
    <t>Annual price escalation</t>
  </si>
  <si>
    <t>Sales absorption (gross)</t>
  </si>
  <si>
    <t>units/month</t>
  </si>
  <si>
    <t>Cancellations</t>
  </si>
  <si>
    <t>Presales start vs construction start</t>
  </si>
  <si>
    <t>months</t>
  </si>
  <si>
    <t>Deposit at contract</t>
  </si>
  <si>
    <t>Installments during construction</t>
  </si>
  <si>
    <t>Balance at delivery / closing</t>
  </si>
  <si>
    <t>Sales commissions</t>
  </si>
  <si>
    <t>Marketing &amp; sales office</t>
  </si>
  <si>
    <t>% of revenue</t>
  </si>
  <si>
    <t>Rental income</t>
  </si>
  <si>
    <t>Market rent</t>
  </si>
  <si>
    <t>MXN/m²/month</t>
  </si>
  <si>
    <t>Stabilized vacancy</t>
  </si>
  <si>
    <t>Source: default (unverified)</t>
  </si>
  <si>
    <t>Rent concessions</t>
  </si>
  <si>
    <t>Operating expenses</t>
  </si>
  <si>
    <t>% of EGI</t>
  </si>
  <si>
    <t>Annual rent growth</t>
  </si>
  <si>
    <t>Lease-up period</t>
  </si>
  <si>
    <t>Exit cap rate</t>
  </si>
  <si>
    <t>Exit selling costs</t>
  </si>
  <si>
    <t>Hold period after delivery</t>
  </si>
  <si>
    <t>years</t>
  </si>
  <si>
    <t>Development budget</t>
  </si>
  <si>
    <t>Hard cost above ground</t>
  </si>
  <si>
    <t>MXN/m² GBA</t>
  </si>
  <si>
    <t>Hard cost below ground (parking)</t>
  </si>
  <si>
    <t>Demolition &amp; site preparation (fixed)</t>
  </si>
  <si>
    <t>Infrastructure / impact fees (fixed)</t>
  </si>
  <si>
    <t>Renovation / CAPEX budget (acquisitions)</t>
  </si>
  <si>
    <t>Architecture &amp; engineering</t>
  </si>
  <si>
    <t>% of hard</t>
  </si>
  <si>
    <t>Permits &amp; licenses</t>
  </si>
  <si>
    <t>Project management &amp; supervision</t>
  </si>
  <si>
    <t>Insurance, consultants &amp; other soft</t>
  </si>
  <si>
    <t>Contingency</t>
  </si>
  <si>
    <t>% of hard + soft</t>
  </si>
  <si>
    <t>Construction spending curve</t>
  </si>
  <si>
    <t>s_curve</t>
  </si>
  <si>
    <t>Annual construction cost escalation</t>
  </si>
  <si>
    <t>Developer fee</t>
  </si>
  <si>
    <t>Schedule</t>
  </si>
  <si>
    <t>Design &amp; permits (pre-development)</t>
  </si>
  <si>
    <t>Construction duration</t>
  </si>
  <si>
    <t>Senior debt (loan-to-cost)</t>
  </si>
  <si>
    <t>Senior rate type</t>
  </si>
  <si>
    <t>floating</t>
  </si>
  <si>
    <t>Reference rate (e.g. TIIE 28d)</t>
  </si>
  <si>
    <t>Senior spread over reference</t>
  </si>
  <si>
    <t>Senior fixed rate</t>
  </si>
  <si>
    <t>Origination fee</t>
  </si>
  <si>
    <t>% of commitment</t>
  </si>
  <si>
    <t>Commitment fee on undrawn</t>
  </si>
  <si>
    <t>% p.a.</t>
  </si>
  <si>
    <t>Capitalize interest during construction</t>
  </si>
  <si>
    <t>Senior loan maturity (from first draw)</t>
  </si>
  <si>
    <t>Cash sweep to debt after delivery</t>
  </si>
  <si>
    <t>Amortization (term loans, rentals)</t>
  </si>
  <si>
    <t>Mezzanine (loan-to-cost)</t>
  </si>
  <si>
    <t>Mezzanine rate</t>
  </si>
  <si>
    <t>Sponsor share of equity</t>
  </si>
  <si>
    <t>Investor preferred return</t>
  </si>
  <si>
    <t>Sponsor promote above pref</t>
  </si>
  <si>
    <t>Covenant: max LTC</t>
  </si>
  <si>
    <t>Covenant: max LTV (on GDV)</t>
  </si>
  <si>
    <t>Covenant: presales before first draw</t>
  </si>
  <si>
    <t>% of units</t>
  </si>
  <si>
    <t>Covenant: minimum DSCR</t>
  </si>
  <si>
    <t>x</t>
  </si>
  <si>
    <t>Valuation</t>
  </si>
  <si>
    <t>Discount rate (unlevered NPV)</t>
  </si>
  <si>
    <t>Equity discount rate / hurdle</t>
  </si>
  <si>
    <t>Sustainability (enabled measures)</t>
  </si>
  <si>
    <t>Capex of enabled measures</t>
  </si>
  <si>
    <t>No measures enabled</t>
  </si>
  <si>
    <t>Sale price premium</t>
  </si>
  <si>
    <t>Rent premium</t>
  </si>
  <si>
    <t>Net annual savings to the owner (rentals)</t>
  </si>
  <si>
    <t>Unit mix (shares of saleable area)</t>
  </si>
  <si>
    <t>Type</t>
  </si>
  <si>
    <t>Size (m²)</t>
  </si>
  <si>
    <t>Share</t>
  </si>
  <si>
    <t>Terrace (m²)</t>
  </si>
  <si>
    <t>Price premium</t>
  </si>
  <si>
    <t>Bedrooms</t>
  </si>
  <si>
    <t>Bathrooms</t>
  </si>
  <si>
    <t>1 BR</t>
  </si>
  <si>
    <t>2 BR</t>
  </si>
  <si>
    <t>3 BR</t>
  </si>
  <si>
    <t>Total share (must be 100%)</t>
  </si>
  <si>
    <t>Hard-cost category split (share of above-ground hard cost)</t>
  </si>
  <si>
    <t>Demolition &amp; excavation</t>
  </si>
  <si>
    <t>Foundations</t>
  </si>
  <si>
    <t>Structure</t>
  </si>
  <si>
    <t>Façade &amp; envelope</t>
  </si>
  <si>
    <t>MEP systems</t>
  </si>
  <si>
    <t>Elevators</t>
  </si>
  <si>
    <t>Finishes</t>
  </si>
  <si>
    <t>Amenities</t>
  </si>
  <si>
    <t>Landscaping &amp; exterior</t>
  </si>
  <si>
    <t>Infrastructure &amp; connections</t>
  </si>
  <si>
    <t>Milestones (calculated, used by the schedules below)</t>
  </si>
  <si>
    <t>closing</t>
  </si>
  <si>
    <t>sales_start</t>
  </si>
  <si>
    <t>construction_start</t>
  </si>
  <si>
    <t>delivery</t>
  </si>
  <si>
    <t>Sales phases (units/month during a period; outside phases the base absorption applies)</t>
  </si>
  <si>
    <t>Phase</t>
  </si>
  <si>
    <t>Anchor</t>
  </si>
  <si>
    <t>Offset (months)</t>
  </si>
  <si>
    <t>Months</t>
  </si>
  <si>
    <t>Units / month</t>
  </si>
  <si>
    <t>Start month</t>
  </si>
  <si>
    <t>End month</t>
  </si>
  <si>
    <t>Price phases (% change for contracts signed in the period)</t>
  </si>
  <si>
    <t>Price change</t>
  </si>
  <si>
    <t>Land payment schedule (empty = 100% at closing)</t>
  </si>
  <si>
    <t>Month</t>
  </si>
  <si>
    <t>% of price</t>
  </si>
  <si>
    <t>Custom one-off cash flows</t>
  </si>
  <si>
    <t>Item</t>
  </si>
  <si>
    <t>Type (cost/revenue)</t>
  </si>
  <si>
    <t>Amount</t>
  </si>
  <si>
    <t>User-defined variables (effect types: cost_fixed, cost_per_area, cost_per_unit, cost_pct_hard, cost_pct_revenue, cost_monthly, revenue_fixed, revenue_per_unit, revenue_monthly, price_pct, info)</t>
  </si>
  <si>
    <t>Variable</t>
  </si>
  <si>
    <t>Effect</t>
  </si>
  <si>
    <t>Timing</t>
  </si>
  <si>
    <t>Offset</t>
  </si>
  <si>
    <t>Legend: blue = input · black = formula · yellow fill = key driver. Percentages are stored as fractions.</t>
  </si>
  <si>
    <t>Development program</t>
  </si>
  <si>
    <t>Areas, units and legal capacity calculated from the assumptions</t>
  </si>
  <si>
    <t>Land area (m²)</t>
  </si>
  <si>
    <t>Maximum site coverage (m²)</t>
  </si>
  <si>
    <t>Maximum FAR</t>
  </si>
  <si>
    <t>Maximum buildable GBA (capacity, m²)</t>
  </si>
  <si>
    <t>Building footprint (m²)</t>
  </si>
  <si>
    <t>Above-ground GBA (m²)</t>
  </si>
  <si>
    <t>Units by type</t>
  </si>
  <si>
    <t>Area (m²)</t>
  </si>
  <si>
    <t>Unit price today</t>
  </si>
  <si>
    <t>Price per m²</t>
  </si>
  <si>
    <t>Total</t>
  </si>
  <si>
    <t>Effective base price per m² (incl. green premium and user price variables)</t>
  </si>
  <si>
    <t>Price multiplier from user-defined variables</t>
  </si>
  <si>
    <t>Average unit price today</t>
  </si>
  <si>
    <t>Terrace area (m²)</t>
  </si>
  <si>
    <t>Below-grade area (m²)</t>
  </si>
  <si>
    <t>Underground levels needed</t>
  </si>
  <si>
    <t>Density limit (max dwellings)</t>
  </si>
  <si>
    <t>Compliance checks (TRUE = within the legal limit)</t>
  </si>
  <si>
    <t>Stories ≤ maximum stories</t>
  </si>
  <si>
    <t>GBA ≤ FAR capacity</t>
  </si>
  <si>
    <t>Units ≤ density limit</t>
  </si>
  <si>
    <t>Underground levels ≤ maximum</t>
  </si>
  <si>
    <t>Construction &amp; development cost schedule</t>
  </si>
  <si>
    <t>Monthly, MXN. Month 0 = land closing; construction follows pre-development.</t>
  </si>
  <si>
    <t>Unit / note</t>
  </si>
  <si>
    <t>Pre-development months</t>
  </si>
  <si>
    <t>Construction months</t>
  </si>
  <si>
    <t>Construction start month</t>
  </si>
  <si>
    <t>Above-ground hard cost (today's prices)</t>
  </si>
  <si>
    <t>Below-grade hard cost</t>
  </si>
  <si>
    <t>Fixed site costs (demolition + infrastructure)</t>
  </si>
  <si>
    <t>Hard-cost base for % fees</t>
  </si>
  <si>
    <t>Soft costs (design + permits + PM + other)</t>
  </si>
  <si>
    <t>User-defined costs spread over construction</t>
  </si>
  <si>
    <t>Pre-development month (flag)</t>
  </si>
  <si>
    <t>Construction month (flag)</t>
  </si>
  <si>
    <t>Construction spending weight (curve)</t>
  </si>
  <si>
    <t>S-curve unless changed in Assumptions</t>
  </si>
  <si>
    <t>Construction cost escalation factor</t>
  </si>
  <si>
    <t>Costs</t>
  </si>
  <si>
    <t>Land / property price</t>
  </si>
  <si>
    <t>Acquisition taxes, notary, brokerage &amp; due diligence</t>
  </si>
  <si>
    <t>Hard costs (escalated) incl. sustainability capex</t>
  </si>
  <si>
    <t>User-defined variable costs</t>
  </si>
  <si>
    <t>Custom one-off costs</t>
  </si>
  <si>
    <t>Total development costs (before sales costs and financing)</t>
  </si>
  <si>
    <t>Cumulative development costs</t>
  </si>
  <si>
    <t>Sales schedule &amp; cash collections</t>
  </si>
  <si>
    <t>Units sold per month (phases + base absorption, net of cancellations), contract value and buyer payments</t>
  </si>
  <si>
    <t>Base presales start month</t>
  </si>
  <si>
    <t>Sales start month (incl. phases)</t>
  </si>
  <si>
    <t>Units for sale</t>
  </si>
  <si>
    <t>Last month with sales</t>
  </si>
  <si>
    <t>Gross development value (contract value)</t>
  </si>
  <si>
    <t>Gross sales pace (units/month)</t>
  </si>
  <si>
    <t>Units sold (net of cancellations)</t>
  </si>
  <si>
    <t>Units remaining (end of month)</t>
  </si>
  <si>
    <t>Cumulative units sold</t>
  </si>
  <si>
    <t>Price phase multiplier</t>
  </si>
  <si>
    <t>Contract value signed</t>
  </si>
  <si>
    <t>Cash collections (buyer payment plan)</t>
  </si>
  <si>
    <t>Deposits</t>
  </si>
  <si>
    <t>Installment per month generated by this month's sales (helper)</t>
  </si>
  <si>
    <t>Construction-stage installments</t>
  </si>
  <si>
    <t>Balance at delivery (closing)</t>
  </si>
  <si>
    <t>Sales after delivery (paid in full)</t>
  </si>
  <si>
    <t>User-defined income per unit sold</t>
  </si>
  <si>
    <t>Total sales collections</t>
  </si>
  <si>
    <t>Sales costs</t>
  </si>
  <si>
    <t>Sales commissions (paid at contract)</t>
  </si>
  <si>
    <t>User-defined % of collections (e.g. trust fees)</t>
  </si>
  <si>
    <t>Total sales costs</t>
  </si>
  <si>
    <t>Rental operations &amp; exit</t>
  </si>
  <si>
    <t>GPR − vacancy − concessions = EGI; EGI − opex (+ owner savings) = NOI; exit on forward NOI / cap rate</t>
  </si>
  <si>
    <t>Lease-up starts (month)</t>
  </si>
  <si>
    <t>Exit month</t>
  </si>
  <si>
    <t>Effective rent per m²/month</t>
  </si>
  <si>
    <t>Monthly rent growth factor q</t>
  </si>
  <si>
    <t>Forward 12-month stabilized NOI at exit</t>
  </si>
  <si>
    <t>Exit value (gross)</t>
  </si>
  <si>
    <t>Stabilized NOI (annual)</t>
  </si>
  <si>
    <t>Occupancy</t>
  </si>
  <si>
    <t>Gross potential rent</t>
  </si>
  <si>
    <t>Effective gross income</t>
  </si>
  <si>
    <t>Operating expenses (net of owner savings)</t>
  </si>
  <si>
    <t>Net operating income</t>
  </si>
  <si>
    <t>Exit proceeds (net of selling costs)</t>
  </si>
  <si>
    <t>Total operating &amp; exit inflows</t>
  </si>
  <si>
    <t>Cash flow &amp; financing</t>
  </si>
  <si>
    <t>Unlevered cash flow, then equity first → mezzanine → senior debt; interest on the actual monthly balance</t>
  </si>
  <si>
    <t>End month (last cash flow)</t>
  </si>
  <si>
    <t>Total development cost (TDC, excl. financing)</t>
  </si>
  <si>
    <t>Financing cost (interest + fees)</t>
  </si>
  <si>
    <t>Senior rate (annual, nominal)</t>
  </si>
  <si>
    <t>Senior commitment (LTC × cost incl. financing)</t>
  </si>
  <si>
    <t>Circular by design (debt sized on cost incl. financing). Iterative calculation is on; set the circuit breaker on Assumptions to 0 to break the loop.</t>
  </si>
  <si>
    <t>Mezzanine commitment</t>
  </si>
  <si>
    <t>Planned equity (cap before debt)</t>
  </si>
  <si>
    <t>Fixed monthly principal after delivery (rentals)</t>
  </si>
  <si>
    <t>Financing cost used for debt sizing (circuit breaker)</t>
  </si>
  <si>
    <t>End month (flag)</t>
  </si>
  <si>
    <t>On or after delivery (flag)</t>
  </si>
  <si>
    <t>Development costs</t>
  </si>
  <si>
    <t>Sales collections / operating income</t>
  </si>
  <si>
    <t>Other income (custom flows &amp; user-defined)</t>
  </si>
  <si>
    <t>Cumulative unlevered cash flow</t>
  </si>
  <si>
    <t>Senior debt: opening balance</t>
  </si>
  <si>
    <t>Senior interest</t>
  </si>
  <si>
    <t>Mezzanine: opening balance</t>
  </si>
  <si>
    <t>Mezzanine interest</t>
  </si>
  <si>
    <t>Loan fees (commitment on undrawn + origination)</t>
  </si>
  <si>
    <t>Senior interest capitalized</t>
  </si>
  <si>
    <t>Mezzanine interest capitalized</t>
  </si>
  <si>
    <t>Interest paid in cash</t>
  </si>
  <si>
    <t>Scheduled principal (rentals after delivery)</t>
  </si>
  <si>
    <t>Funding need (+) / surplus (−)</t>
  </si>
  <si>
    <t>Project cash reserve: opening</t>
  </si>
  <si>
    <t>Deficit paid from reserve</t>
  </si>
  <si>
    <t>Planned equity drawn</t>
  </si>
  <si>
    <t>Cumulative planned equity</t>
  </si>
  <si>
    <t>Mezzanine drawn</t>
  </si>
  <si>
    <t>Senior debt drawn</t>
  </si>
  <si>
    <t>Funding gap (additional equity required)</t>
  </si>
  <si>
    <t>Surplus cash</t>
  </si>
  <si>
    <t>Cash swept to debt</t>
  </si>
  <si>
    <t>Senior balance before repayment</t>
  </si>
  <si>
    <t>Senior repayment from sweep</t>
  </si>
  <si>
    <t>Mezzanine balance before repayment</t>
  </si>
  <si>
    <t>Mezzanine repayment from sweep</t>
  </si>
  <si>
    <t>Cash available to equity</t>
  </si>
  <si>
    <t>Final repayment of remaining debt</t>
  </si>
  <si>
    <t>Final repayment shortfall (equity)</t>
  </si>
  <si>
    <t>Project cash reserve: closing</t>
  </si>
  <si>
    <t>Senior debt: closing balance</t>
  </si>
  <si>
    <t>Mezzanine: closing balance</t>
  </si>
  <si>
    <t>Debt service paid in cash (interest + principal)</t>
  </si>
  <si>
    <t>Equity</t>
  </si>
  <si>
    <t>Levered (equity) cash flow</t>
  </si>
  <si>
    <t>Cumulative net equity invested</t>
  </si>
  <si>
    <t>Equity waterfall</t>
  </si>
  <si>
    <t>Return of capital → preferred return (compounded monthly) → sponsor promote; pari passu contributions</t>
  </si>
  <si>
    <t>Monthly preferred return</t>
  </si>
  <si>
    <t>Unreturned capital: opening</t>
  </si>
  <si>
    <t>Accrued preferred return: opening</t>
  </si>
  <si>
    <t>Preferred return accrued</t>
  </si>
  <si>
    <t>Tier 1: return of capital</t>
  </si>
  <si>
    <t>Tier 2: preferred return</t>
  </si>
  <si>
    <t>Tier 3: residual</t>
  </si>
  <si>
    <t>Unreturned capital: closing</t>
  </si>
  <si>
    <t>Accrued preferred return: closing</t>
  </si>
  <si>
    <t>Investor cash flow</t>
  </si>
  <si>
    <t>Sponsor cash flow</t>
  </si>
  <si>
    <t>MXN. Every line links to the monthly schedules; per m² of total GBA and per unit</t>
  </si>
  <si>
    <t>Line item</t>
  </si>
  <si>
    <t>Amount (MXN)</t>
  </si>
  <si>
    <t>Per m² GBA</t>
  </si>
  <si>
    <t>Per unit</t>
  </si>
  <si>
    <t>% of total</t>
  </si>
  <si>
    <t>Basis</t>
  </si>
  <si>
    <t>Acquisition</t>
  </si>
  <si>
    <t>Land payment schedule</t>
  </si>
  <si>
    <t>Taxes, notary, brokerage &amp; due diligence</t>
  </si>
  <si>
    <t>% of land price + fixed</t>
  </si>
  <si>
    <t>Hard costs (escalated, incl. sustainability capex)</t>
  </si>
  <si>
    <t>per m² × GBA, S-curve, escalation</t>
  </si>
  <si>
    <t>% of hard-cost base</t>
  </si>
  <si>
    <t>Assumptions → user-defined variables</t>
  </si>
  <si>
    <t>Assumptions → custom cash flows</t>
  </si>
  <si>
    <t>Sales costs (commissions, marketing, % of collections)</t>
  </si>
  <si>
    <t>% of contract value / revenue</t>
  </si>
  <si>
    <t>Interest and loan fees</t>
  </si>
  <si>
    <t>On actual monthly balances</t>
  </si>
  <si>
    <t>Check vs Cash Flow:</t>
  </si>
  <si>
    <t>Hard-cost breakdown by category (today's prices, above ground)</t>
  </si>
  <si>
    <t>Sensitivity &amp; scenarios (TerraMind engine snapshot)</t>
  </si>
  <si>
    <t>Values computed by TerraMind's engine at export. Re-export after major changes.</t>
  </si>
  <si>
    <t>Scenario</t>
  </si>
  <si>
    <t>Equity IRR</t>
  </si>
  <si>
    <t>Profit</t>
  </si>
  <si>
    <t>Net margin</t>
  </si>
  <si>
    <t>MOIC</t>
  </si>
  <si>
    <t>Base</t>
  </si>
  <si>
    <t>Upside</t>
  </si>
  <si>
    <t>Downside</t>
  </si>
  <si>
    <t>Equity IRR sensitivity (tornado)</t>
  </si>
  <si>
    <t>Driver</t>
  </si>
  <si>
    <t>Low</t>
  </si>
  <si>
    <t>High</t>
  </si>
  <si>
    <t>Sale price ±10%</t>
  </si>
  <si>
    <t>Construction ±6 months</t>
  </si>
  <si>
    <t>Land price ±10%</t>
  </si>
  <si>
    <t>Hard cost ±10%</t>
  </si>
  <si>
    <t>Interest rate ±200 bp</t>
  </si>
  <si>
    <t>Absorption ±25%</t>
  </si>
  <si>
    <t>Equity IRR: Hard cost above ground (rows) × Base sale price (columns), % change</t>
  </si>
  <si>
    <t>Cost Δ \ Price 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</si>
</sst>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#,##0.##"/>
    <numFmt numFmtId="165" formatCode="#,##0;\(#,##0\);&quot;-&quot;"/>
    <numFmt numFmtId="166" formatCode="0.00%;\(0.00%\);&quot;-&quot;"/>
    <numFmt numFmtId="167" formatCode="0.0%;\(0.0%\);&quot;-&quot;"/>
    <numFmt numFmtId="168" formatCode="0.00&quot;x&quot;"/>
    <numFmt numFmtId="169" formatCode="0.0000"/>
    <numFmt numFmtId="170" formatCode="#,##0.0;\(#,##0.0\);&quot;-&quot;"/>
    <numFmt numFmtId="171" formatCode="0.000000"/>
    <numFmt numFmtId="172" formatCode="0.0000%"/>
    <numFmt numFmtId="173" formatCode="#,##0.0,,&quot;M&quot;;\(#,##0.0,,&quot;M&quot;\);&quot;-&quot;"/>
  </numFmts>
  <fonts count="12" x14ac:knownFonts="1">
    <font>
      <sz val="11"/>
      <color theme="1"/>
      <name val="Calibri"/>
      <family val="2"/>
      <scheme val="minor"/>
    </font>
    <font>
      <b/>
      <sz val="11"/>
      <color rgb="FF2A78D6"/>
      <name val="Arial"/>
    </font>
    <font>
      <b/>
      <sz val="20"/>
      <color rgb="FF17345E"/>
      <name val="Arial"/>
    </font>
    <font>
      <b/>
      <sz val="10"/>
      <name val="Arial"/>
    </font>
    <font>
      <sz val="10"/>
      <color rgb="FF000000"/>
      <name val="Arial"/>
    </font>
    <font>
      <u/>
      <sz val="10"/>
      <color rgb="FF2A78D6"/>
      <name val="Arial"/>
    </font>
    <font>
      <sz val="10"/>
      <color rgb="FF0000FF"/>
      <name val="Arial"/>
    </font>
    <font>
      <b/>
      <sz val="16"/>
      <color rgb="FF17345E"/>
      <name val="Arial"/>
    </font>
    <font>
      <i/>
      <sz val="9"/>
      <color rgb="FF666666"/>
      <name val="Arial"/>
    </font>
    <font>
      <b/>
      <sz val="10"/>
      <color rgb="FFFFFFFF"/>
      <name val="Arial"/>
    </font>
    <font>
      <sz val="10"/>
      <color rgb="FF7A8699"/>
      <name val="Arial"/>
    </font>
    <font>
      <sz val="11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17345E"/>
      </patternFill>
    </fill>
    <fill>
      <patternFill patternType="solid">
        <fgColor rgb="FFE6EDF7"/>
      </patternFill>
    </fill>
    <fill>
      <patternFill patternType="solid">
        <fgColor rgb="FFF2F4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11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top" wrapText="1"/>
    </xf>
    <xf numFmtId="0" fontId="5" fillId="0" borderId="0" xfId="0" applyFont="1"/>
    <xf numFmtId="0" fontId="4" fillId="0" borderId="0" xfId="0" applyFont="1"/>
    <xf numFmtId="0" fontId="6" fillId="0" borderId="0" xfId="0" applyFont="1"/>
    <xf numFmtId="0" fontId="11" fillId="2" borderId="0" xfId="0" applyFont="1" applyFill="1"/>
    <xf numFmtId="0" fontId="7" fillId="0" borderId="0" xfId="0" applyFont="1"/>
    <xf numFmtId="0" fontId="8" fillId="0" borderId="0" xfId="0" applyFont="1"/>
    <xf numFmtId="0" fontId="9" fillId="3" borderId="0" xfId="0" applyFont="1" applyFill="1"/>
    <xf numFmtId="0" fontId="3" fillId="4" borderId="0" xfId="0" applyFont="1" applyFill="1"/>
    <xf numFmtId="0" fontId="11" fillId="4" borderId="0" xfId="0" applyFont="1" applyFill="1"/>
    <xf numFmtId="167" fontId="3" fillId="0" borderId="0" xfId="0" applyNumberFormat="1" applyFont="1"/>
    <xf numFmtId="167" fontId="10" fillId="0" borderId="0" xfId="0" applyNumberFormat="1" applyFont="1"/>
    <xf numFmtId="167" fontId="11" fillId="0" borderId="0" xfId="0" applyNumberFormat="1" applyFont="1"/>
    <xf numFmtId="168" fontId="3" fillId="0" borderId="0" xfId="0" applyNumberFormat="1" applyFont="1"/>
    <xf numFmtId="168" fontId="10" fillId="0" borderId="0" xfId="0" applyNumberFormat="1" applyFont="1"/>
    <xf numFmtId="168" fontId="11" fillId="0" borderId="0" xfId="0" applyNumberFormat="1" applyFont="1"/>
    <xf numFmtId="165" fontId="3" fillId="0" borderId="0" xfId="0" applyNumberFormat="1" applyFont="1"/>
    <xf numFmtId="165" fontId="10" fillId="0" borderId="0" xfId="0" applyNumberFormat="1" applyFont="1"/>
    <xf numFmtId="165" fontId="11" fillId="0" borderId="0" xfId="0" applyNumberFormat="1" applyFont="1"/>
    <xf numFmtId="0" fontId="9" fillId="3" borderId="0" xfId="0" applyFont="1" applyFill="1" applyAlignment="1">
      <alignment horizontal="center"/>
    </xf>
    <xf numFmtId="170" fontId="11" fillId="0" borderId="0" xfId="0" applyNumberFormat="1" applyFont="1"/>
    <xf numFmtId="173" fontId="11" fillId="0" borderId="0" xfId="0" applyNumberFormat="1" applyFont="1"/>
    <xf numFmtId="164" fontId="6" fillId="0" borderId="0" xfId="0" applyNumberFormat="1" applyFont="1"/>
    <xf numFmtId="165" fontId="6" fillId="2" borderId="0" xfId="0" applyNumberFormat="1" applyFont="1" applyFill="1"/>
    <xf numFmtId="166" fontId="6" fillId="0" borderId="0" xfId="0" applyNumberFormat="1" applyFont="1"/>
    <xf numFmtId="165" fontId="6" fillId="0" borderId="0" xfId="0" applyNumberFormat="1" applyFont="1"/>
    <xf numFmtId="164" fontId="6" fillId="2" borderId="0" xfId="0" applyNumberFormat="1" applyFont="1" applyFill="1"/>
    <xf numFmtId="166" fontId="6" fillId="2" borderId="0" xfId="0" applyNumberFormat="1" applyFont="1" applyFill="1"/>
    <xf numFmtId="167" fontId="6" fillId="0" borderId="0" xfId="0" applyNumberFormat="1" applyFont="1"/>
    <xf numFmtId="165" fontId="4" fillId="0" borderId="0" xfId="0" applyNumberFormat="1" applyFont="1"/>
    <xf numFmtId="168" fontId="4" fillId="0" borderId="0" xfId="0" applyNumberFormat="1" applyFont="1"/>
    <xf numFmtId="169" fontId="4" fillId="0" borderId="0" xfId="0" applyNumberFormat="1" applyFont="1"/>
    <xf numFmtId="169" fontId="3" fillId="0" borderId="0" xfId="0" applyNumberFormat="1" applyFont="1"/>
    <xf numFmtId="0" fontId="3" fillId="5" borderId="0" xfId="0" applyFont="1" applyFill="1"/>
    <xf numFmtId="165" fontId="3" fillId="5" borderId="0" xfId="0" applyNumberFormat="1" applyFont="1" applyFill="1"/>
    <xf numFmtId="0" fontId="8" fillId="5" borderId="0" xfId="0" applyFont="1" applyFill="1"/>
    <xf numFmtId="170" fontId="4" fillId="0" borderId="0" xfId="0" applyNumberFormat="1" applyFont="1"/>
    <xf numFmtId="170" fontId="3" fillId="0" borderId="0" xfId="0" applyNumberFormat="1" applyFont="1"/>
    <xf numFmtId="171" fontId="4" fillId="0" borderId="0" xfId="0" applyNumberFormat="1" applyFont="1"/>
    <xf numFmtId="167" fontId="4" fillId="0" borderId="0" xfId="0" applyNumberFormat="1" applyFont="1"/>
    <xf numFmtId="166" fontId="4" fillId="0" borderId="0" xfId="0" applyNumberFormat="1" applyFont="1"/>
    <xf numFmtId="172" fontId="4" fillId="0" borderId="0" xfId="0" applyNumberFormat="1" applyFont="1"/>
    <xf numFmtId="0" fontId="11" fillId="5" borderId="0" xfId="0" applyFont="1" applyFill="1"/>
    <xf numFmtId="165" fontId="11" fillId="5" borderId="0" xfId="0" applyNumberFormat="1" applyFont="1" applyFill="1"/>
    <xf numFmtId="167" fontId="9" fillId="3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Annual outflows vs inflows (MXN)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Outputs!$A$40</c:f>
              <c:strCache>
                <c:ptCount val="1"/>
                <c:pt idx="0">
                  <c:v>Total outflows</c:v>
                </c:pt>
              </c:strCache>
            </c:strRef>
          </c:tx>
          <c:spPr>
            <a:solidFill>
              <a:srgbClr val="EB6834"/>
            </a:solidFill>
            <a:ln>
              <a:solidFill>
                <a:srgbClr val="EB6834"/>
              </a:solidFill>
              <a:prstDash val="solid"/>
            </a:ln>
          </c:spPr>
          <c:invertIfNegative val="1"/>
          <c:cat>
            <c:strRef>
              <c:f>Outputs!$B$38:$E$38</c:f>
              <c:strCache>
                <c:ptCount val="4"/>
                <c:pt idx="0">
                  <c:v>Y0</c:v>
                </c:pt>
                <c:pt idx="1">
                  <c:v>Y1</c:v>
                </c:pt>
                <c:pt idx="2">
                  <c:v>Y2</c:v>
                </c:pt>
                <c:pt idx="3">
                  <c:v>Y3</c:v>
                </c:pt>
              </c:strCache>
            </c:strRef>
          </c:cat>
          <c:val>
            <c:numRef>
              <c:f>Outputs!$B$40:$E$40</c:f>
              <c:numCache>
                <c:formatCode>#,##0.0,,"M";\(#,##0.0,,"M"\);"-"</c:formatCode>
                <c:ptCount val="4"/>
                <c:pt idx="0">
                  <c:v>285050000</c:v>
                </c:pt>
                <c:pt idx="1">
                  <c:v>68688514.767857477</c:v>
                </c:pt>
                <c:pt idx="2">
                  <c:v>275183935.46378803</c:v>
                </c:pt>
                <c:pt idx="3">
                  <c:v>112971401.4767182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EB683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C9C-4BB5-8402-28A13C820126}"/>
            </c:ext>
          </c:extLst>
        </c:ser>
        <c:ser>
          <c:idx val="1"/>
          <c:order val="1"/>
          <c:tx>
            <c:strRef>
              <c:f>Outputs!$A$41</c:f>
              <c:strCache>
                <c:ptCount val="1"/>
                <c:pt idx="0">
                  <c:v>Total inflows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1"/>
          <c:cat>
            <c:strRef>
              <c:f>Outputs!$B$38:$E$38</c:f>
              <c:strCache>
                <c:ptCount val="4"/>
                <c:pt idx="0">
                  <c:v>Y0</c:v>
                </c:pt>
                <c:pt idx="1">
                  <c:v>Y1</c:v>
                </c:pt>
                <c:pt idx="2">
                  <c:v>Y2</c:v>
                </c:pt>
                <c:pt idx="3">
                  <c:v>Y3</c:v>
                </c:pt>
              </c:strCache>
            </c:strRef>
          </c:cat>
          <c:val>
            <c:numRef>
              <c:f>Outputs!$B$41:$E$41</c:f>
              <c:numCache>
                <c:formatCode>#,##0.0,,"M";\(#,##0.0,,"M"\);"-"</c:formatCode>
                <c:ptCount val="4"/>
                <c:pt idx="0">
                  <c:v>0</c:v>
                </c:pt>
                <c:pt idx="1">
                  <c:v>39193055.961288758</c:v>
                </c:pt>
                <c:pt idx="2">
                  <c:v>116918040.10910332</c:v>
                </c:pt>
                <c:pt idx="3">
                  <c:v>880370255.74303579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A78D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C9C-4BB5-8402-28A13C8201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#,##0,,&quot;M&quot;;\(#,##0,,&quot;M&quot;\)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Unlevered vs levered cash flow by year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Outputs!$A$42</c:f>
              <c:strCache>
                <c:ptCount val="1"/>
                <c:pt idx="0">
                  <c:v>Unlevered cash flow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1"/>
          <c:cat>
            <c:strRef>
              <c:f>Outputs!$B$38:$E$38</c:f>
              <c:strCache>
                <c:ptCount val="4"/>
                <c:pt idx="0">
                  <c:v>Y0</c:v>
                </c:pt>
                <c:pt idx="1">
                  <c:v>Y1</c:v>
                </c:pt>
                <c:pt idx="2">
                  <c:v>Y2</c:v>
                </c:pt>
                <c:pt idx="3">
                  <c:v>Y3</c:v>
                </c:pt>
              </c:strCache>
            </c:strRef>
          </c:cat>
          <c:val>
            <c:numRef>
              <c:f>Outputs!$B$42:$E$42</c:f>
              <c:numCache>
                <c:formatCode>#,##0.0,,"M";\(#,##0.0,,"M"\);"-"</c:formatCode>
                <c:ptCount val="4"/>
                <c:pt idx="0">
                  <c:v>-285050000</c:v>
                </c:pt>
                <c:pt idx="1">
                  <c:v>-29495458.806568727</c:v>
                </c:pt>
                <c:pt idx="2">
                  <c:v>-158265895.35468474</c:v>
                </c:pt>
                <c:pt idx="3">
                  <c:v>767398854.26631749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A78D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B896-4A20-BC76-3A16CAEFDBAF}"/>
            </c:ext>
          </c:extLst>
        </c:ser>
        <c:ser>
          <c:idx val="1"/>
          <c:order val="1"/>
          <c:tx>
            <c:strRef>
              <c:f>Outputs!$A$45</c:f>
              <c:strCache>
                <c:ptCount val="1"/>
                <c:pt idx="0">
                  <c:v>Levered cash flow</c:v>
                </c:pt>
              </c:strCache>
            </c:strRef>
          </c:tx>
          <c: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c:spPr>
          <c:invertIfNegative val="1"/>
          <c:cat>
            <c:strRef>
              <c:f>Outputs!$B$38:$E$38</c:f>
              <c:strCache>
                <c:ptCount val="4"/>
                <c:pt idx="0">
                  <c:v>Y0</c:v>
                </c:pt>
                <c:pt idx="1">
                  <c:v>Y1</c:v>
                </c:pt>
                <c:pt idx="2">
                  <c:v>Y2</c:v>
                </c:pt>
                <c:pt idx="3">
                  <c:v>Y3</c:v>
                </c:pt>
              </c:strCache>
            </c:strRef>
          </c:cat>
          <c:val>
            <c:numRef>
              <c:f>Outputs!$B$45:$E$45</c:f>
              <c:numCache>
                <c:formatCode>#,##0.0,,"M";\(#,##0.0,,"M"\);"-"</c:formatCode>
                <c:ptCount val="4"/>
                <c:pt idx="0">
                  <c:v>-285050000</c:v>
                </c:pt>
                <c:pt idx="1">
                  <c:v>-33602088.568690889</c:v>
                </c:pt>
                <c:pt idx="2">
                  <c:v>-96731151.737917468</c:v>
                </c:pt>
                <c:pt idx="3">
                  <c:v>696622337.0131346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BAF7A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B896-4A20-BC76-3A16CAEFDB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#,##0,,&quot;M&quot;;\(#,##0,,&quot;M&quot;\)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Cumulative cash flow, net equity and senior debt (monthly)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'Cash Flow'!$A$27</c:f>
              <c:strCache>
                <c:ptCount val="1"/>
                <c:pt idx="0">
                  <c:v>Cumulative unlevered cash flow</c:v>
                </c:pt>
              </c:strCache>
            </c:strRef>
          </c:tx>
          <c:spPr>
            <a:ln>
              <a:solidFill>
                <a:srgbClr val="2A78D6"/>
              </a:solidFill>
              <a:prstDash val="solid"/>
            </a:ln>
          </c:spPr>
          <c:marker>
            <c:symbol val="none"/>
          </c:marker>
          <c:cat>
            <c:numRef>
              <c:f>'Cash Flow'!$D$4:$AM$4</c:f>
              <c:numCache>
                <c:formatCode>General</c:formatCode>
                <c:ptCount val="3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</c:numCache>
            </c:numRef>
          </c:cat>
          <c:val>
            <c:numRef>
              <c:f>'Cash Flow'!$B$27:$AM$27</c:f>
              <c:numCache>
                <c:formatCode>General</c:formatCode>
                <c:ptCount val="38"/>
                <c:pt idx="2" formatCode="#,##0;\(#,##0\);&quot;-&quot;">
                  <c:v>-285050000</c:v>
                </c:pt>
                <c:pt idx="3" formatCode="#,##0;\(#,##0\);&quot;-&quot;">
                  <c:v>-286218515</c:v>
                </c:pt>
                <c:pt idx="4" formatCode="#,##0;\(#,##0\);&quot;-&quot;">
                  <c:v>-287387030</c:v>
                </c:pt>
                <c:pt idx="5" formatCode="#,##0;\(#,##0\);&quot;-&quot;">
                  <c:v>-288555545</c:v>
                </c:pt>
                <c:pt idx="6" formatCode="#,##0;\(#,##0\);&quot;-&quot;">
                  <c:v>-289724060</c:v>
                </c:pt>
                <c:pt idx="7" formatCode="#,##0;\(#,##0\);&quot;-&quot;">
                  <c:v>-289042893.46955979</c:v>
                </c:pt>
                <c:pt idx="8" formatCode="#,##0;\(#,##0\);&quot;-&quot;">
                  <c:v>-288063431.76912796</c:v>
                </c:pt>
                <c:pt idx="9" formatCode="#,##0;\(#,##0\);&quot;-&quot;">
                  <c:v>-286772907.47850329</c:v>
                </c:pt>
                <c:pt idx="10" formatCode="#,##0;\(#,##0\);&quot;-&quot;">
                  <c:v>-292947587.49716848</c:v>
                </c:pt>
                <c:pt idx="11" formatCode="#,##0;\(#,##0\);&quot;-&quot;">
                  <c:v>-301090604.43920738</c:v>
                </c:pt>
                <c:pt idx="12" formatCode="#,##0;\(#,##0\);&quot;-&quot;">
                  <c:v>-303209025.49740046</c:v>
                </c:pt>
                <c:pt idx="13" formatCode="#,##0;\(#,##0\);&quot;-&quot;">
                  <c:v>-307733692.75312418</c:v>
                </c:pt>
                <c:pt idx="14" formatCode="#,##0;\(#,##0\);&quot;-&quot;">
                  <c:v>-314545458.80656868</c:v>
                </c:pt>
                <c:pt idx="15" formatCode="#,##0;\(#,##0\);&quot;-&quot;">
                  <c:v>-323476237.86197793</c:v>
                </c:pt>
                <c:pt idx="16" formatCode="#,##0;\(#,##0\);&quot;-&quot;">
                  <c:v>-334310809.24731231</c:v>
                </c:pt>
                <c:pt idx="17" formatCode="#,##0;\(#,##0\);&quot;-&quot;">
                  <c:v>-346789324.15616554</c:v>
                </c:pt>
                <c:pt idx="18" formatCode="#,##0;\(#,##0\);&quot;-&quot;">
                  <c:v>-360610445.71282339</c:v>
                </c:pt>
                <c:pt idx="19" formatCode="#,##0;\(#,##0\);&quot;-&quot;">
                  <c:v>-375435029.1810627</c:v>
                </c:pt>
                <c:pt idx="20" formatCode="#,##0;\(#,##0\);&quot;-&quot;">
                  <c:v>-390890221.63648766</c:v>
                </c:pt>
                <c:pt idx="21" formatCode="#,##0;\(#,##0\);&quot;-&quot;">
                  <c:v>-406573825.77484941</c:v>
                </c:pt>
                <c:pt idx="22" formatCode="#,##0;\(#,##0\);&quot;-&quot;">
                  <c:v>-422058725.43495017</c:v>
                </c:pt>
                <c:pt idx="23" formatCode="#,##0;\(#,##0\);&quot;-&quot;">
                  <c:v>-436897101.05460906</c:v>
                </c:pt>
                <c:pt idx="24" formatCode="#,##0;\(#,##0\);&quot;-&quot;">
                  <c:v>-450624052.80984461</c:v>
                </c:pt>
                <c:pt idx="25" formatCode="#,##0;\(#,##0\);&quot;-&quot;">
                  <c:v>-462760059.7461282</c:v>
                </c:pt>
                <c:pt idx="26" formatCode="#,##0;\(#,##0\);&quot;-&quot;">
                  <c:v>-472811354.16125345</c:v>
                </c:pt>
                <c:pt idx="27" formatCode="#,##0;\(#,##0\);&quot;-&quot;">
                  <c:v>-480266597.3762508</c:v>
                </c:pt>
                <c:pt idx="28" formatCode="#,##0;\(#,##0\);&quot;-&quot;">
                  <c:v>-484586744.53657585</c:v>
                </c:pt>
                <c:pt idx="29" formatCode="#,##0;\(#,##0\);&quot;-&quot;">
                  <c:v>-485181390.49303985</c:v>
                </c:pt>
                <c:pt idx="30" formatCode="#,##0;\(#,##0\);&quot;-&quot;">
                  <c:v>-481354997.97064215</c:v>
                </c:pt>
                <c:pt idx="31" formatCode="#,##0;\(#,##0\);&quot;-&quot;">
                  <c:v>-472173430.60862982</c:v>
                </c:pt>
                <c:pt idx="32" formatCode="#,##0;\(#,##0\);&quot;-&quot;">
                  <c:v>-456052788.36942625</c:v>
                </c:pt>
                <c:pt idx="33" formatCode="#,##0;\(#,##0\);&quot;-&quot;">
                  <c:v>-430675655.77074677</c:v>
                </c:pt>
                <c:pt idx="34" formatCode="#,##0;\(#,##0\);&quot;-&quot;">
                  <c:v>294587500.10506409</c:v>
                </c:pt>
                <c:pt idx="35" formatCode="#,##0;\(#,##0\);&quot;-&quot;">
                  <c:v>294587500.10506409</c:v>
                </c:pt>
                <c:pt idx="36" formatCode="#,##0;\(#,##0\);&quot;-&quot;">
                  <c:v>294587500.10506409</c:v>
                </c:pt>
                <c:pt idx="37" formatCode="#,##0;\(#,##0\);&quot;-&quot;">
                  <c:v>294587500.10506409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231-4512-A850-7658726817A9}"/>
            </c:ext>
          </c:extLst>
        </c:ser>
        <c:ser>
          <c:idx val="1"/>
          <c:order val="1"/>
          <c:tx>
            <c:strRef>
              <c:f>'Cash Flow'!$A$63</c:f>
              <c:strCache>
                <c:ptCount val="1"/>
                <c:pt idx="0">
                  <c:v>Cumulative net equity invested</c:v>
                </c:pt>
              </c:strCache>
            </c:strRef>
          </c:tx>
          <c:spPr>
            <a:ln>
              <a:solidFill>
                <a:srgbClr val="1BAF7A"/>
              </a:solidFill>
              <a:prstDash val="solid"/>
            </a:ln>
          </c:spPr>
          <c:marker>
            <c:symbol val="none"/>
          </c:marker>
          <c:cat>
            <c:numRef>
              <c:f>'Cash Flow'!$D$4:$AM$4</c:f>
              <c:numCache>
                <c:formatCode>General</c:formatCode>
                <c:ptCount val="3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</c:numCache>
            </c:numRef>
          </c:cat>
          <c:val>
            <c:numRef>
              <c:f>'Cash Flow'!$B$63:$AM$63</c:f>
              <c:numCache>
                <c:formatCode>General</c:formatCode>
                <c:ptCount val="38"/>
                <c:pt idx="2" formatCode="#,##0;\(#,##0\);&quot;-&quot;">
                  <c:v>285050000</c:v>
                </c:pt>
                <c:pt idx="3" formatCode="#,##0;\(#,##0\);&quot;-&quot;">
                  <c:v>286218515</c:v>
                </c:pt>
                <c:pt idx="4" formatCode="#,##0;\(#,##0\);&quot;-&quot;">
                  <c:v>287387030</c:v>
                </c:pt>
                <c:pt idx="5" formatCode="#,##0;\(#,##0\);&quot;-&quot;">
                  <c:v>288555545</c:v>
                </c:pt>
                <c:pt idx="6" formatCode="#,##0;\(#,##0\);&quot;-&quot;">
                  <c:v>289724060</c:v>
                </c:pt>
                <c:pt idx="7" formatCode="#,##0;\(#,##0\);&quot;-&quot;">
                  <c:v>289724060</c:v>
                </c:pt>
                <c:pt idx="8" formatCode="#,##0;\(#,##0\);&quot;-&quot;">
                  <c:v>289724060</c:v>
                </c:pt>
                <c:pt idx="9" formatCode="#,##0;\(#,##0\);&quot;-&quot;">
                  <c:v>289724060</c:v>
                </c:pt>
                <c:pt idx="10" formatCode="#,##0;\(#,##0\);&quot;-&quot;">
                  <c:v>296487785.56796348</c:v>
                </c:pt>
                <c:pt idx="11" formatCode="#,##0;\(#,##0\);&quot;-&quot;">
                  <c:v>304772410.43283421</c:v>
                </c:pt>
                <c:pt idx="12" formatCode="#,##0;\(#,##0\);&quot;-&quot;">
                  <c:v>307032439.41385907</c:v>
                </c:pt>
                <c:pt idx="13" formatCode="#,##0;\(#,##0\);&quot;-&quot;">
                  <c:v>311698714.59241462</c:v>
                </c:pt>
                <c:pt idx="14" formatCode="#,##0;\(#,##0\);&quot;-&quot;">
                  <c:v>318652088.5686909</c:v>
                </c:pt>
                <c:pt idx="15" formatCode="#,##0;\(#,##0\);&quot;-&quot;">
                  <c:v>327724475.54693198</c:v>
                </c:pt>
                <c:pt idx="16" formatCode="#,##0;\(#,##0\);&quot;-&quot;">
                  <c:v>338700654.85509813</c:v>
                </c:pt>
                <c:pt idx="17" formatCode="#,##0;\(#,##0\);&quot;-&quot;">
                  <c:v>351320777.68678313</c:v>
                </c:pt>
                <c:pt idx="18" formatCode="#,##0;\(#,##0\);&quot;-&quot;">
                  <c:v>365283507.16627282</c:v>
                </c:pt>
                <c:pt idx="19" formatCode="#,##0;\(#,##0\);&quot;-&quot;">
                  <c:v>380249698.55734396</c:v>
                </c:pt>
                <c:pt idx="20" formatCode="#,##0;\(#,##0\);&quot;-&quot;">
                  <c:v>395846498.9356007</c:v>
                </c:pt>
                <c:pt idx="21" formatCode="#,##0;\(#,##0\);&quot;-&quot;">
                  <c:v>411671710.99679422</c:v>
                </c:pt>
                <c:pt idx="22" formatCode="#,##0;\(#,##0\);&quot;-&quot;">
                  <c:v>415383240.30660838</c:v>
                </c:pt>
                <c:pt idx="23" formatCode="#,##0;\(#,##0\);&quot;-&quot;">
                  <c:v>415383240.30660838</c:v>
                </c:pt>
                <c:pt idx="24" formatCode="#,##0;\(#,##0\);&quot;-&quot;">
                  <c:v>415383240.30660838</c:v>
                </c:pt>
                <c:pt idx="25" formatCode="#,##0;\(#,##0\);&quot;-&quot;">
                  <c:v>415383240.30660838</c:v>
                </c:pt>
                <c:pt idx="26" formatCode="#,##0;\(#,##0\);&quot;-&quot;">
                  <c:v>415383240.30660838</c:v>
                </c:pt>
                <c:pt idx="27" formatCode="#,##0;\(#,##0\);&quot;-&quot;">
                  <c:v>415383240.30660838</c:v>
                </c:pt>
                <c:pt idx="28" formatCode="#,##0;\(#,##0\);&quot;-&quot;">
                  <c:v>415383240.30660838</c:v>
                </c:pt>
                <c:pt idx="29" formatCode="#,##0;\(#,##0\);&quot;-&quot;">
                  <c:v>415383240.30660838</c:v>
                </c:pt>
                <c:pt idx="30" formatCode="#,##0;\(#,##0\);&quot;-&quot;">
                  <c:v>415383240.30660838</c:v>
                </c:pt>
                <c:pt idx="31" formatCode="#,##0;\(#,##0\);&quot;-&quot;">
                  <c:v>415383240.30660838</c:v>
                </c:pt>
                <c:pt idx="32" formatCode="#,##0;\(#,##0\);&quot;-&quot;">
                  <c:v>415383240.30660838</c:v>
                </c:pt>
                <c:pt idx="33" formatCode="#,##0;\(#,##0\);&quot;-&quot;">
                  <c:v>415383240.30660838</c:v>
                </c:pt>
                <c:pt idx="34" formatCode="#,##0;\(#,##0\);&quot;-&quot;">
                  <c:v>-281239096.70652622</c:v>
                </c:pt>
                <c:pt idx="35" formatCode="#,##0;\(#,##0\);&quot;-&quot;">
                  <c:v>-281239096.70652622</c:v>
                </c:pt>
                <c:pt idx="36" formatCode="#,##0;\(#,##0\);&quot;-&quot;">
                  <c:v>-281239096.70652622</c:v>
                </c:pt>
                <c:pt idx="37" formatCode="#,##0;\(#,##0\);&quot;-&quot;">
                  <c:v>-281239096.70652622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231-4512-A850-7658726817A9}"/>
            </c:ext>
          </c:extLst>
        </c:ser>
        <c:ser>
          <c:idx val="2"/>
          <c:order val="2"/>
          <c:tx>
            <c:strRef>
              <c:f>'Cash Flow'!$A$56</c:f>
              <c:strCache>
                <c:ptCount val="1"/>
                <c:pt idx="0">
                  <c:v>Senior debt: closing balance</c:v>
                </c:pt>
              </c:strCache>
            </c:strRef>
          </c:tx>
          <c:spPr>
            <a:ln>
              <a:solidFill>
                <a:srgbClr val="EB6834"/>
              </a:solidFill>
              <a:prstDash val="solid"/>
            </a:ln>
          </c:spPr>
          <c:marker>
            <c:symbol val="none"/>
          </c:marker>
          <c:cat>
            <c:numRef>
              <c:f>'Cash Flow'!$D$4:$AM$4</c:f>
              <c:numCache>
                <c:formatCode>General</c:formatCode>
                <c:ptCount val="3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</c:numCache>
            </c:numRef>
          </c:cat>
          <c:val>
            <c:numRef>
              <c:f>'Cash Flow'!$B$56:$AM$56</c:f>
              <c:numCache>
                <c:formatCode>General</c:formatCode>
                <c:ptCount val="38"/>
                <c:pt idx="2" formatCode="#,##0;\(#,##0\);&quot;-&quot;">
                  <c:v>0</c:v>
                </c:pt>
                <c:pt idx="3" formatCode="#,##0;\(#,##0\);&quot;-&quot;">
                  <c:v>0</c:v>
                </c:pt>
                <c:pt idx="4" formatCode="#,##0;\(#,##0\);&quot;-&quot;">
                  <c:v>0</c:v>
                </c:pt>
                <c:pt idx="5" formatCode="#,##0;\(#,##0\);&quot;-&quot;">
                  <c:v>0</c:v>
                </c:pt>
                <c:pt idx="6" formatCode="#,##0;\(#,##0\);&quot;-&quot;">
                  <c:v>0</c:v>
                </c:pt>
                <c:pt idx="7" formatCode="#,##0;\(#,##0\);&quot;-&quot;">
                  <c:v>0</c:v>
                </c:pt>
                <c:pt idx="8" formatCode="#,##0;\(#,##0\);&quot;-&quot;">
                  <c:v>0</c:v>
                </c:pt>
                <c:pt idx="9" formatCode="#,##0;\(#,##0\);&quot;-&quot;">
                  <c:v>0</c:v>
                </c:pt>
                <c:pt idx="10" formatCode="#,##0;\(#,##0\);&quot;-&quot;">
                  <c:v>0</c:v>
                </c:pt>
                <c:pt idx="11" formatCode="#,##0;\(#,##0\);&quot;-&quot;">
                  <c:v>0</c:v>
                </c:pt>
                <c:pt idx="12" formatCode="#,##0;\(#,##0\);&quot;-&quot;">
                  <c:v>0</c:v>
                </c:pt>
                <c:pt idx="13" formatCode="#,##0;\(#,##0\);&quot;-&quot;">
                  <c:v>0</c:v>
                </c:pt>
                <c:pt idx="14" formatCode="#,##0;\(#,##0\);&quot;-&quot;">
                  <c:v>0</c:v>
                </c:pt>
                <c:pt idx="15" formatCode="#,##0;\(#,##0\);&quot;-&quot;">
                  <c:v>0</c:v>
                </c:pt>
                <c:pt idx="16" formatCode="#,##0;\(#,##0\);&quot;-&quot;">
                  <c:v>0</c:v>
                </c:pt>
                <c:pt idx="17" formatCode="#,##0;\(#,##0\);&quot;-&quot;">
                  <c:v>0</c:v>
                </c:pt>
                <c:pt idx="18" formatCode="#,##0;\(#,##0\);&quot;-&quot;">
                  <c:v>0</c:v>
                </c:pt>
                <c:pt idx="19" formatCode="#,##0;\(#,##0\);&quot;-&quot;">
                  <c:v>0</c:v>
                </c:pt>
                <c:pt idx="20" formatCode="#,##0;\(#,##0\);&quot;-&quot;">
                  <c:v>0</c:v>
                </c:pt>
                <c:pt idx="21" formatCode="#,##0;\(#,##0\);&quot;-&quot;">
                  <c:v>0</c:v>
                </c:pt>
                <c:pt idx="22" formatCode="#,##0;\(#,##0\);&quot;-&quot;">
                  <c:v>11914978.273118386</c:v>
                </c:pt>
                <c:pt idx="23" formatCode="#,##0;\(#,##0\);&quot;-&quot;">
                  <c:v>26996735.588301562</c:v>
                </c:pt>
                <c:pt idx="24" formatCode="#,##0;\(#,##0\);&quot;-&quot;">
                  <c:v>41095892.382791013</c:v>
                </c:pt>
                <c:pt idx="25" formatCode="#,##0;\(#,##0\);&quot;-&quot;">
                  <c:v>53724534.655956</c:v>
                </c:pt>
                <c:pt idx="26" formatCode="#,##0;\(#,##0\);&quot;-&quot;">
                  <c:v>64376334.0607398</c:v>
                </c:pt>
                <c:pt idx="27" formatCode="#,##0;\(#,##0\);&quot;-&quot;">
                  <c:v>72523066.385338068</c:v>
                </c:pt>
                <c:pt idx="28" formatCode="#,##0;\(#,##0\);&quot;-&quot;">
                  <c:v>77604289.327233806</c:v>
                </c:pt>
                <c:pt idx="29" formatCode="#,##0;\(#,##0\);&quot;-&quot;">
                  <c:v>79003413.177996367</c:v>
                </c:pt>
                <c:pt idx="30" formatCode="#,##0;\(#,##0\);&quot;-&quot;">
                  <c:v>79711152.087997198</c:v>
                </c:pt>
                <c:pt idx="31" formatCode="#,##0;\(#,##0\);&quot;-&quot;">
                  <c:v>80425231.159282625</c:v>
                </c:pt>
                <c:pt idx="32" formatCode="#,##0;\(#,##0\);&quot;-&quot;">
                  <c:v>81145707.189204738</c:v>
                </c:pt>
                <c:pt idx="33" formatCode="#,##0;\(#,##0\);&quot;-&quot;">
                  <c:v>81872637.483925998</c:v>
                </c:pt>
                <c:pt idx="34" formatCode="#,##0;\(#,##0\);&quot;-&quot;">
                  <c:v>0</c:v>
                </c:pt>
                <c:pt idx="35" formatCode="#,##0;\(#,##0\);&quot;-&quot;">
                  <c:v>0</c:v>
                </c:pt>
                <c:pt idx="36" formatCode="#,##0;\(#,##0\);&quot;-&quot;">
                  <c:v>0</c:v>
                </c:pt>
                <c:pt idx="37" formatCode="#,##0;\(#,##0\);&quot;-&quot;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D231-4512-A850-7658726817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tickLblSkip val="6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#,##0,,&quot;M&quot;;\(#,##0,,&quot;M&quot;\)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Units sold per month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Sales!$A$13</c:f>
              <c:strCache>
                <c:ptCount val="1"/>
                <c:pt idx="0">
                  <c:v>Units sold (net of cancellations)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1"/>
          <c:cat>
            <c:numRef>
              <c:f>Sales!$D$4:$AM$4</c:f>
              <c:numCache>
                <c:formatCode>General</c:formatCode>
                <c:ptCount val="3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</c:numCache>
            </c:numRef>
          </c:cat>
          <c:val>
            <c:numRef>
              <c:f>Sales!$B$13:$AM$13</c:f>
              <c:numCache>
                <c:formatCode>General</c:formatCode>
                <c:ptCount val="38"/>
                <c:pt idx="0" formatCode="#,##0.0;\(#,##0.0\);&quot;-&quot;">
                  <c:v>74.999999999999986</c:v>
                </c:pt>
                <c:pt idx="2" formatCode="#,##0.0;\(#,##0.0\);&quot;-&quot;">
                  <c:v>0</c:v>
                </c:pt>
                <c:pt idx="3" formatCode="#,##0.0;\(#,##0.0\);&quot;-&quot;">
                  <c:v>0</c:v>
                </c:pt>
                <c:pt idx="4" formatCode="#,##0.0;\(#,##0.0\);&quot;-&quot;">
                  <c:v>0</c:v>
                </c:pt>
                <c:pt idx="5" formatCode="#,##0.0;\(#,##0.0\);&quot;-&quot;">
                  <c:v>0</c:v>
                </c:pt>
                <c:pt idx="6" formatCode="#,##0.0;\(#,##0.0\);&quot;-&quot;">
                  <c:v>0</c:v>
                </c:pt>
                <c:pt idx="7" formatCode="#,##0.0;\(#,##0.0\);&quot;-&quot;">
                  <c:v>2.8499999999999996</c:v>
                </c:pt>
                <c:pt idx="8" formatCode="#,##0.0;\(#,##0.0\);&quot;-&quot;">
                  <c:v>2.8499999999999996</c:v>
                </c:pt>
                <c:pt idx="9" formatCode="#,##0.0;\(#,##0.0\);&quot;-&quot;">
                  <c:v>2.8499999999999996</c:v>
                </c:pt>
                <c:pt idx="10" formatCode="#,##0.0;\(#,##0.0\);&quot;-&quot;">
                  <c:v>2.8499999999999996</c:v>
                </c:pt>
                <c:pt idx="11" formatCode="#,##0.0;\(#,##0.0\);&quot;-&quot;">
                  <c:v>2.8499999999999996</c:v>
                </c:pt>
                <c:pt idx="12" formatCode="#,##0.0;\(#,##0.0\);&quot;-&quot;">
                  <c:v>2.8499999999999996</c:v>
                </c:pt>
                <c:pt idx="13" formatCode="#,##0.0;\(#,##0.0\);&quot;-&quot;">
                  <c:v>2.8499999999999996</c:v>
                </c:pt>
                <c:pt idx="14" formatCode="#,##0.0;\(#,##0.0\);&quot;-&quot;">
                  <c:v>2.8499999999999996</c:v>
                </c:pt>
                <c:pt idx="15" formatCode="#,##0.0;\(#,##0.0\);&quot;-&quot;">
                  <c:v>2.8499999999999996</c:v>
                </c:pt>
                <c:pt idx="16" formatCode="#,##0.0;\(#,##0.0\);&quot;-&quot;">
                  <c:v>2.8499999999999996</c:v>
                </c:pt>
                <c:pt idx="17" formatCode="#,##0.0;\(#,##0.0\);&quot;-&quot;">
                  <c:v>2.8499999999999996</c:v>
                </c:pt>
                <c:pt idx="18" formatCode="#,##0.0;\(#,##0.0\);&quot;-&quot;">
                  <c:v>2.8499999999999996</c:v>
                </c:pt>
                <c:pt idx="19" formatCode="#,##0.0;\(#,##0.0\);&quot;-&quot;">
                  <c:v>2.8499999999999996</c:v>
                </c:pt>
                <c:pt idx="20" formatCode="#,##0.0;\(#,##0.0\);&quot;-&quot;">
                  <c:v>2.8499999999999996</c:v>
                </c:pt>
                <c:pt idx="21" formatCode="#,##0.0;\(#,##0.0\);&quot;-&quot;">
                  <c:v>2.8499999999999996</c:v>
                </c:pt>
                <c:pt idx="22" formatCode="#,##0.0;\(#,##0.0\);&quot;-&quot;">
                  <c:v>2.8499999999999996</c:v>
                </c:pt>
                <c:pt idx="23" formatCode="#,##0.0;\(#,##0.0\);&quot;-&quot;">
                  <c:v>2.8499999999999996</c:v>
                </c:pt>
                <c:pt idx="24" formatCode="#,##0.0;\(#,##0.0\);&quot;-&quot;">
                  <c:v>2.8499999999999996</c:v>
                </c:pt>
                <c:pt idx="25" formatCode="#,##0.0;\(#,##0.0\);&quot;-&quot;">
                  <c:v>2.8499999999999996</c:v>
                </c:pt>
                <c:pt idx="26" formatCode="#,##0.0;\(#,##0.0\);&quot;-&quot;">
                  <c:v>2.8499999999999996</c:v>
                </c:pt>
                <c:pt idx="27" formatCode="#,##0.0;\(#,##0.0\);&quot;-&quot;">
                  <c:v>2.8499999999999996</c:v>
                </c:pt>
                <c:pt idx="28" formatCode="#,##0.0;\(#,##0.0\);&quot;-&quot;">
                  <c:v>2.8499999999999996</c:v>
                </c:pt>
                <c:pt idx="29" formatCode="#,##0.0;\(#,##0.0\);&quot;-&quot;">
                  <c:v>2.8499999999999996</c:v>
                </c:pt>
                <c:pt idx="30" formatCode="#,##0.0;\(#,##0.0\);&quot;-&quot;">
                  <c:v>2.8499999999999996</c:v>
                </c:pt>
                <c:pt idx="31" formatCode="#,##0.0;\(#,##0.0\);&quot;-&quot;">
                  <c:v>2.8499999999999996</c:v>
                </c:pt>
                <c:pt idx="32" formatCode="#,##0.0;\(#,##0.0\);&quot;-&quot;">
                  <c:v>2.8499999999999996</c:v>
                </c:pt>
                <c:pt idx="33" formatCode="#,##0.0;\(#,##0.0\);&quot;-&quot;">
                  <c:v>0.89999999999999503</c:v>
                </c:pt>
                <c:pt idx="34" formatCode="#,##0.0;\(#,##0.0\);&quot;-&quot;">
                  <c:v>0</c:v>
                </c:pt>
                <c:pt idx="35" formatCode="#,##0.0;\(#,##0.0\);&quot;-&quot;">
                  <c:v>0</c:v>
                </c:pt>
                <c:pt idx="36" formatCode="#,##0.0;\(#,##0.0\);&quot;-&quot;">
                  <c:v>0</c:v>
                </c:pt>
                <c:pt idx="37" formatCode="#,##0.0;\(#,##0.0\);&quot;-&quot;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A78D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C54-4C0A-A7A8-BA2C190EA6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tickLblSkip val="6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0.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Total cost by category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spPr>
            <a:solidFill>
              <a:srgbClr val="17345E"/>
            </a:solidFill>
            <a:ln>
              <a:prstDash val="solid"/>
            </a:ln>
          </c:spPr>
          <c:invertIfNegative val="1"/>
          <c:cat>
            <c:strRef>
              <c:f>Outputs!$A$48:$A$54</c:f>
              <c:strCache>
                <c:ptCount val="7"/>
                <c:pt idx="0">
                  <c:v>Land &amp; acquisition</c:v>
                </c:pt>
                <c:pt idx="1">
                  <c:v>Hard costs</c:v>
                </c:pt>
                <c:pt idx="2">
                  <c:v>Soft costs</c:v>
                </c:pt>
                <c:pt idx="3">
                  <c:v>Contingency &amp; developer fee</c:v>
                </c:pt>
                <c:pt idx="4">
                  <c:v>Sales &amp; marketing</c:v>
                </c:pt>
                <c:pt idx="5">
                  <c:v>User-defined &amp; custom costs</c:v>
                </c:pt>
                <c:pt idx="6">
                  <c:v>Financing</c:v>
                </c:pt>
              </c:strCache>
            </c:strRef>
          </c:cat>
          <c:val>
            <c:numRef>
              <c:f>Outputs!$B$48:$B$54</c:f>
              <c:numCache>
                <c:formatCode>#,##0;\(#,##0\);"-"</c:formatCode>
                <c:ptCount val="7"/>
                <c:pt idx="0">
                  <c:v>285050000</c:v>
                </c:pt>
                <c:pt idx="1">
                  <c:v>338024924.11769235</c:v>
                </c:pt>
                <c:pt idx="2">
                  <c:v>38950500</c:v>
                </c:pt>
                <c:pt idx="3">
                  <c:v>28044359.999999996</c:v>
                </c:pt>
                <c:pt idx="4">
                  <c:v>51824067.59067139</c:v>
                </c:pt>
                <c:pt idx="5">
                  <c:v>0</c:v>
                </c:pt>
                <c:pt idx="6">
                  <c:v>13348403.394471239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E63-4DE8-9404-327E26D048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#,##0,,&quot;M&quot;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56</xdr:row>
      <xdr:rowOff>0</xdr:rowOff>
    </xdr:from>
    <xdr:ext cx="576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56</xdr:row>
      <xdr:rowOff>0</xdr:rowOff>
    </xdr:from>
    <xdr:ext cx="576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72</xdr:row>
      <xdr:rowOff>0</xdr:rowOff>
    </xdr:from>
    <xdr:ext cx="5760000" cy="27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5</xdr:col>
      <xdr:colOff>0</xdr:colOff>
      <xdr:row>72</xdr:row>
      <xdr:rowOff>0</xdr:rowOff>
    </xdr:from>
    <xdr:ext cx="5760000" cy="270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88</xdr:row>
      <xdr:rowOff>0</xdr:rowOff>
    </xdr:from>
    <xdr:ext cx="5760000" cy="270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B1A33"/>
  </sheetPr>
  <dimension ref="A1:C28"/>
  <sheetViews>
    <sheetView showGridLines="0" tabSelected="1" workbookViewId="0"/>
  </sheetViews>
  <sheetFormatPr defaultRowHeight="14.4" x14ac:dyDescent="0.3"/>
  <cols>
    <col min="1" max="1" width="3" customWidth="1"/>
    <col min="2" max="2" width="34" customWidth="1"/>
    <col min="3" max="3" width="80" customWidth="1"/>
  </cols>
  <sheetData>
    <row r="1" spans="1:3" x14ac:dyDescent="0.3">
      <c r="A1" s="1"/>
      <c r="B1" s="1"/>
      <c r="C1" s="1"/>
    </row>
    <row r="2" spans="1:3" x14ac:dyDescent="0.3">
      <c r="A2" s="1"/>
      <c r="B2" s="2" t="s">
        <v>0</v>
      </c>
      <c r="C2" s="1"/>
    </row>
    <row r="3" spans="1:3" ht="24.6" x14ac:dyDescent="0.4">
      <c r="A3" s="1"/>
      <c r="B3" s="3" t="s">
        <v>1</v>
      </c>
      <c r="C3" s="1"/>
    </row>
    <row r="4" spans="1:3" x14ac:dyDescent="0.3">
      <c r="A4" s="1"/>
      <c r="B4" s="1"/>
      <c r="C4" s="1"/>
    </row>
    <row r="5" spans="1:3" ht="26.4" x14ac:dyDescent="0.3">
      <c r="A5" s="1"/>
      <c r="B5" s="4" t="s">
        <v>2</v>
      </c>
      <c r="C5" s="5" t="s">
        <v>3</v>
      </c>
    </row>
    <row r="6" spans="1:3" x14ac:dyDescent="0.3">
      <c r="A6" s="1"/>
      <c r="B6" s="4" t="s">
        <v>4</v>
      </c>
      <c r="C6" s="5" t="s">
        <v>5</v>
      </c>
    </row>
    <row r="7" spans="1:3" x14ac:dyDescent="0.3">
      <c r="A7" s="1"/>
      <c r="B7" s="4" t="s">
        <v>6</v>
      </c>
      <c r="C7" s="5" t="s">
        <v>7</v>
      </c>
    </row>
    <row r="8" spans="1:3" x14ac:dyDescent="0.3">
      <c r="A8" s="1"/>
      <c r="B8" s="4" t="s">
        <v>8</v>
      </c>
      <c r="C8" s="5" t="s">
        <v>9</v>
      </c>
    </row>
    <row r="9" spans="1:3" ht="39.6" x14ac:dyDescent="0.3">
      <c r="A9" s="1"/>
      <c r="B9" s="4" t="s">
        <v>10</v>
      </c>
      <c r="C9" s="5" t="s">
        <v>11</v>
      </c>
    </row>
    <row r="10" spans="1:3" ht="26.4" x14ac:dyDescent="0.3">
      <c r="A10" s="1"/>
      <c r="B10" s="4" t="s">
        <v>12</v>
      </c>
      <c r="C10" s="5" t="s">
        <v>13</v>
      </c>
    </row>
    <row r="11" spans="1:3" x14ac:dyDescent="0.3">
      <c r="A11" s="1"/>
      <c r="B11" s="4" t="s">
        <v>14</v>
      </c>
      <c r="C11" s="5" t="s">
        <v>15</v>
      </c>
    </row>
    <row r="12" spans="1:3" ht="26.4" x14ac:dyDescent="0.3">
      <c r="A12" s="1"/>
      <c r="B12" s="4" t="s">
        <v>16</v>
      </c>
      <c r="C12" s="5" t="s">
        <v>17</v>
      </c>
    </row>
    <row r="13" spans="1:3" x14ac:dyDescent="0.3">
      <c r="A13" s="1"/>
      <c r="B13" s="1"/>
      <c r="C13" s="1"/>
    </row>
    <row r="14" spans="1:3" x14ac:dyDescent="0.3">
      <c r="A14" s="1"/>
      <c r="B14" s="4" t="s">
        <v>18</v>
      </c>
      <c r="C14" s="1"/>
    </row>
    <row r="15" spans="1:3" x14ac:dyDescent="0.3">
      <c r="A15" s="1"/>
      <c r="B15" s="6" t="s">
        <v>19</v>
      </c>
      <c r="C15" s="7" t="s">
        <v>20</v>
      </c>
    </row>
    <row r="16" spans="1:3" x14ac:dyDescent="0.3">
      <c r="A16" s="1"/>
      <c r="B16" s="6" t="s">
        <v>21</v>
      </c>
      <c r="C16" s="7" t="s">
        <v>22</v>
      </c>
    </row>
    <row r="17" spans="1:3" x14ac:dyDescent="0.3">
      <c r="A17" s="1"/>
      <c r="B17" s="6" t="s">
        <v>23</v>
      </c>
      <c r="C17" s="7" t="s">
        <v>24</v>
      </c>
    </row>
    <row r="18" spans="1:3" x14ac:dyDescent="0.3">
      <c r="A18" s="1"/>
      <c r="B18" s="6" t="s">
        <v>25</v>
      </c>
      <c r="C18" s="7" t="s">
        <v>26</v>
      </c>
    </row>
    <row r="19" spans="1:3" x14ac:dyDescent="0.3">
      <c r="A19" s="1"/>
      <c r="B19" s="6" t="s">
        <v>27</v>
      </c>
      <c r="C19" s="7" t="s">
        <v>28</v>
      </c>
    </row>
    <row r="20" spans="1:3" x14ac:dyDescent="0.3">
      <c r="A20" s="1"/>
      <c r="B20" s="6" t="s">
        <v>29</v>
      </c>
      <c r="C20" s="7" t="s">
        <v>30</v>
      </c>
    </row>
    <row r="21" spans="1:3" x14ac:dyDescent="0.3">
      <c r="A21" s="1"/>
      <c r="B21" s="6" t="s">
        <v>31</v>
      </c>
      <c r="C21" s="7" t="s">
        <v>32</v>
      </c>
    </row>
    <row r="22" spans="1:3" x14ac:dyDescent="0.3">
      <c r="A22" s="1"/>
      <c r="B22" s="6" t="s">
        <v>33</v>
      </c>
      <c r="C22" s="7" t="s">
        <v>34</v>
      </c>
    </row>
    <row r="23" spans="1:3" x14ac:dyDescent="0.3">
      <c r="A23" s="1"/>
      <c r="B23" s="6" t="s">
        <v>35</v>
      </c>
      <c r="C23" s="7" t="s">
        <v>36</v>
      </c>
    </row>
    <row r="24" spans="1:3" x14ac:dyDescent="0.3">
      <c r="A24" s="1"/>
      <c r="B24" s="1"/>
      <c r="C24" s="1"/>
    </row>
    <row r="25" spans="1:3" x14ac:dyDescent="0.3">
      <c r="A25" s="1"/>
      <c r="B25" s="4" t="s">
        <v>37</v>
      </c>
      <c r="C25" s="1"/>
    </row>
    <row r="26" spans="1:3" x14ac:dyDescent="0.3">
      <c r="A26" s="1"/>
      <c r="B26" s="8" t="s">
        <v>38</v>
      </c>
      <c r="C26" s="7" t="s">
        <v>39</v>
      </c>
    </row>
    <row r="27" spans="1:3" x14ac:dyDescent="0.3">
      <c r="A27" s="1"/>
      <c r="B27" s="7" t="s">
        <v>38</v>
      </c>
      <c r="C27" s="7" t="s">
        <v>40</v>
      </c>
    </row>
    <row r="28" spans="1:3" x14ac:dyDescent="0.3">
      <c r="A28" s="1"/>
      <c r="B28" s="9" t="s">
        <v>41</v>
      </c>
      <c r="C28" s="7" t="s">
        <v>42</v>
      </c>
    </row>
  </sheetData>
  <hyperlinks>
    <hyperlink ref="B15" location="'Outputs'!A1" display="Outputs" xr:uid="{00000000-0004-0000-0000-000000000000}"/>
    <hyperlink ref="B16" location="'Assumptions'!A1" display="Assumptions" xr:uid="{00000000-0004-0000-0000-000001000000}"/>
    <hyperlink ref="B17" location="'Development'!A1" display="Development" xr:uid="{00000000-0004-0000-0000-000002000000}"/>
    <hyperlink ref="B18" location="'Construction'!A1" display="Construction" xr:uid="{00000000-0004-0000-0000-000003000000}"/>
    <hyperlink ref="B19" location="'Sales'!A1" display="Sales" xr:uid="{00000000-0004-0000-0000-000004000000}"/>
    <hyperlink ref="B20" location="'Cash Flow'!A1" display="Cash Flow" xr:uid="{00000000-0004-0000-0000-000005000000}"/>
    <hyperlink ref="B21" location="'Waterfall'!A1" display="Waterfall" xr:uid="{00000000-0004-0000-0000-000006000000}"/>
    <hyperlink ref="B22" location="'Budget'!A1" display="Budget" xr:uid="{00000000-0004-0000-0000-000007000000}"/>
    <hyperlink ref="B23" location="'Sensitivity'!A1" display="Sensitivity" xr:uid="{00000000-0004-0000-0000-000008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B6834"/>
  </sheetPr>
  <dimension ref="A1:L54"/>
  <sheetViews>
    <sheetView showGridLines="0" workbookViewId="0"/>
  </sheetViews>
  <sheetFormatPr defaultRowHeight="14.4" x14ac:dyDescent="0.3"/>
  <cols>
    <col min="1" max="1" width="40" customWidth="1"/>
    <col min="2" max="4" width="18" customWidth="1"/>
    <col min="5" max="10" width="14" customWidth="1"/>
  </cols>
  <sheetData>
    <row r="1" spans="1:12" ht="21" x14ac:dyDescent="0.4">
      <c r="A1" s="10" t="s">
        <v>43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x14ac:dyDescent="0.3">
      <c r="A2" s="11" t="s">
        <v>44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x14ac:dyDescent="0.3">
      <c r="A4" s="12" t="s">
        <v>45</v>
      </c>
      <c r="B4" s="12" t="s">
        <v>46</v>
      </c>
      <c r="C4" s="12" t="s">
        <v>47</v>
      </c>
      <c r="D4" s="12" t="s">
        <v>48</v>
      </c>
      <c r="E4" s="12" t="s">
        <v>49</v>
      </c>
      <c r="F4" s="1"/>
      <c r="G4" s="1"/>
      <c r="H4" s="1"/>
      <c r="I4" s="1"/>
      <c r="J4" s="1"/>
      <c r="K4" s="1"/>
      <c r="L4" s="1"/>
    </row>
    <row r="5" spans="1:12" x14ac:dyDescent="0.3">
      <c r="A5" s="13" t="s">
        <v>50</v>
      </c>
      <c r="B5" s="14"/>
      <c r="C5" s="14"/>
      <c r="D5" s="14"/>
      <c r="E5" s="14"/>
      <c r="F5" s="1"/>
      <c r="G5" s="1"/>
      <c r="H5" s="1"/>
      <c r="I5" s="1"/>
      <c r="J5" s="1"/>
      <c r="K5" s="1"/>
      <c r="L5" s="1"/>
    </row>
    <row r="6" spans="1:12" x14ac:dyDescent="0.3">
      <c r="A6" s="7" t="s">
        <v>51</v>
      </c>
      <c r="B6" s="15">
        <f>IFERROR((1+IRR(M_Unlev,0.01))^12-1,"n/a")</f>
        <v>0.25173235990471099</v>
      </c>
      <c r="C6" s="16">
        <v>0.25173235990471138</v>
      </c>
      <c r="D6" s="17">
        <f t="shared" ref="D6:D11" si="0">IFERROR(B6-C6,"")</f>
        <v>-3.8857805861880479E-16</v>
      </c>
      <c r="E6" s="11" t="str">
        <f t="shared" ref="E6:E11" si="1">IFERROR(IF(IF(ABS(C6)&lt;10,ABS(B6-C6)&lt;=0.0005,ABS(B6-C6)&lt;=MAX(1,ABS(C6)*0.002)),"✓ matches","changed"),"")</f>
        <v>✓ matches</v>
      </c>
      <c r="F6" s="1"/>
      <c r="G6" s="1"/>
      <c r="H6" s="1"/>
      <c r="I6" s="1"/>
      <c r="J6" s="1"/>
      <c r="K6" s="1"/>
      <c r="L6" s="1"/>
    </row>
    <row r="7" spans="1:12" x14ac:dyDescent="0.3">
      <c r="A7" s="7" t="s">
        <v>52</v>
      </c>
      <c r="B7" s="15">
        <f ca="1">IFERROR((1+IRR(M_Lev,0.01))^12-1,"n/a")</f>
        <v>0.24913765216021377</v>
      </c>
      <c r="C7" s="16">
        <v>0.24913765217686379</v>
      </c>
      <c r="D7" s="17">
        <f t="shared" ca="1" si="0"/>
        <v>-1.6650014700303473E-11</v>
      </c>
      <c r="E7" s="11" t="str">
        <f t="shared" ca="1" si="1"/>
        <v>✓ matches</v>
      </c>
      <c r="F7" s="1"/>
      <c r="G7" s="1"/>
      <c r="H7" s="1"/>
      <c r="I7" s="1"/>
      <c r="J7" s="1"/>
      <c r="K7" s="1"/>
      <c r="L7" s="1"/>
    </row>
    <row r="8" spans="1:12" x14ac:dyDescent="0.3">
      <c r="A8" s="7" t="s">
        <v>53</v>
      </c>
      <c r="B8" s="18">
        <f ca="1">IF(SUM(M_Contrib)&gt;0,SUM(M_Dist)/SUM(M_Contrib),0)</f>
        <v>1.677059325982758</v>
      </c>
      <c r="C8" s="19">
        <v>1.677059326146157</v>
      </c>
      <c r="D8" s="20">
        <f t="shared" ca="1" si="0"/>
        <v>-1.6339907205065174E-10</v>
      </c>
      <c r="E8" s="11" t="str">
        <f t="shared" ca="1" si="1"/>
        <v>✓ matches</v>
      </c>
      <c r="F8" s="1"/>
      <c r="G8" s="1"/>
      <c r="H8" s="1"/>
      <c r="I8" s="1"/>
      <c r="J8" s="1"/>
      <c r="K8" s="1"/>
      <c r="L8" s="1"/>
    </row>
    <row r="9" spans="1:12" x14ac:dyDescent="0.3">
      <c r="A9" s="7" t="s">
        <v>54</v>
      </c>
      <c r="B9" s="21">
        <f>INDEX(M_Unlev,1,1)+NPV((1+in_val_discount_rate_pct)^(1/12)-1,'Cash Flow'!$E$26:$CU$26)</f>
        <v>122451850.85057235</v>
      </c>
      <c r="C9" s="22">
        <v>122451850.8505725</v>
      </c>
      <c r="D9" s="23">
        <f t="shared" si="0"/>
        <v>-1.4901161193847656E-7</v>
      </c>
      <c r="E9" s="11" t="str">
        <f t="shared" si="1"/>
        <v>✓ matches</v>
      </c>
      <c r="F9" s="1"/>
      <c r="G9" s="1"/>
      <c r="H9" s="1"/>
      <c r="I9" s="1"/>
      <c r="J9" s="1"/>
      <c r="K9" s="1"/>
      <c r="L9" s="1"/>
    </row>
    <row r="10" spans="1:12" x14ac:dyDescent="0.3">
      <c r="A10" s="7" t="s">
        <v>55</v>
      </c>
      <c r="B10" s="15">
        <f ca="1">IFERROR((1+IRR(M_Investor,0.01))^12-1,"n/a")</f>
        <v>0.22143822019776294</v>
      </c>
      <c r="C10" s="16">
        <v>0.22143822021361911</v>
      </c>
      <c r="D10" s="17">
        <f t="shared" ca="1" si="0"/>
        <v>-1.585617748212087E-11</v>
      </c>
      <c r="E10" s="11" t="str">
        <f t="shared" ca="1" si="1"/>
        <v>✓ matches</v>
      </c>
      <c r="F10" s="1"/>
      <c r="G10" s="1"/>
      <c r="H10" s="1"/>
      <c r="I10" s="1"/>
      <c r="J10" s="1"/>
      <c r="K10" s="1"/>
      <c r="L10" s="1"/>
    </row>
    <row r="11" spans="1:12" x14ac:dyDescent="0.3">
      <c r="A11" s="7" t="s">
        <v>56</v>
      </c>
      <c r="B11" s="15">
        <f ca="1">IFERROR((1+IRR(M_Sponsor,0.01))^12-1,"n/a")</f>
        <v>0.35174459795644242</v>
      </c>
      <c r="C11" s="16">
        <v>0.35174459798212898</v>
      </c>
      <c r="D11" s="17">
        <f t="shared" ca="1" si="0"/>
        <v>-2.5686563986937472E-11</v>
      </c>
      <c r="E11" s="11" t="str">
        <f t="shared" ca="1" si="1"/>
        <v>✓ matches</v>
      </c>
      <c r="F11" s="1"/>
      <c r="G11" s="1"/>
      <c r="H11" s="1"/>
      <c r="I11" s="1"/>
      <c r="J11" s="1"/>
      <c r="K11" s="1"/>
      <c r="L11" s="1"/>
    </row>
    <row r="12" spans="1:12" x14ac:dyDescent="0.3">
      <c r="A12" s="13" t="s">
        <v>57</v>
      </c>
      <c r="B12" s="14"/>
      <c r="C12" s="14"/>
      <c r="D12" s="14"/>
      <c r="E12" s="14"/>
      <c r="F12" s="1"/>
      <c r="G12" s="1"/>
      <c r="H12" s="1"/>
      <c r="I12" s="1"/>
      <c r="J12" s="1"/>
      <c r="K12" s="1"/>
      <c r="L12" s="1"/>
    </row>
    <row r="13" spans="1:12" x14ac:dyDescent="0.3">
      <c r="A13" s="7" t="s">
        <v>58</v>
      </c>
      <c r="B13" s="21">
        <f>IF(in_mode_sale=1,S_GDV,R_ExitValue)</f>
        <v>1036481351.8134278</v>
      </c>
      <c r="C13" s="22">
        <v>1036481351.813428</v>
      </c>
      <c r="D13" s="23">
        <f t="shared" ref="D13:D20" si="2">IFERROR(B13-C13,"")</f>
        <v>-2.384185791015625E-7</v>
      </c>
      <c r="E13" s="11" t="str">
        <f t="shared" ref="E13:E20" si="3">IFERROR(IF(IF(ABS(C13)&lt;10,ABS(B13-C13)&lt;=0.0005,ABS(B13-C13)&lt;=MAX(1,ABS(C13)*0.002)),"✓ matches","changed"),"")</f>
        <v>✓ matches</v>
      </c>
      <c r="F13" s="1"/>
      <c r="G13" s="1"/>
      <c r="H13" s="1"/>
      <c r="I13" s="1"/>
      <c r="J13" s="1"/>
      <c r="K13" s="1"/>
      <c r="L13" s="1"/>
    </row>
    <row r="14" spans="1:12" x14ac:dyDescent="0.3">
      <c r="A14" s="7" t="s">
        <v>59</v>
      </c>
      <c r="B14" s="21">
        <f>SUM(M_Inflow)</f>
        <v>1036481351.8134279</v>
      </c>
      <c r="C14" s="22">
        <v>1036481351.813428</v>
      </c>
      <c r="D14" s="23">
        <f t="shared" si="2"/>
        <v>-1.1920928955078125E-7</v>
      </c>
      <c r="E14" s="11" t="str">
        <f t="shared" si="3"/>
        <v>✓ matches</v>
      </c>
      <c r="F14" s="1"/>
      <c r="G14" s="1"/>
      <c r="H14" s="1"/>
      <c r="I14" s="1"/>
      <c r="J14" s="1"/>
      <c r="K14" s="1"/>
      <c r="L14" s="1"/>
    </row>
    <row r="15" spans="1:12" x14ac:dyDescent="0.3">
      <c r="A15" s="7" t="s">
        <v>60</v>
      </c>
      <c r="B15" s="21">
        <f>TDC</f>
        <v>741893851.70836401</v>
      </c>
      <c r="C15" s="22">
        <v>741893851.70836377</v>
      </c>
      <c r="D15" s="23">
        <f t="shared" si="2"/>
        <v>2.384185791015625E-7</v>
      </c>
      <c r="E15" s="11" t="str">
        <f t="shared" si="3"/>
        <v>✓ matches</v>
      </c>
      <c r="F15" s="1"/>
      <c r="G15" s="1"/>
      <c r="H15" s="1"/>
      <c r="I15" s="1"/>
      <c r="J15" s="1"/>
      <c r="K15" s="1"/>
      <c r="L15" s="1"/>
    </row>
    <row r="16" spans="1:12" x14ac:dyDescent="0.3">
      <c r="A16" s="7" t="s">
        <v>61</v>
      </c>
      <c r="B16" s="21">
        <f ca="1">FinCost</f>
        <v>13348403.394471239</v>
      </c>
      <c r="C16" s="22">
        <v>13348403.403933469</v>
      </c>
      <c r="D16" s="23">
        <f t="shared" ca="1" si="2"/>
        <v>-9.4622299075126648E-3</v>
      </c>
      <c r="E16" s="11" t="str">
        <f t="shared" ca="1" si="3"/>
        <v>✓ matches</v>
      </c>
      <c r="F16" s="1"/>
      <c r="G16" s="1"/>
      <c r="H16" s="1"/>
      <c r="I16" s="1"/>
      <c r="J16" s="1"/>
      <c r="K16" s="1"/>
      <c r="L16" s="1"/>
    </row>
    <row r="17" spans="1:12" x14ac:dyDescent="0.3">
      <c r="A17" s="7" t="s">
        <v>62</v>
      </c>
      <c r="B17" s="21">
        <f ca="1">TotalCost</f>
        <v>755242255.1028353</v>
      </c>
      <c r="C17" s="22">
        <v>755242255.1122973</v>
      </c>
      <c r="D17" s="23">
        <f t="shared" ca="1" si="2"/>
        <v>-9.4619989395141602E-3</v>
      </c>
      <c r="E17" s="11" t="str">
        <f t="shared" ca="1" si="3"/>
        <v>✓ matches</v>
      </c>
      <c r="F17" s="1"/>
      <c r="G17" s="1"/>
      <c r="H17" s="1"/>
      <c r="I17" s="1"/>
      <c r="J17" s="1"/>
      <c r="K17" s="1"/>
      <c r="L17" s="1"/>
    </row>
    <row r="18" spans="1:12" x14ac:dyDescent="0.3">
      <c r="A18" s="7" t="s">
        <v>63</v>
      </c>
      <c r="B18" s="21">
        <f ca="1">SUM(M_Inflow)-TotalCost</f>
        <v>281239096.71059263</v>
      </c>
      <c r="C18" s="22">
        <v>281239096.70113051</v>
      </c>
      <c r="D18" s="23">
        <f t="shared" ca="1" si="2"/>
        <v>9.4621181488037109E-3</v>
      </c>
      <c r="E18" s="11" t="str">
        <f t="shared" ca="1" si="3"/>
        <v>✓ matches</v>
      </c>
      <c r="F18" s="1"/>
      <c r="G18" s="1"/>
      <c r="H18" s="1"/>
      <c r="I18" s="1"/>
      <c r="J18" s="1"/>
      <c r="K18" s="1"/>
      <c r="L18" s="1"/>
    </row>
    <row r="19" spans="1:12" x14ac:dyDescent="0.3">
      <c r="A19" s="7" t="s">
        <v>64</v>
      </c>
      <c r="B19" s="15">
        <f ca="1">IF(SUM(M_Inflow)&lt;&gt;0,(SUM(M_Inflow)-TotalCost)/SUM(M_Inflow),0)</f>
        <v>0.27134023802602592</v>
      </c>
      <c r="C19" s="16">
        <v>0.27134023801689688</v>
      </c>
      <c r="D19" s="17">
        <f t="shared" ca="1" si="2"/>
        <v>9.1290308645852747E-12</v>
      </c>
      <c r="E19" s="11" t="str">
        <f t="shared" ca="1" si="3"/>
        <v>✓ matches</v>
      </c>
      <c r="F19" s="1"/>
      <c r="G19" s="1"/>
      <c r="H19" s="1"/>
      <c r="I19" s="1"/>
      <c r="J19" s="1"/>
      <c r="K19" s="1"/>
      <c r="L19" s="1"/>
    </row>
    <row r="20" spans="1:12" x14ac:dyDescent="0.3">
      <c r="A20" s="7" t="s">
        <v>65</v>
      </c>
      <c r="B20" s="15">
        <f ca="1">IF(TotalCost&lt;&gt;0,(SUM(M_Inflow)-TotalCost)/TotalCost,0)</f>
        <v>0.37238262929594496</v>
      </c>
      <c r="C20" s="16">
        <v>0.37238262927875099</v>
      </c>
      <c r="D20" s="17">
        <f t="shared" ca="1" si="2"/>
        <v>1.7193968471218568E-11</v>
      </c>
      <c r="E20" s="11" t="str">
        <f t="shared" ca="1" si="3"/>
        <v>✓ matches</v>
      </c>
      <c r="F20" s="1"/>
      <c r="G20" s="1"/>
      <c r="H20" s="1"/>
      <c r="I20" s="1"/>
      <c r="J20" s="1"/>
      <c r="K20" s="1"/>
      <c r="L20" s="1"/>
    </row>
    <row r="21" spans="1:12" x14ac:dyDescent="0.3">
      <c r="A21" s="13" t="s">
        <v>66</v>
      </c>
      <c r="B21" s="14"/>
      <c r="C21" s="14"/>
      <c r="D21" s="14"/>
      <c r="E21" s="14"/>
      <c r="F21" s="1"/>
      <c r="G21" s="1"/>
      <c r="H21" s="1"/>
      <c r="I21" s="1"/>
      <c r="J21" s="1"/>
      <c r="K21" s="1"/>
      <c r="L21" s="1"/>
    </row>
    <row r="22" spans="1:12" x14ac:dyDescent="0.3">
      <c r="A22" s="7" t="s">
        <v>67</v>
      </c>
      <c r="B22" s="21">
        <f>MAX(0,-MIN(M_CumUnlev))</f>
        <v>485181390.49303985</v>
      </c>
      <c r="C22" s="22">
        <v>485181390.49304003</v>
      </c>
      <c r="D22" s="23">
        <f>IFERROR(B22-C22,"")</f>
        <v>-1.7881393432617188E-7</v>
      </c>
      <c r="E22" s="11" t="str">
        <f>IFERROR(IF(IF(ABS(C22)&lt;10,ABS(B22-C22)&lt;=0.0005,ABS(B22-C22)&lt;=MAX(1,ABS(C22)*0.002)),"✓ matches","changed"),"")</f>
        <v>✓ matches</v>
      </c>
      <c r="F22" s="1"/>
      <c r="G22" s="1"/>
      <c r="H22" s="1"/>
      <c r="I22" s="1"/>
      <c r="J22" s="1"/>
      <c r="K22" s="1"/>
      <c r="L22" s="1"/>
    </row>
    <row r="23" spans="1:12" x14ac:dyDescent="0.3">
      <c r="A23" s="7" t="s">
        <v>68</v>
      </c>
      <c r="B23" s="21">
        <f ca="1">MAX(0,MAX(M_NetEquity))</f>
        <v>415383240.30660838</v>
      </c>
      <c r="C23" s="22">
        <v>415383240.19839191</v>
      </c>
      <c r="D23" s="23">
        <f ca="1">IFERROR(B23-C23,"")</f>
        <v>0.10821646451950073</v>
      </c>
      <c r="E23" s="11" t="str">
        <f ca="1">IFERROR(IF(IF(ABS(C23)&lt;10,ABS(B23-C23)&lt;=0.0005,ABS(B23-C23)&lt;=MAX(1,ABS(C23)*0.002)),"✓ matches","changed"),"")</f>
        <v>✓ matches</v>
      </c>
      <c r="F23" s="1"/>
      <c r="G23" s="1"/>
      <c r="H23" s="1"/>
      <c r="I23" s="1"/>
      <c r="J23" s="1"/>
      <c r="K23" s="1"/>
      <c r="L23" s="1"/>
    </row>
    <row r="24" spans="1:12" x14ac:dyDescent="0.3">
      <c r="A24" s="7" t="s">
        <v>69</v>
      </c>
      <c r="B24" s="21">
        <f ca="1">SUM(M_Contrib)</f>
        <v>415383240.30660838</v>
      </c>
      <c r="C24" s="22">
        <v>415383240.19839191</v>
      </c>
      <c r="D24" s="23">
        <f ca="1">IFERROR(B24-C24,"")</f>
        <v>0.10821646451950073</v>
      </c>
      <c r="E24" s="11" t="str">
        <f ca="1">IFERROR(IF(IF(ABS(C24)&lt;10,ABS(B24-C24)&lt;=0.0005,ABS(B24-C24)&lt;=MAX(1,ABS(C24)*0.002)),"✓ matches","changed"),"")</f>
        <v>✓ matches</v>
      </c>
      <c r="F24" s="1"/>
      <c r="G24" s="1"/>
      <c r="H24" s="1"/>
      <c r="I24" s="1"/>
      <c r="J24" s="1"/>
      <c r="K24" s="1"/>
      <c r="L24" s="1"/>
    </row>
    <row r="25" spans="1:12" x14ac:dyDescent="0.3">
      <c r="A25" s="7" t="s">
        <v>70</v>
      </c>
      <c r="B25" s="21">
        <f ca="1">F_SeniorCommit</f>
        <v>339859014.7963165</v>
      </c>
      <c r="C25" s="22">
        <v>339859014.70777518</v>
      </c>
      <c r="D25" s="23">
        <f ca="1">IFERROR(B25-C25,"")</f>
        <v>8.8541328907012939E-2</v>
      </c>
      <c r="E25" s="11" t="str">
        <f ca="1">IFERROR(IF(IF(ABS(C25)&lt;10,ABS(B25-C25)&lt;=0.0005,ABS(B25-C25)&lt;=MAX(1,ABS(C25)*0.002)),"✓ matches","changed"),"")</f>
        <v>✓ matches</v>
      </c>
      <c r="F25" s="1"/>
      <c r="G25" s="1"/>
      <c r="H25" s="1"/>
      <c r="I25" s="1"/>
      <c r="J25" s="1"/>
      <c r="K25" s="1"/>
      <c r="L25" s="1"/>
    </row>
    <row r="26" spans="1:12" x14ac:dyDescent="0.3">
      <c r="A26" s="7" t="s">
        <v>71</v>
      </c>
      <c r="B26" s="21">
        <f ca="1">MAX(0,MAX(M_Senior))</f>
        <v>81872637.483925998</v>
      </c>
      <c r="C26" s="1"/>
      <c r="D26" s="1"/>
      <c r="E26" s="1"/>
      <c r="F26" s="1"/>
      <c r="G26" s="1"/>
      <c r="H26" s="1"/>
      <c r="I26" s="1"/>
      <c r="J26" s="1"/>
      <c r="K26" s="1"/>
      <c r="L26" s="1"/>
    </row>
    <row r="27" spans="1:12" x14ac:dyDescent="0.3">
      <c r="A27" s="7" t="s">
        <v>72</v>
      </c>
      <c r="B27" s="15">
        <f ca="1">IF(TotalCost&lt;&gt;0,F_SeniorCommit/TotalCost,0)</f>
        <v>0.4500000000000538</v>
      </c>
      <c r="C27" s="16">
        <v>0.44999999987718031</v>
      </c>
      <c r="D27" s="17">
        <f ca="1">IFERROR(B27-C27,"")</f>
        <v>1.2287348916117935E-10</v>
      </c>
      <c r="E27" s="11" t="str">
        <f ca="1">IFERROR(IF(IF(ABS(C27)&lt;10,ABS(B27-C27)&lt;=0.0005,ABS(B27-C27)&lt;=MAX(1,ABS(C27)*0.002)),"✓ matches","changed"),"")</f>
        <v>✓ matches</v>
      </c>
      <c r="F27" s="1"/>
      <c r="G27" s="1"/>
      <c r="H27" s="1"/>
      <c r="I27" s="1"/>
      <c r="J27" s="1"/>
      <c r="K27" s="1"/>
      <c r="L27" s="1"/>
    </row>
    <row r="28" spans="1:12" x14ac:dyDescent="0.3">
      <c r="A28" s="7" t="s">
        <v>73</v>
      </c>
      <c r="B28" s="21">
        <f ca="1">'Cash Flow'!B45</f>
        <v>0</v>
      </c>
      <c r="C28" s="22">
        <v>0</v>
      </c>
      <c r="D28" s="23">
        <f ca="1">IFERROR(B28-C28,"")</f>
        <v>0</v>
      </c>
      <c r="E28" s="11" t="str">
        <f ca="1">IFERROR(IF(IF(ABS(C28)&lt;10,ABS(B28-C28)&lt;=0.0005,ABS(B28-C28)&lt;=MAX(1,ABS(C28)*0.002)),"✓ matches","changed"),"")</f>
        <v>✓ matches</v>
      </c>
      <c r="F28" s="1"/>
      <c r="G28" s="1"/>
      <c r="H28" s="1"/>
      <c r="I28" s="1"/>
      <c r="J28" s="1"/>
      <c r="K28" s="1"/>
      <c r="L28" s="1"/>
    </row>
    <row r="29" spans="1:12" x14ac:dyDescent="0.3">
      <c r="A29" s="13" t="s">
        <v>74</v>
      </c>
      <c r="B29" s="14"/>
      <c r="C29" s="14"/>
      <c r="D29" s="14"/>
      <c r="E29" s="14"/>
      <c r="F29" s="1"/>
      <c r="G29" s="1"/>
      <c r="H29" s="1"/>
      <c r="I29" s="1"/>
      <c r="J29" s="1"/>
      <c r="K29" s="1"/>
      <c r="L29" s="1"/>
    </row>
    <row r="30" spans="1:12" x14ac:dyDescent="0.3">
      <c r="A30" s="7" t="s">
        <v>75</v>
      </c>
      <c r="B30" s="21">
        <f>D_Units</f>
        <v>75</v>
      </c>
      <c r="C30" s="22">
        <v>75</v>
      </c>
      <c r="D30" s="23">
        <f>IFERROR(B30-C30,"")</f>
        <v>0</v>
      </c>
      <c r="E30" s="11" t="str">
        <f>IFERROR(IF(IF(ABS(C30)&lt;10,ABS(B30-C30)&lt;=0.0005,ABS(B30-C30)&lt;=MAX(1,ABS(C30)*0.002)),"✓ matches","changed"),"")</f>
        <v>✓ matches</v>
      </c>
      <c r="F30" s="1"/>
      <c r="G30" s="1"/>
      <c r="H30" s="1"/>
      <c r="I30" s="1"/>
      <c r="J30" s="1"/>
      <c r="K30" s="1"/>
      <c r="L30" s="1"/>
    </row>
    <row r="31" spans="1:12" x14ac:dyDescent="0.3">
      <c r="A31" s="7" t="s">
        <v>76</v>
      </c>
      <c r="B31" s="21">
        <f>D_Saleable</f>
        <v>8651</v>
      </c>
      <c r="C31" s="22">
        <v>8651</v>
      </c>
      <c r="D31" s="23">
        <f>IFERROR(B31-C31,"")</f>
        <v>0</v>
      </c>
      <c r="E31" s="11" t="str">
        <f>IFERROR(IF(IF(ABS(C31)&lt;10,ABS(B31-C31)&lt;=0.0005,ABS(B31-C31)&lt;=MAX(1,ABS(C31)*0.002)),"✓ matches","changed"),"")</f>
        <v>✓ matches</v>
      </c>
      <c r="F31" s="1"/>
      <c r="G31" s="1"/>
      <c r="H31" s="1"/>
      <c r="I31" s="1"/>
      <c r="J31" s="1"/>
      <c r="K31" s="1"/>
      <c r="L31" s="1"/>
    </row>
    <row r="32" spans="1:12" x14ac:dyDescent="0.3">
      <c r="A32" s="7" t="s">
        <v>77</v>
      </c>
      <c r="B32" s="21">
        <f>T_Delivery</f>
        <v>32</v>
      </c>
      <c r="C32" s="22">
        <v>32</v>
      </c>
      <c r="D32" s="23">
        <f>IFERROR(B32-C32,"")</f>
        <v>0</v>
      </c>
      <c r="E32" s="11" t="str">
        <f>IFERROR(IF(IF(ABS(C32)&lt;10,ABS(B32-C32)&lt;=0.0005,ABS(B32-C32)&lt;=MAX(1,ABS(C32)*0.002)),"✓ matches","changed"),"")</f>
        <v>✓ matches</v>
      </c>
      <c r="F32" s="1"/>
      <c r="G32" s="1"/>
      <c r="H32" s="1"/>
      <c r="I32" s="1"/>
      <c r="J32" s="1"/>
      <c r="K32" s="1"/>
      <c r="L32" s="1"/>
    </row>
    <row r="33" spans="1:12" x14ac:dyDescent="0.3">
      <c r="A33" s="7" t="s">
        <v>78</v>
      </c>
      <c r="B33" s="21">
        <f>T_End</f>
        <v>32</v>
      </c>
      <c r="C33" s="22">
        <v>32</v>
      </c>
      <c r="D33" s="23">
        <f>IFERROR(B33-C33,"")</f>
        <v>0</v>
      </c>
      <c r="E33" s="11" t="str">
        <f>IFERROR(IF(IF(ABS(C33)&lt;10,ABS(B33-C33)&lt;=0.0005,ABS(B33-C33)&lt;=MAX(1,ABS(C33)*0.002)),"✓ matches","changed"),"")</f>
        <v>✓ matches</v>
      </c>
      <c r="F33" s="1"/>
      <c r="G33" s="1"/>
      <c r="H33" s="1"/>
      <c r="I33" s="1"/>
      <c r="J33" s="1"/>
      <c r="K33" s="1"/>
      <c r="L33" s="1"/>
    </row>
    <row r="34" spans="1:12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</row>
    <row r="35" spans="1:12" x14ac:dyDescent="0.3">
      <c r="A35" s="11" t="s">
        <v>79</v>
      </c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</row>
    <row r="36" spans="1:12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</row>
    <row r="37" spans="1:12" x14ac:dyDescent="0.3">
      <c r="A37" s="13" t="s">
        <v>80</v>
      </c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</row>
    <row r="38" spans="1:12" x14ac:dyDescent="0.3">
      <c r="A38" s="12" t="s">
        <v>81</v>
      </c>
      <c r="B38" s="24" t="s">
        <v>82</v>
      </c>
      <c r="C38" s="24" t="s">
        <v>83</v>
      </c>
      <c r="D38" s="24" t="s">
        <v>84</v>
      </c>
      <c r="E38" s="24" t="s">
        <v>85</v>
      </c>
      <c r="F38" s="24" t="s">
        <v>86</v>
      </c>
      <c r="G38" s="24" t="s">
        <v>87</v>
      </c>
      <c r="H38" s="24" t="s">
        <v>88</v>
      </c>
      <c r="I38" s="24" t="s">
        <v>89</v>
      </c>
      <c r="J38" s="24" t="s">
        <v>90</v>
      </c>
      <c r="K38" s="1"/>
      <c r="L38" s="1"/>
    </row>
    <row r="39" spans="1:12" x14ac:dyDescent="0.3">
      <c r="A39" s="7" t="s">
        <v>91</v>
      </c>
      <c r="B39" s="25">
        <f>SUMPRODUCT(('Cash Flow'!$D$4:$CU$4=0)*M_Sold)</f>
        <v>0</v>
      </c>
      <c r="C39" s="25">
        <f>SUMPRODUCT(('Cash Flow'!$D$4:$CU$4&gt;=1)*('Cash Flow'!$D$4:$CU$4&lt;=12)*M_Sold)</f>
        <v>22.799999999999997</v>
      </c>
      <c r="D39" s="25">
        <f>SUMPRODUCT(('Cash Flow'!$D$4:$CU$4&gt;=13)*('Cash Flow'!$D$4:$CU$4&lt;=24)*M_Sold)</f>
        <v>34.200000000000003</v>
      </c>
      <c r="E39" s="25">
        <f>SUMPRODUCT(('Cash Flow'!$D$4:$CU$4&gt;=25)*('Cash Flow'!$D$4:$CU$4&lt;=36)*M_Sold)</f>
        <v>17.999999999999993</v>
      </c>
      <c r="F39" s="25">
        <f>SUMPRODUCT(('Cash Flow'!$D$4:$CU$4&gt;=37)*('Cash Flow'!$D$4:$CU$4&lt;=48)*M_Sold)</f>
        <v>0</v>
      </c>
      <c r="G39" s="25">
        <f>SUMPRODUCT(('Cash Flow'!$D$4:$CU$4&gt;=49)*('Cash Flow'!$D$4:$CU$4&lt;=60)*M_Sold)</f>
        <v>0</v>
      </c>
      <c r="H39" s="25">
        <f>SUMPRODUCT(('Cash Flow'!$D$4:$CU$4&gt;=61)*('Cash Flow'!$D$4:$CU$4&lt;=72)*M_Sold)</f>
        <v>0</v>
      </c>
      <c r="I39" s="25">
        <f>SUMPRODUCT(('Cash Flow'!$D$4:$CU$4&gt;=73)*('Cash Flow'!$D$4:$CU$4&lt;=84)*M_Sold)</f>
        <v>0</v>
      </c>
      <c r="J39" s="25">
        <f>SUMPRODUCT(('Cash Flow'!$D$4:$CU$4&gt;=85)*('Cash Flow'!$D$4:$CU$4&lt;=96)*M_Sold)</f>
        <v>0</v>
      </c>
      <c r="K39" s="1"/>
      <c r="L39" s="1"/>
    </row>
    <row r="40" spans="1:12" x14ac:dyDescent="0.3">
      <c r="A40" s="7" t="s">
        <v>92</v>
      </c>
      <c r="B40" s="26">
        <f>SUMPRODUCT(('Cash Flow'!$D$4:$CU$4=0)*M_Outflow)</f>
        <v>285050000</v>
      </c>
      <c r="C40" s="26">
        <f>SUMPRODUCT(('Cash Flow'!$D$4:$CU$4&gt;=1)*('Cash Flow'!$D$4:$CU$4&lt;=12)*M_Outflow)</f>
        <v>68688514.767857477</v>
      </c>
      <c r="D40" s="26">
        <f>SUMPRODUCT(('Cash Flow'!$D$4:$CU$4&gt;=13)*('Cash Flow'!$D$4:$CU$4&lt;=24)*M_Outflow)</f>
        <v>275183935.46378803</v>
      </c>
      <c r="E40" s="26">
        <f>SUMPRODUCT(('Cash Flow'!$D$4:$CU$4&gt;=25)*('Cash Flow'!$D$4:$CU$4&lt;=36)*M_Outflow)</f>
        <v>112971401.4767182</v>
      </c>
      <c r="F40" s="26">
        <f>SUMPRODUCT(('Cash Flow'!$D$4:$CU$4&gt;=37)*('Cash Flow'!$D$4:$CU$4&lt;=48)*M_Outflow)</f>
        <v>0</v>
      </c>
      <c r="G40" s="26">
        <f>SUMPRODUCT(('Cash Flow'!$D$4:$CU$4&gt;=49)*('Cash Flow'!$D$4:$CU$4&lt;=60)*M_Outflow)</f>
        <v>0</v>
      </c>
      <c r="H40" s="26">
        <f>SUMPRODUCT(('Cash Flow'!$D$4:$CU$4&gt;=61)*('Cash Flow'!$D$4:$CU$4&lt;=72)*M_Outflow)</f>
        <v>0</v>
      </c>
      <c r="I40" s="26">
        <f>SUMPRODUCT(('Cash Flow'!$D$4:$CU$4&gt;=73)*('Cash Flow'!$D$4:$CU$4&lt;=84)*M_Outflow)</f>
        <v>0</v>
      </c>
      <c r="J40" s="26">
        <f>SUMPRODUCT(('Cash Flow'!$D$4:$CU$4&gt;=85)*('Cash Flow'!$D$4:$CU$4&lt;=96)*M_Outflow)</f>
        <v>0</v>
      </c>
      <c r="K40" s="1"/>
      <c r="L40" s="1"/>
    </row>
    <row r="41" spans="1:12" x14ac:dyDescent="0.3">
      <c r="A41" s="7" t="s">
        <v>93</v>
      </c>
      <c r="B41" s="26">
        <f>SUMPRODUCT(('Cash Flow'!$D$4:$CU$4=0)*M_Inflow)</f>
        <v>0</v>
      </c>
      <c r="C41" s="26">
        <f>SUMPRODUCT(('Cash Flow'!$D$4:$CU$4&gt;=1)*('Cash Flow'!$D$4:$CU$4&lt;=12)*M_Inflow)</f>
        <v>39193055.961288758</v>
      </c>
      <c r="D41" s="26">
        <f>SUMPRODUCT(('Cash Flow'!$D$4:$CU$4&gt;=13)*('Cash Flow'!$D$4:$CU$4&lt;=24)*M_Inflow)</f>
        <v>116918040.10910332</v>
      </c>
      <c r="E41" s="26">
        <f>SUMPRODUCT(('Cash Flow'!$D$4:$CU$4&gt;=25)*('Cash Flow'!$D$4:$CU$4&lt;=36)*M_Inflow)</f>
        <v>880370255.74303579</v>
      </c>
      <c r="F41" s="26">
        <f>SUMPRODUCT(('Cash Flow'!$D$4:$CU$4&gt;=37)*('Cash Flow'!$D$4:$CU$4&lt;=48)*M_Inflow)</f>
        <v>0</v>
      </c>
      <c r="G41" s="26">
        <f>SUMPRODUCT(('Cash Flow'!$D$4:$CU$4&gt;=49)*('Cash Flow'!$D$4:$CU$4&lt;=60)*M_Inflow)</f>
        <v>0</v>
      </c>
      <c r="H41" s="26">
        <f>SUMPRODUCT(('Cash Flow'!$D$4:$CU$4&gt;=61)*('Cash Flow'!$D$4:$CU$4&lt;=72)*M_Inflow)</f>
        <v>0</v>
      </c>
      <c r="I41" s="26">
        <f>SUMPRODUCT(('Cash Flow'!$D$4:$CU$4&gt;=73)*('Cash Flow'!$D$4:$CU$4&lt;=84)*M_Inflow)</f>
        <v>0</v>
      </c>
      <c r="J41" s="26">
        <f>SUMPRODUCT(('Cash Flow'!$D$4:$CU$4&gt;=85)*('Cash Flow'!$D$4:$CU$4&lt;=96)*M_Inflow)</f>
        <v>0</v>
      </c>
      <c r="K41" s="1"/>
      <c r="L41" s="1"/>
    </row>
    <row r="42" spans="1:12" x14ac:dyDescent="0.3">
      <c r="A42" s="7" t="s">
        <v>94</v>
      </c>
      <c r="B42" s="26">
        <f>SUMPRODUCT(('Cash Flow'!$D$4:$CU$4=0)*M_Unlev)</f>
        <v>-285050000</v>
      </c>
      <c r="C42" s="26">
        <f>SUMPRODUCT(('Cash Flow'!$D$4:$CU$4&gt;=1)*('Cash Flow'!$D$4:$CU$4&lt;=12)*M_Unlev)</f>
        <v>-29495458.806568727</v>
      </c>
      <c r="D42" s="26">
        <f>SUMPRODUCT(('Cash Flow'!$D$4:$CU$4&gt;=13)*('Cash Flow'!$D$4:$CU$4&lt;=24)*M_Unlev)</f>
        <v>-158265895.35468474</v>
      </c>
      <c r="E42" s="26">
        <f>SUMPRODUCT(('Cash Flow'!$D$4:$CU$4&gt;=25)*('Cash Flow'!$D$4:$CU$4&lt;=36)*M_Unlev)</f>
        <v>767398854.26631749</v>
      </c>
      <c r="F42" s="26">
        <f>SUMPRODUCT(('Cash Flow'!$D$4:$CU$4&gt;=37)*('Cash Flow'!$D$4:$CU$4&lt;=48)*M_Unlev)</f>
        <v>0</v>
      </c>
      <c r="G42" s="26">
        <f>SUMPRODUCT(('Cash Flow'!$D$4:$CU$4&gt;=49)*('Cash Flow'!$D$4:$CU$4&lt;=60)*M_Unlev)</f>
        <v>0</v>
      </c>
      <c r="H42" s="26">
        <f>SUMPRODUCT(('Cash Flow'!$D$4:$CU$4&gt;=61)*('Cash Flow'!$D$4:$CU$4&lt;=72)*M_Unlev)</f>
        <v>0</v>
      </c>
      <c r="I42" s="26">
        <f>SUMPRODUCT(('Cash Flow'!$D$4:$CU$4&gt;=73)*('Cash Flow'!$D$4:$CU$4&lt;=84)*M_Unlev)</f>
        <v>0</v>
      </c>
      <c r="J42" s="26">
        <f>SUMPRODUCT(('Cash Flow'!$D$4:$CU$4&gt;=85)*('Cash Flow'!$D$4:$CU$4&lt;=96)*M_Unlev)</f>
        <v>0</v>
      </c>
      <c r="K42" s="1"/>
      <c r="L42" s="1"/>
    </row>
    <row r="43" spans="1:12" x14ac:dyDescent="0.3">
      <c r="A43" s="7" t="s">
        <v>95</v>
      </c>
      <c r="B43" s="26">
        <f ca="1">SUMPRODUCT(('Cash Flow'!$D$4:$CU$4=0)*M_Contrib)</f>
        <v>285050000</v>
      </c>
      <c r="C43" s="26">
        <f ca="1">SUMPRODUCT(('Cash Flow'!$D$4:$CU$4&gt;=1)*('Cash Flow'!$D$4:$CU$4&lt;=12)*M_Contrib)</f>
        <v>33602088.568690889</v>
      </c>
      <c r="D43" s="26">
        <f ca="1">SUMPRODUCT(('Cash Flow'!$D$4:$CU$4&gt;=13)*('Cash Flow'!$D$4:$CU$4&lt;=24)*M_Contrib)</f>
        <v>96731151.737917468</v>
      </c>
      <c r="E43" s="26">
        <f ca="1">SUMPRODUCT(('Cash Flow'!$D$4:$CU$4&gt;=25)*('Cash Flow'!$D$4:$CU$4&lt;=36)*M_Contrib)</f>
        <v>0</v>
      </c>
      <c r="F43" s="26">
        <f ca="1">SUMPRODUCT(('Cash Flow'!$D$4:$CU$4&gt;=37)*('Cash Flow'!$D$4:$CU$4&lt;=48)*M_Contrib)</f>
        <v>0</v>
      </c>
      <c r="G43" s="26">
        <f ca="1">SUMPRODUCT(('Cash Flow'!$D$4:$CU$4&gt;=49)*('Cash Flow'!$D$4:$CU$4&lt;=60)*M_Contrib)</f>
        <v>0</v>
      </c>
      <c r="H43" s="26">
        <f ca="1">SUMPRODUCT(('Cash Flow'!$D$4:$CU$4&gt;=61)*('Cash Flow'!$D$4:$CU$4&lt;=72)*M_Contrib)</f>
        <v>0</v>
      </c>
      <c r="I43" s="26">
        <f ca="1">SUMPRODUCT(('Cash Flow'!$D$4:$CU$4&gt;=73)*('Cash Flow'!$D$4:$CU$4&lt;=84)*M_Contrib)</f>
        <v>0</v>
      </c>
      <c r="J43" s="26">
        <f ca="1">SUMPRODUCT(('Cash Flow'!$D$4:$CU$4&gt;=85)*('Cash Flow'!$D$4:$CU$4&lt;=96)*M_Contrib)</f>
        <v>0</v>
      </c>
      <c r="K43" s="1"/>
      <c r="L43" s="1"/>
    </row>
    <row r="44" spans="1:12" x14ac:dyDescent="0.3">
      <c r="A44" s="7" t="s">
        <v>96</v>
      </c>
      <c r="B44" s="26">
        <f ca="1">SUMPRODUCT(('Cash Flow'!$D$4:$CU$4=0)*M_Dist)</f>
        <v>0</v>
      </c>
      <c r="C44" s="26">
        <f ca="1">SUMPRODUCT(('Cash Flow'!$D$4:$CU$4&gt;=1)*('Cash Flow'!$D$4:$CU$4&lt;=12)*M_Dist)</f>
        <v>0</v>
      </c>
      <c r="D44" s="26">
        <f ca="1">SUMPRODUCT(('Cash Flow'!$D$4:$CU$4&gt;=13)*('Cash Flow'!$D$4:$CU$4&lt;=24)*M_Dist)</f>
        <v>0</v>
      </c>
      <c r="E44" s="26">
        <f ca="1">SUMPRODUCT(('Cash Flow'!$D$4:$CU$4&gt;=25)*('Cash Flow'!$D$4:$CU$4&lt;=36)*M_Dist)</f>
        <v>696622337.0131346</v>
      </c>
      <c r="F44" s="26">
        <f ca="1">SUMPRODUCT(('Cash Flow'!$D$4:$CU$4&gt;=37)*('Cash Flow'!$D$4:$CU$4&lt;=48)*M_Dist)</f>
        <v>0</v>
      </c>
      <c r="G44" s="26">
        <f ca="1">SUMPRODUCT(('Cash Flow'!$D$4:$CU$4&gt;=49)*('Cash Flow'!$D$4:$CU$4&lt;=60)*M_Dist)</f>
        <v>0</v>
      </c>
      <c r="H44" s="26">
        <f ca="1">SUMPRODUCT(('Cash Flow'!$D$4:$CU$4&gt;=61)*('Cash Flow'!$D$4:$CU$4&lt;=72)*M_Dist)</f>
        <v>0</v>
      </c>
      <c r="I44" s="26">
        <f ca="1">SUMPRODUCT(('Cash Flow'!$D$4:$CU$4&gt;=73)*('Cash Flow'!$D$4:$CU$4&lt;=84)*M_Dist)</f>
        <v>0</v>
      </c>
      <c r="J44" s="26">
        <f ca="1">SUMPRODUCT(('Cash Flow'!$D$4:$CU$4&gt;=85)*('Cash Flow'!$D$4:$CU$4&lt;=96)*M_Dist)</f>
        <v>0</v>
      </c>
      <c r="K44" s="1"/>
      <c r="L44" s="1"/>
    </row>
    <row r="45" spans="1:12" x14ac:dyDescent="0.3">
      <c r="A45" s="7" t="s">
        <v>97</v>
      </c>
      <c r="B45" s="26">
        <f ca="1">SUMPRODUCT(('Cash Flow'!$D$4:$CU$4=0)*M_Lev)</f>
        <v>-285050000</v>
      </c>
      <c r="C45" s="26">
        <f ca="1">SUMPRODUCT(('Cash Flow'!$D$4:$CU$4&gt;=1)*('Cash Flow'!$D$4:$CU$4&lt;=12)*M_Lev)</f>
        <v>-33602088.568690889</v>
      </c>
      <c r="D45" s="26">
        <f ca="1">SUMPRODUCT(('Cash Flow'!$D$4:$CU$4&gt;=13)*('Cash Flow'!$D$4:$CU$4&lt;=24)*M_Lev)</f>
        <v>-96731151.737917468</v>
      </c>
      <c r="E45" s="26">
        <f ca="1">SUMPRODUCT(('Cash Flow'!$D$4:$CU$4&gt;=25)*('Cash Flow'!$D$4:$CU$4&lt;=36)*M_Lev)</f>
        <v>696622337.0131346</v>
      </c>
      <c r="F45" s="26">
        <f ca="1">SUMPRODUCT(('Cash Flow'!$D$4:$CU$4&gt;=37)*('Cash Flow'!$D$4:$CU$4&lt;=48)*M_Lev)</f>
        <v>0</v>
      </c>
      <c r="G45" s="26">
        <f ca="1">SUMPRODUCT(('Cash Flow'!$D$4:$CU$4&gt;=49)*('Cash Flow'!$D$4:$CU$4&lt;=60)*M_Lev)</f>
        <v>0</v>
      </c>
      <c r="H45" s="26">
        <f ca="1">SUMPRODUCT(('Cash Flow'!$D$4:$CU$4&gt;=61)*('Cash Flow'!$D$4:$CU$4&lt;=72)*M_Lev)</f>
        <v>0</v>
      </c>
      <c r="I45" s="26">
        <f ca="1">SUMPRODUCT(('Cash Flow'!$D$4:$CU$4&gt;=73)*('Cash Flow'!$D$4:$CU$4&lt;=84)*M_Lev)</f>
        <v>0</v>
      </c>
      <c r="J45" s="26">
        <f ca="1">SUMPRODUCT(('Cash Flow'!$D$4:$CU$4&gt;=85)*('Cash Flow'!$D$4:$CU$4&lt;=96)*M_Lev)</f>
        <v>0</v>
      </c>
      <c r="K45" s="1"/>
      <c r="L45" s="1"/>
    </row>
    <row r="46" spans="1:12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</row>
    <row r="47" spans="1:12" x14ac:dyDescent="0.3">
      <c r="A47" s="13" t="s">
        <v>98</v>
      </c>
      <c r="B47" s="14"/>
      <c r="C47" s="14"/>
      <c r="D47" s="1"/>
      <c r="E47" s="1"/>
      <c r="F47" s="1"/>
      <c r="G47" s="1"/>
      <c r="H47" s="1"/>
      <c r="I47" s="1"/>
      <c r="J47" s="1"/>
      <c r="K47" s="1"/>
      <c r="L47" s="1"/>
    </row>
    <row r="48" spans="1:12" x14ac:dyDescent="0.3">
      <c r="A48" s="7" t="s">
        <v>99</v>
      </c>
      <c r="B48" s="23">
        <f>SUM(M_land)+SUM(M_acq)</f>
        <v>285050000</v>
      </c>
      <c r="C48" s="17">
        <f t="shared" ref="C48:C54" ca="1" si="4">IF(TotalCost&lt;&gt;0,B48/TotalCost,0)</f>
        <v>0.3774285642441802</v>
      </c>
      <c r="D48" s="1"/>
      <c r="E48" s="1"/>
      <c r="F48" s="1"/>
      <c r="G48" s="1"/>
      <c r="H48" s="1"/>
      <c r="I48" s="1"/>
      <c r="J48" s="1"/>
      <c r="K48" s="1"/>
      <c r="L48" s="1"/>
    </row>
    <row r="49" spans="1:12" x14ac:dyDescent="0.3">
      <c r="A49" s="7" t="s">
        <v>100</v>
      </c>
      <c r="B49" s="23">
        <f>SUM(M_hard)</f>
        <v>338024924.11769235</v>
      </c>
      <c r="C49" s="17">
        <f t="shared" ca="1" si="4"/>
        <v>0.4475715200438119</v>
      </c>
      <c r="D49" s="1"/>
      <c r="E49" s="1"/>
      <c r="F49" s="1"/>
      <c r="G49" s="1"/>
      <c r="H49" s="1"/>
      <c r="I49" s="1"/>
      <c r="J49" s="1"/>
      <c r="K49" s="1"/>
      <c r="L49" s="1"/>
    </row>
    <row r="50" spans="1:12" x14ac:dyDescent="0.3">
      <c r="A50" s="7" t="s">
        <v>101</v>
      </c>
      <c r="B50" s="23">
        <f>SUM(M_soft)</f>
        <v>38950500</v>
      </c>
      <c r="C50" s="17">
        <f t="shared" ca="1" si="4"/>
        <v>5.1573517949808599E-2</v>
      </c>
      <c r="D50" s="1"/>
      <c r="E50" s="1"/>
      <c r="F50" s="1"/>
      <c r="G50" s="1"/>
      <c r="H50" s="1"/>
      <c r="I50" s="1"/>
      <c r="J50" s="1"/>
      <c r="K50" s="1"/>
      <c r="L50" s="1"/>
    </row>
    <row r="51" spans="1:12" x14ac:dyDescent="0.3">
      <c r="A51" s="7" t="s">
        <v>102</v>
      </c>
      <c r="B51" s="23">
        <f>SUM(M_cont)+SUM(M_fee)</f>
        <v>28044359.999999996</v>
      </c>
      <c r="C51" s="17">
        <f t="shared" ca="1" si="4"/>
        <v>3.7132932923862189E-2</v>
      </c>
      <c r="D51" s="1"/>
      <c r="E51" s="1"/>
      <c r="F51" s="1"/>
      <c r="G51" s="1"/>
      <c r="H51" s="1"/>
      <c r="I51" s="1"/>
      <c r="J51" s="1"/>
      <c r="K51" s="1"/>
      <c r="L51" s="1"/>
    </row>
    <row r="52" spans="1:12" x14ac:dyDescent="0.3">
      <c r="A52" s="7" t="s">
        <v>103</v>
      </c>
      <c r="B52" s="23">
        <f>IF(in_mode_sale=1,SUM(M_SalesCost),0)</f>
        <v>51824067.59067139</v>
      </c>
      <c r="C52" s="17">
        <f t="shared" ca="1" si="4"/>
        <v>6.8619131464797242E-2</v>
      </c>
      <c r="D52" s="1"/>
      <c r="E52" s="1"/>
      <c r="F52" s="1"/>
      <c r="G52" s="1"/>
      <c r="H52" s="1"/>
      <c r="I52" s="1"/>
      <c r="J52" s="1"/>
      <c r="K52" s="1"/>
      <c r="L52" s="1"/>
    </row>
    <row r="53" spans="1:12" x14ac:dyDescent="0.3">
      <c r="A53" s="7" t="s">
        <v>104</v>
      </c>
      <c r="B53" s="23">
        <f>SUM(M_cv)+SUM(M_cflow)</f>
        <v>0</v>
      </c>
      <c r="C53" s="17">
        <f t="shared" ca="1" si="4"/>
        <v>0</v>
      </c>
      <c r="D53" s="1"/>
      <c r="E53" s="1"/>
      <c r="F53" s="1"/>
      <c r="G53" s="1"/>
      <c r="H53" s="1"/>
      <c r="I53" s="1"/>
      <c r="J53" s="1"/>
      <c r="K53" s="1"/>
      <c r="L53" s="1"/>
    </row>
    <row r="54" spans="1:12" x14ac:dyDescent="0.3">
      <c r="A54" s="7" t="s">
        <v>105</v>
      </c>
      <c r="B54" s="23">
        <f ca="1">FinCost</f>
        <v>13348403.394471239</v>
      </c>
      <c r="C54" s="17">
        <f t="shared" ca="1" si="4"/>
        <v>1.7674333373539453E-2</v>
      </c>
      <c r="D54" s="1"/>
      <c r="E54" s="1"/>
      <c r="F54" s="1"/>
      <c r="G54" s="1"/>
      <c r="H54" s="1"/>
      <c r="I54" s="1"/>
      <c r="J54" s="1"/>
      <c r="K54" s="1"/>
      <c r="L54" s="1"/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00FF"/>
  </sheetPr>
  <dimension ref="A1:I200"/>
  <sheetViews>
    <sheetView showGridLines="0" workbookViewId="0"/>
  </sheetViews>
  <sheetFormatPr defaultRowHeight="14.4" x14ac:dyDescent="0.3"/>
  <cols>
    <col min="1" max="1" width="48" customWidth="1"/>
    <col min="2" max="3" width="18" customWidth="1"/>
    <col min="4" max="4" width="60" customWidth="1"/>
  </cols>
  <sheetData>
    <row r="1" spans="1:9" ht="21" x14ac:dyDescent="0.4">
      <c r="A1" s="10" t="s">
        <v>21</v>
      </c>
      <c r="B1" s="1"/>
      <c r="C1" s="1"/>
      <c r="D1" s="1"/>
      <c r="E1" s="1"/>
      <c r="F1" s="1"/>
      <c r="G1" s="1"/>
      <c r="H1" s="1"/>
      <c r="I1" s="1"/>
    </row>
    <row r="2" spans="1:9" x14ac:dyDescent="0.3">
      <c r="A2" s="11" t="s">
        <v>106</v>
      </c>
      <c r="B2" s="1"/>
      <c r="C2" s="1"/>
      <c r="D2" s="1"/>
      <c r="E2" s="1"/>
      <c r="F2" s="1"/>
      <c r="G2" s="1"/>
      <c r="H2" s="1"/>
      <c r="I2" s="1"/>
    </row>
    <row r="3" spans="1:9" x14ac:dyDescent="0.3">
      <c r="A3" s="1"/>
      <c r="B3" s="1"/>
      <c r="C3" s="1"/>
      <c r="D3" s="1"/>
      <c r="E3" s="1"/>
      <c r="F3" s="1"/>
      <c r="G3" s="1"/>
      <c r="H3" s="1"/>
      <c r="I3" s="1"/>
    </row>
    <row r="4" spans="1:9" x14ac:dyDescent="0.3">
      <c r="A4" s="12" t="s">
        <v>107</v>
      </c>
      <c r="B4" s="12" t="s">
        <v>108</v>
      </c>
      <c r="C4" s="12" t="s">
        <v>109</v>
      </c>
      <c r="D4" s="12" t="s">
        <v>110</v>
      </c>
      <c r="E4" s="1"/>
      <c r="F4" s="1"/>
      <c r="G4" s="1"/>
      <c r="H4" s="1"/>
      <c r="I4" s="1"/>
    </row>
    <row r="5" spans="1:9" x14ac:dyDescent="0.3">
      <c r="A5" s="13" t="s">
        <v>111</v>
      </c>
      <c r="B5" s="14"/>
      <c r="C5" s="14"/>
      <c r="D5" s="14"/>
      <c r="E5" s="1"/>
      <c r="F5" s="1"/>
      <c r="G5" s="1"/>
      <c r="H5" s="1"/>
      <c r="I5" s="1"/>
    </row>
    <row r="6" spans="1:9" x14ac:dyDescent="0.3">
      <c r="A6" s="7" t="s">
        <v>111</v>
      </c>
      <c r="B6" s="8" t="s">
        <v>1</v>
      </c>
      <c r="C6" s="1"/>
      <c r="D6" s="1"/>
      <c r="E6" s="1"/>
      <c r="F6" s="1"/>
      <c r="G6" s="1"/>
      <c r="H6" s="1"/>
      <c r="I6" s="1"/>
    </row>
    <row r="7" spans="1:9" x14ac:dyDescent="0.3">
      <c r="A7" s="7" t="s">
        <v>6</v>
      </c>
      <c r="B7" s="8" t="s">
        <v>7</v>
      </c>
      <c r="C7" s="1"/>
      <c r="D7" s="1"/>
      <c r="E7" s="1"/>
      <c r="F7" s="1"/>
      <c r="G7" s="1"/>
      <c r="H7" s="1"/>
      <c r="I7" s="1"/>
    </row>
    <row r="8" spans="1:9" x14ac:dyDescent="0.3">
      <c r="A8" s="7" t="s">
        <v>112</v>
      </c>
      <c r="B8" s="8">
        <v>1</v>
      </c>
      <c r="C8" s="1"/>
      <c r="D8" s="11" t="s">
        <v>113</v>
      </c>
      <c r="E8" s="1"/>
      <c r="F8" s="1"/>
      <c r="G8" s="1"/>
      <c r="H8" s="1"/>
      <c r="I8" s="1"/>
    </row>
    <row r="9" spans="1:9" x14ac:dyDescent="0.3">
      <c r="A9" s="7" t="s">
        <v>114</v>
      </c>
      <c r="B9" s="8">
        <v>1</v>
      </c>
      <c r="C9" s="1"/>
      <c r="D9" s="11" t="s">
        <v>113</v>
      </c>
      <c r="E9" s="1"/>
      <c r="F9" s="1"/>
      <c r="G9" s="1"/>
      <c r="H9" s="1"/>
      <c r="I9" s="1"/>
    </row>
    <row r="10" spans="1:9" x14ac:dyDescent="0.3">
      <c r="A10" s="7" t="s">
        <v>115</v>
      </c>
      <c r="B10" s="8">
        <v>1</v>
      </c>
      <c r="C10" s="1"/>
      <c r="D10" s="11" t="s">
        <v>113</v>
      </c>
      <c r="E10" s="1"/>
      <c r="F10" s="1"/>
      <c r="G10" s="1"/>
      <c r="H10" s="1"/>
      <c r="I10" s="1"/>
    </row>
    <row r="11" spans="1:9" x14ac:dyDescent="0.3">
      <c r="A11" s="13" t="s">
        <v>116</v>
      </c>
      <c r="B11" s="14"/>
      <c r="C11" s="14"/>
      <c r="D11" s="14"/>
      <c r="E11" s="1"/>
      <c r="F11" s="1"/>
      <c r="G11" s="1"/>
      <c r="H11" s="1"/>
      <c r="I11" s="1"/>
    </row>
    <row r="12" spans="1:9" x14ac:dyDescent="0.3">
      <c r="A12" s="7" t="s">
        <v>117</v>
      </c>
      <c r="B12" s="27">
        <v>1800</v>
      </c>
      <c r="C12" s="11" t="s">
        <v>118</v>
      </c>
      <c r="D12" s="11" t="s">
        <v>119</v>
      </c>
      <c r="E12" s="1"/>
      <c r="F12" s="1"/>
      <c r="G12" s="1"/>
      <c r="H12" s="1"/>
      <c r="I12" s="1"/>
    </row>
    <row r="13" spans="1:9" x14ac:dyDescent="0.3">
      <c r="A13" s="7" t="s">
        <v>120</v>
      </c>
      <c r="B13" s="28">
        <v>265000000</v>
      </c>
      <c r="C13" s="11" t="s">
        <v>7</v>
      </c>
      <c r="D13" s="11" t="s">
        <v>119</v>
      </c>
      <c r="E13" s="1"/>
      <c r="F13" s="1"/>
      <c r="G13" s="1"/>
      <c r="H13" s="1"/>
      <c r="I13" s="1"/>
    </row>
    <row r="14" spans="1:9" x14ac:dyDescent="0.3">
      <c r="A14" s="7" t="s">
        <v>121</v>
      </c>
      <c r="B14" s="29">
        <v>4.4999999999999998E-2</v>
      </c>
      <c r="C14" s="11" t="s">
        <v>122</v>
      </c>
      <c r="D14" s="11" t="s">
        <v>119</v>
      </c>
      <c r="E14" s="1"/>
      <c r="F14" s="1"/>
      <c r="G14" s="1"/>
      <c r="H14" s="1"/>
      <c r="I14" s="1"/>
    </row>
    <row r="15" spans="1:9" x14ac:dyDescent="0.3">
      <c r="A15" s="7" t="s">
        <v>123</v>
      </c>
      <c r="B15" s="29">
        <v>1.4999999999999999E-2</v>
      </c>
      <c r="C15" s="11" t="s">
        <v>122</v>
      </c>
      <c r="D15" s="11" t="s">
        <v>119</v>
      </c>
      <c r="E15" s="1"/>
      <c r="F15" s="1"/>
      <c r="G15" s="1"/>
      <c r="H15" s="1"/>
      <c r="I15" s="1"/>
    </row>
    <row r="16" spans="1:9" x14ac:dyDescent="0.3">
      <c r="A16" s="7" t="s">
        <v>124</v>
      </c>
      <c r="B16" s="29">
        <v>0.01</v>
      </c>
      <c r="C16" s="11" t="s">
        <v>122</v>
      </c>
      <c r="D16" s="11" t="s">
        <v>119</v>
      </c>
      <c r="E16" s="1"/>
      <c r="F16" s="1"/>
      <c r="G16" s="1"/>
      <c r="H16" s="1"/>
      <c r="I16" s="1"/>
    </row>
    <row r="17" spans="1:9" x14ac:dyDescent="0.3">
      <c r="A17" s="7" t="s">
        <v>125</v>
      </c>
      <c r="B17" s="30">
        <v>1500000</v>
      </c>
      <c r="C17" s="11" t="s">
        <v>7</v>
      </c>
      <c r="D17" s="11" t="s">
        <v>119</v>
      </c>
      <c r="E17" s="1"/>
      <c r="F17" s="1"/>
      <c r="G17" s="1"/>
      <c r="H17" s="1"/>
      <c r="I17" s="1"/>
    </row>
    <row r="18" spans="1:9" x14ac:dyDescent="0.3">
      <c r="A18" s="13" t="s">
        <v>126</v>
      </c>
      <c r="B18" s="14"/>
      <c r="C18" s="14"/>
      <c r="D18" s="14"/>
      <c r="E18" s="1"/>
      <c r="F18" s="1"/>
      <c r="G18" s="1"/>
      <c r="H18" s="1"/>
      <c r="I18" s="1"/>
    </row>
    <row r="19" spans="1:9" x14ac:dyDescent="0.3">
      <c r="A19" s="7" t="s">
        <v>127</v>
      </c>
      <c r="B19" s="27">
        <v>8</v>
      </c>
      <c r="C19" s="11" t="s">
        <v>128</v>
      </c>
      <c r="D19" s="11" t="s">
        <v>119</v>
      </c>
      <c r="E19" s="1"/>
      <c r="F19" s="1"/>
      <c r="G19" s="1"/>
      <c r="H19" s="1"/>
      <c r="I19" s="1"/>
    </row>
    <row r="20" spans="1:9" x14ac:dyDescent="0.3">
      <c r="A20" s="7" t="s">
        <v>129</v>
      </c>
      <c r="B20" s="29">
        <v>0.25</v>
      </c>
      <c r="C20" s="11" t="s">
        <v>122</v>
      </c>
      <c r="D20" s="11" t="s">
        <v>119</v>
      </c>
      <c r="E20" s="1"/>
      <c r="F20" s="1"/>
      <c r="G20" s="1"/>
      <c r="H20" s="1"/>
      <c r="I20" s="1"/>
    </row>
    <row r="21" spans="1:9" x14ac:dyDescent="0.3">
      <c r="A21" s="7" t="s">
        <v>130</v>
      </c>
      <c r="B21" s="27"/>
      <c r="C21" s="11" t="s">
        <v>131</v>
      </c>
      <c r="D21" s="11" t="s">
        <v>132</v>
      </c>
      <c r="E21" s="1"/>
      <c r="F21" s="1"/>
      <c r="G21" s="1"/>
      <c r="H21" s="1"/>
      <c r="I21" s="1"/>
    </row>
    <row r="22" spans="1:9" x14ac:dyDescent="0.3">
      <c r="A22" s="7" t="s">
        <v>133</v>
      </c>
      <c r="B22" s="27"/>
      <c r="C22" s="11" t="s">
        <v>134</v>
      </c>
      <c r="D22" s="11" t="s">
        <v>132</v>
      </c>
      <c r="E22" s="1"/>
      <c r="F22" s="1"/>
      <c r="G22" s="1"/>
      <c r="H22" s="1"/>
      <c r="I22" s="1"/>
    </row>
    <row r="23" spans="1:9" x14ac:dyDescent="0.3">
      <c r="A23" s="7" t="s">
        <v>135</v>
      </c>
      <c r="B23" s="27"/>
      <c r="C23" s="11" t="s">
        <v>136</v>
      </c>
      <c r="D23" s="11" t="s">
        <v>132</v>
      </c>
      <c r="E23" s="1"/>
      <c r="F23" s="1"/>
      <c r="G23" s="1"/>
      <c r="H23" s="1"/>
      <c r="I23" s="1"/>
    </row>
    <row r="24" spans="1:9" x14ac:dyDescent="0.3">
      <c r="A24" s="7" t="s">
        <v>137</v>
      </c>
      <c r="B24" s="27"/>
      <c r="C24" s="11" t="s">
        <v>138</v>
      </c>
      <c r="D24" s="11" t="s">
        <v>132</v>
      </c>
      <c r="E24" s="1"/>
      <c r="F24" s="1"/>
      <c r="G24" s="1"/>
      <c r="H24" s="1"/>
      <c r="I24" s="1"/>
    </row>
    <row r="25" spans="1:9" x14ac:dyDescent="0.3">
      <c r="A25" s="7" t="s">
        <v>139</v>
      </c>
      <c r="B25" s="27">
        <v>4</v>
      </c>
      <c r="C25" s="11" t="s">
        <v>140</v>
      </c>
      <c r="D25" s="11" t="s">
        <v>119</v>
      </c>
      <c r="E25" s="1"/>
      <c r="F25" s="1"/>
      <c r="G25" s="1"/>
      <c r="H25" s="1"/>
      <c r="I25" s="1"/>
    </row>
    <row r="26" spans="1:9" x14ac:dyDescent="0.3">
      <c r="A26" s="7" t="s">
        <v>141</v>
      </c>
      <c r="B26" s="27"/>
      <c r="C26" s="11" t="s">
        <v>142</v>
      </c>
      <c r="D26" s="11" t="s">
        <v>132</v>
      </c>
      <c r="E26" s="1"/>
      <c r="F26" s="1"/>
      <c r="G26" s="1"/>
      <c r="H26" s="1"/>
      <c r="I26" s="1"/>
    </row>
    <row r="27" spans="1:9" x14ac:dyDescent="0.3">
      <c r="A27" s="7" t="s">
        <v>143</v>
      </c>
      <c r="B27" s="27">
        <v>3</v>
      </c>
      <c r="C27" s="11" t="s">
        <v>142</v>
      </c>
      <c r="D27" s="11" t="s">
        <v>119</v>
      </c>
      <c r="E27" s="1"/>
      <c r="F27" s="1"/>
      <c r="G27" s="1"/>
      <c r="H27" s="1"/>
      <c r="I27" s="1"/>
    </row>
    <row r="28" spans="1:9" x14ac:dyDescent="0.3">
      <c r="A28" s="13" t="s">
        <v>144</v>
      </c>
      <c r="B28" s="14"/>
      <c r="C28" s="14"/>
      <c r="D28" s="14"/>
      <c r="E28" s="1"/>
      <c r="F28" s="1"/>
      <c r="G28" s="1"/>
      <c r="H28" s="1"/>
      <c r="I28" s="1"/>
    </row>
    <row r="29" spans="1:9" x14ac:dyDescent="0.3">
      <c r="A29" s="7" t="s">
        <v>145</v>
      </c>
      <c r="B29" s="27">
        <v>1</v>
      </c>
      <c r="C29" s="11" t="s">
        <v>146</v>
      </c>
      <c r="D29" s="11" t="s">
        <v>119</v>
      </c>
      <c r="E29" s="1"/>
      <c r="F29" s="1"/>
      <c r="G29" s="1"/>
      <c r="H29" s="1"/>
      <c r="I29" s="1"/>
    </row>
    <row r="30" spans="1:9" x14ac:dyDescent="0.3">
      <c r="A30" s="7" t="s">
        <v>147</v>
      </c>
      <c r="B30" s="27">
        <v>8</v>
      </c>
      <c r="C30" s="11" t="s">
        <v>128</v>
      </c>
      <c r="D30" s="11" t="s">
        <v>119</v>
      </c>
      <c r="E30" s="1"/>
      <c r="F30" s="1"/>
      <c r="G30" s="1"/>
      <c r="H30" s="1"/>
      <c r="I30" s="1"/>
    </row>
    <row r="31" spans="1:9" x14ac:dyDescent="0.3">
      <c r="A31" s="7" t="s">
        <v>148</v>
      </c>
      <c r="B31" s="27">
        <v>3</v>
      </c>
      <c r="C31" s="11" t="s">
        <v>140</v>
      </c>
      <c r="D31" s="11" t="s">
        <v>119</v>
      </c>
      <c r="E31" s="1"/>
      <c r="F31" s="1"/>
      <c r="G31" s="1"/>
      <c r="H31" s="1"/>
      <c r="I31" s="1"/>
    </row>
    <row r="32" spans="1:9" x14ac:dyDescent="0.3">
      <c r="A32" s="7" t="s">
        <v>149</v>
      </c>
      <c r="B32" s="27"/>
      <c r="C32" s="11" t="s">
        <v>118</v>
      </c>
      <c r="D32" s="11" t="s">
        <v>132</v>
      </c>
      <c r="E32" s="1"/>
      <c r="F32" s="1"/>
      <c r="G32" s="1"/>
      <c r="H32" s="1"/>
      <c r="I32" s="1"/>
    </row>
    <row r="33" spans="1:9" x14ac:dyDescent="0.3">
      <c r="A33" s="7" t="s">
        <v>150</v>
      </c>
      <c r="B33" s="29">
        <v>0.82</v>
      </c>
      <c r="C33" s="11" t="s">
        <v>122</v>
      </c>
      <c r="D33" s="11" t="s">
        <v>119</v>
      </c>
      <c r="E33" s="1"/>
      <c r="F33" s="1"/>
      <c r="G33" s="1"/>
      <c r="H33" s="1"/>
      <c r="I33" s="1"/>
    </row>
    <row r="34" spans="1:9" x14ac:dyDescent="0.3">
      <c r="A34" s="7" t="s">
        <v>151</v>
      </c>
      <c r="B34" s="27">
        <v>112</v>
      </c>
      <c r="C34" s="11" t="s">
        <v>152</v>
      </c>
      <c r="D34" s="11" t="s">
        <v>119</v>
      </c>
      <c r="E34" s="1"/>
      <c r="F34" s="1"/>
      <c r="G34" s="1"/>
      <c r="H34" s="1"/>
      <c r="I34" s="1"/>
    </row>
    <row r="35" spans="1:9" x14ac:dyDescent="0.3">
      <c r="A35" s="7" t="s">
        <v>153</v>
      </c>
      <c r="B35" s="27">
        <v>28</v>
      </c>
      <c r="C35" s="11" t="s">
        <v>154</v>
      </c>
      <c r="D35" s="11" t="s">
        <v>119</v>
      </c>
      <c r="E35" s="1"/>
      <c r="F35" s="1"/>
      <c r="G35" s="1"/>
      <c r="H35" s="1"/>
      <c r="I35" s="1"/>
    </row>
    <row r="36" spans="1:9" x14ac:dyDescent="0.3">
      <c r="A36" s="7" t="s">
        <v>155</v>
      </c>
      <c r="B36" s="27">
        <v>250</v>
      </c>
      <c r="C36" s="11" t="s">
        <v>118</v>
      </c>
      <c r="D36" s="11" t="s">
        <v>119</v>
      </c>
      <c r="E36" s="1"/>
      <c r="F36" s="1"/>
      <c r="G36" s="1"/>
      <c r="H36" s="1"/>
      <c r="I36" s="1"/>
    </row>
    <row r="37" spans="1:9" x14ac:dyDescent="0.3">
      <c r="A37" s="7" t="s">
        <v>156</v>
      </c>
      <c r="B37" s="8" t="s">
        <v>157</v>
      </c>
      <c r="C37" s="11"/>
      <c r="D37" s="11" t="s">
        <v>119</v>
      </c>
      <c r="E37" s="1"/>
      <c r="F37" s="1"/>
      <c r="G37" s="1"/>
      <c r="H37" s="1"/>
      <c r="I37" s="1"/>
    </row>
    <row r="38" spans="1:9" x14ac:dyDescent="0.3">
      <c r="A38" s="7" t="s">
        <v>158</v>
      </c>
      <c r="B38" s="27"/>
      <c r="C38" s="11" t="s">
        <v>118</v>
      </c>
      <c r="D38" s="11" t="s">
        <v>132</v>
      </c>
      <c r="E38" s="1"/>
      <c r="F38" s="1"/>
      <c r="G38" s="1"/>
      <c r="H38" s="1"/>
      <c r="I38" s="1"/>
    </row>
    <row r="39" spans="1:9" x14ac:dyDescent="0.3">
      <c r="A39" s="13" t="s">
        <v>159</v>
      </c>
      <c r="B39" s="14"/>
      <c r="C39" s="14"/>
      <c r="D39" s="14"/>
      <c r="E39" s="1"/>
      <c r="F39" s="1"/>
      <c r="G39" s="1"/>
      <c r="H39" s="1"/>
      <c r="I39" s="1"/>
    </row>
    <row r="40" spans="1:9" x14ac:dyDescent="0.3">
      <c r="A40" s="7" t="s">
        <v>160</v>
      </c>
      <c r="B40" s="28">
        <v>108000</v>
      </c>
      <c r="C40" s="11" t="s">
        <v>161</v>
      </c>
      <c r="D40" s="11" t="s">
        <v>119</v>
      </c>
      <c r="E40" s="1"/>
      <c r="F40" s="1"/>
      <c r="G40" s="1"/>
      <c r="H40" s="1"/>
      <c r="I40" s="1"/>
    </row>
    <row r="41" spans="1:9" x14ac:dyDescent="0.3">
      <c r="A41" s="7" t="s">
        <v>162</v>
      </c>
      <c r="B41" s="29">
        <v>0.03</v>
      </c>
      <c r="C41" s="11" t="s">
        <v>122</v>
      </c>
      <c r="D41" s="11" t="s">
        <v>119</v>
      </c>
      <c r="E41" s="1"/>
      <c r="F41" s="1"/>
      <c r="G41" s="1"/>
      <c r="H41" s="1"/>
      <c r="I41" s="1"/>
    </row>
    <row r="42" spans="1:9" x14ac:dyDescent="0.3">
      <c r="A42" s="7" t="s">
        <v>163</v>
      </c>
      <c r="B42" s="29">
        <v>0.4</v>
      </c>
      <c r="C42" s="11" t="s">
        <v>122</v>
      </c>
      <c r="D42" s="11" t="s">
        <v>119</v>
      </c>
      <c r="E42" s="1"/>
      <c r="F42" s="1"/>
      <c r="G42" s="1"/>
      <c r="H42" s="1"/>
      <c r="I42" s="1"/>
    </row>
    <row r="43" spans="1:9" x14ac:dyDescent="0.3">
      <c r="A43" s="7" t="s">
        <v>164</v>
      </c>
      <c r="B43" s="29">
        <v>0.02</v>
      </c>
      <c r="C43" s="11" t="s">
        <v>122</v>
      </c>
      <c r="D43" s="11" t="s">
        <v>119</v>
      </c>
      <c r="E43" s="1"/>
      <c r="F43" s="1"/>
      <c r="G43" s="1"/>
      <c r="H43" s="1"/>
      <c r="I43" s="1"/>
    </row>
    <row r="44" spans="1:9" x14ac:dyDescent="0.3">
      <c r="A44" s="7" t="s">
        <v>165</v>
      </c>
      <c r="B44" s="29">
        <v>0.05</v>
      </c>
      <c r="C44" s="11" t="s">
        <v>122</v>
      </c>
      <c r="D44" s="11" t="s">
        <v>119</v>
      </c>
      <c r="E44" s="1"/>
      <c r="F44" s="1"/>
      <c r="G44" s="1"/>
      <c r="H44" s="1"/>
      <c r="I44" s="1"/>
    </row>
    <row r="45" spans="1:9" x14ac:dyDescent="0.3">
      <c r="A45" s="7" t="s">
        <v>166</v>
      </c>
      <c r="B45" s="31">
        <v>3</v>
      </c>
      <c r="C45" s="11" t="s">
        <v>167</v>
      </c>
      <c r="D45" s="11" t="s">
        <v>119</v>
      </c>
      <c r="E45" s="1"/>
      <c r="F45" s="1"/>
      <c r="G45" s="1"/>
      <c r="H45" s="1"/>
      <c r="I45" s="1"/>
    </row>
    <row r="46" spans="1:9" x14ac:dyDescent="0.3">
      <c r="A46" s="7" t="s">
        <v>168</v>
      </c>
      <c r="B46" s="29">
        <v>0.05</v>
      </c>
      <c r="C46" s="11" t="s">
        <v>122</v>
      </c>
      <c r="D46" s="11" t="s">
        <v>119</v>
      </c>
      <c r="E46" s="1"/>
      <c r="F46" s="1"/>
      <c r="G46" s="1"/>
      <c r="H46" s="1"/>
      <c r="I46" s="1"/>
    </row>
    <row r="47" spans="1:9" x14ac:dyDescent="0.3">
      <c r="A47" s="7" t="s">
        <v>169</v>
      </c>
      <c r="B47" s="27">
        <v>-3</v>
      </c>
      <c r="C47" s="11" t="s">
        <v>170</v>
      </c>
      <c r="D47" s="11" t="s">
        <v>119</v>
      </c>
      <c r="E47" s="1"/>
      <c r="F47" s="1"/>
      <c r="G47" s="1"/>
      <c r="H47" s="1"/>
      <c r="I47" s="1"/>
    </row>
    <row r="48" spans="1:9" x14ac:dyDescent="0.3">
      <c r="A48" s="7" t="s">
        <v>171</v>
      </c>
      <c r="B48" s="29">
        <v>0.1</v>
      </c>
      <c r="C48" s="11" t="s">
        <v>122</v>
      </c>
      <c r="D48" s="11" t="s">
        <v>119</v>
      </c>
      <c r="E48" s="1"/>
      <c r="F48" s="1"/>
      <c r="G48" s="1"/>
      <c r="H48" s="1"/>
      <c r="I48" s="1"/>
    </row>
    <row r="49" spans="1:9" x14ac:dyDescent="0.3">
      <c r="A49" s="7" t="s">
        <v>172</v>
      </c>
      <c r="B49" s="29">
        <v>0.2</v>
      </c>
      <c r="C49" s="11" t="s">
        <v>122</v>
      </c>
      <c r="D49" s="11" t="s">
        <v>119</v>
      </c>
      <c r="E49" s="1"/>
      <c r="F49" s="1"/>
      <c r="G49" s="1"/>
      <c r="H49" s="1"/>
      <c r="I49" s="1"/>
    </row>
    <row r="50" spans="1:9" x14ac:dyDescent="0.3">
      <c r="A50" s="7" t="s">
        <v>173</v>
      </c>
      <c r="B50" s="29">
        <v>0.7</v>
      </c>
      <c r="C50" s="11" t="s">
        <v>122</v>
      </c>
      <c r="D50" s="11" t="s">
        <v>119</v>
      </c>
      <c r="E50" s="1"/>
      <c r="F50" s="1"/>
      <c r="G50" s="1"/>
      <c r="H50" s="1"/>
      <c r="I50" s="1"/>
    </row>
    <row r="51" spans="1:9" x14ac:dyDescent="0.3">
      <c r="A51" s="7" t="s">
        <v>174</v>
      </c>
      <c r="B51" s="29">
        <v>0.03</v>
      </c>
      <c r="C51" s="11" t="s">
        <v>122</v>
      </c>
      <c r="D51" s="11" t="s">
        <v>119</v>
      </c>
      <c r="E51" s="1"/>
      <c r="F51" s="1"/>
      <c r="G51" s="1"/>
      <c r="H51" s="1"/>
      <c r="I51" s="1"/>
    </row>
    <row r="52" spans="1:9" x14ac:dyDescent="0.3">
      <c r="A52" s="7" t="s">
        <v>175</v>
      </c>
      <c r="B52" s="29">
        <v>0.02</v>
      </c>
      <c r="C52" s="11" t="s">
        <v>176</v>
      </c>
      <c r="D52" s="11" t="s">
        <v>119</v>
      </c>
      <c r="E52" s="1"/>
      <c r="F52" s="1"/>
      <c r="G52" s="1"/>
      <c r="H52" s="1"/>
      <c r="I52" s="1"/>
    </row>
    <row r="53" spans="1:9" x14ac:dyDescent="0.3">
      <c r="A53" s="13" t="s">
        <v>177</v>
      </c>
      <c r="B53" s="14"/>
      <c r="C53" s="14"/>
      <c r="D53" s="14"/>
      <c r="E53" s="1"/>
      <c r="F53" s="1"/>
      <c r="G53" s="1"/>
      <c r="H53" s="1"/>
      <c r="I53" s="1"/>
    </row>
    <row r="54" spans="1:9" x14ac:dyDescent="0.3">
      <c r="A54" s="7" t="s">
        <v>178</v>
      </c>
      <c r="B54" s="28"/>
      <c r="C54" s="11" t="s">
        <v>179</v>
      </c>
      <c r="D54" s="11" t="s">
        <v>132</v>
      </c>
      <c r="E54" s="1"/>
      <c r="F54" s="1"/>
      <c r="G54" s="1"/>
      <c r="H54" s="1"/>
      <c r="I54" s="1"/>
    </row>
    <row r="55" spans="1:9" x14ac:dyDescent="0.3">
      <c r="A55" s="7" t="s">
        <v>180</v>
      </c>
      <c r="B55" s="29">
        <v>0.05</v>
      </c>
      <c r="C55" s="11" t="s">
        <v>122</v>
      </c>
      <c r="D55" s="11" t="s">
        <v>181</v>
      </c>
      <c r="E55" s="1"/>
      <c r="F55" s="1"/>
      <c r="G55" s="1"/>
      <c r="H55" s="1"/>
      <c r="I55" s="1"/>
    </row>
    <row r="56" spans="1:9" x14ac:dyDescent="0.3">
      <c r="A56" s="7" t="s">
        <v>182</v>
      </c>
      <c r="B56" s="29">
        <v>0.01</v>
      </c>
      <c r="C56" s="11" t="s">
        <v>122</v>
      </c>
      <c r="D56" s="11" t="s">
        <v>181</v>
      </c>
      <c r="E56" s="1"/>
      <c r="F56" s="1"/>
      <c r="G56" s="1"/>
      <c r="H56" s="1"/>
      <c r="I56" s="1"/>
    </row>
    <row r="57" spans="1:9" x14ac:dyDescent="0.3">
      <c r="A57" s="7" t="s">
        <v>183</v>
      </c>
      <c r="B57" s="29">
        <v>0.3</v>
      </c>
      <c r="C57" s="11" t="s">
        <v>184</v>
      </c>
      <c r="D57" s="11" t="s">
        <v>181</v>
      </c>
      <c r="E57" s="1"/>
      <c r="F57" s="1"/>
      <c r="G57" s="1"/>
      <c r="H57" s="1"/>
      <c r="I57" s="1"/>
    </row>
    <row r="58" spans="1:9" x14ac:dyDescent="0.3">
      <c r="A58" s="7" t="s">
        <v>185</v>
      </c>
      <c r="B58" s="29">
        <v>0.04</v>
      </c>
      <c r="C58" s="11" t="s">
        <v>122</v>
      </c>
      <c r="D58" s="11" t="s">
        <v>181</v>
      </c>
      <c r="E58" s="1"/>
      <c r="F58" s="1"/>
      <c r="G58" s="1"/>
      <c r="H58" s="1"/>
      <c r="I58" s="1"/>
    </row>
    <row r="59" spans="1:9" x14ac:dyDescent="0.3">
      <c r="A59" s="7" t="s">
        <v>186</v>
      </c>
      <c r="B59" s="27">
        <v>12</v>
      </c>
      <c r="C59" s="11" t="s">
        <v>170</v>
      </c>
      <c r="D59" s="11" t="s">
        <v>181</v>
      </c>
      <c r="E59" s="1"/>
      <c r="F59" s="1"/>
      <c r="G59" s="1"/>
      <c r="H59" s="1"/>
      <c r="I59" s="1"/>
    </row>
    <row r="60" spans="1:9" x14ac:dyDescent="0.3">
      <c r="A60" s="7" t="s">
        <v>187</v>
      </c>
      <c r="B60" s="32"/>
      <c r="C60" s="11" t="s">
        <v>122</v>
      </c>
      <c r="D60" s="11" t="s">
        <v>132</v>
      </c>
      <c r="E60" s="1"/>
      <c r="F60" s="1"/>
      <c r="G60" s="1"/>
      <c r="H60" s="1"/>
      <c r="I60" s="1"/>
    </row>
    <row r="61" spans="1:9" x14ac:dyDescent="0.3">
      <c r="A61" s="7" t="s">
        <v>188</v>
      </c>
      <c r="B61" s="29">
        <v>0.02</v>
      </c>
      <c r="C61" s="11" t="s">
        <v>122</v>
      </c>
      <c r="D61" s="11" t="s">
        <v>181</v>
      </c>
      <c r="E61" s="1"/>
      <c r="F61" s="1"/>
      <c r="G61" s="1"/>
      <c r="H61" s="1"/>
      <c r="I61" s="1"/>
    </row>
    <row r="62" spans="1:9" x14ac:dyDescent="0.3">
      <c r="A62" s="7" t="s">
        <v>189</v>
      </c>
      <c r="B62" s="27">
        <v>5</v>
      </c>
      <c r="C62" s="11" t="s">
        <v>190</v>
      </c>
      <c r="D62" s="11" t="s">
        <v>181</v>
      </c>
      <c r="E62" s="1"/>
      <c r="F62" s="1"/>
      <c r="G62" s="1"/>
      <c r="H62" s="1"/>
      <c r="I62" s="1"/>
    </row>
    <row r="63" spans="1:9" x14ac:dyDescent="0.3">
      <c r="A63" s="13" t="s">
        <v>191</v>
      </c>
      <c r="B63" s="14"/>
      <c r="C63" s="14"/>
      <c r="D63" s="14"/>
      <c r="E63" s="1"/>
      <c r="F63" s="1"/>
      <c r="G63" s="1"/>
      <c r="H63" s="1"/>
      <c r="I63" s="1"/>
    </row>
    <row r="64" spans="1:9" x14ac:dyDescent="0.3">
      <c r="A64" s="7" t="s">
        <v>192</v>
      </c>
      <c r="B64" s="28">
        <v>24000</v>
      </c>
      <c r="C64" s="11" t="s">
        <v>193</v>
      </c>
      <c r="D64" s="11" t="s">
        <v>119</v>
      </c>
      <c r="E64" s="1"/>
      <c r="F64" s="1"/>
      <c r="G64" s="1"/>
      <c r="H64" s="1"/>
      <c r="I64" s="1"/>
    </row>
    <row r="65" spans="1:9" x14ac:dyDescent="0.3">
      <c r="A65" s="7" t="s">
        <v>194</v>
      </c>
      <c r="B65" s="30">
        <v>14000</v>
      </c>
      <c r="C65" s="11" t="s">
        <v>161</v>
      </c>
      <c r="D65" s="11" t="s">
        <v>119</v>
      </c>
      <c r="E65" s="1"/>
      <c r="F65" s="1"/>
      <c r="G65" s="1"/>
      <c r="H65" s="1"/>
      <c r="I65" s="1"/>
    </row>
    <row r="66" spans="1:9" x14ac:dyDescent="0.3">
      <c r="A66" s="7" t="s">
        <v>195</v>
      </c>
      <c r="B66" s="30">
        <v>2500000</v>
      </c>
      <c r="C66" s="11" t="s">
        <v>7</v>
      </c>
      <c r="D66" s="11" t="s">
        <v>119</v>
      </c>
      <c r="E66" s="1"/>
      <c r="F66" s="1"/>
      <c r="G66" s="1"/>
      <c r="H66" s="1"/>
      <c r="I66" s="1"/>
    </row>
    <row r="67" spans="1:9" x14ac:dyDescent="0.3">
      <c r="A67" s="7" t="s">
        <v>196</v>
      </c>
      <c r="B67" s="30">
        <v>6000000</v>
      </c>
      <c r="C67" s="11" t="s">
        <v>7</v>
      </c>
      <c r="D67" s="11" t="s">
        <v>119</v>
      </c>
      <c r="E67" s="1"/>
      <c r="F67" s="1"/>
      <c r="G67" s="1"/>
      <c r="H67" s="1"/>
      <c r="I67" s="1"/>
    </row>
    <row r="68" spans="1:9" x14ac:dyDescent="0.3">
      <c r="A68" s="7" t="s">
        <v>197</v>
      </c>
      <c r="B68" s="30"/>
      <c r="C68" s="11" t="s">
        <v>7</v>
      </c>
      <c r="D68" s="11" t="s">
        <v>132</v>
      </c>
      <c r="E68" s="1"/>
      <c r="F68" s="1"/>
      <c r="G68" s="1"/>
      <c r="H68" s="1"/>
      <c r="I68" s="1"/>
    </row>
    <row r="69" spans="1:9" x14ac:dyDescent="0.3">
      <c r="A69" s="7" t="s">
        <v>198</v>
      </c>
      <c r="B69" s="29">
        <v>0.05</v>
      </c>
      <c r="C69" s="11" t="s">
        <v>199</v>
      </c>
      <c r="D69" s="11" t="s">
        <v>119</v>
      </c>
      <c r="E69" s="1"/>
      <c r="F69" s="1"/>
      <c r="G69" s="1"/>
      <c r="H69" s="1"/>
      <c r="I69" s="1"/>
    </row>
    <row r="70" spans="1:9" x14ac:dyDescent="0.3">
      <c r="A70" s="7" t="s">
        <v>200</v>
      </c>
      <c r="B70" s="29">
        <v>2.5000000000000001E-2</v>
      </c>
      <c r="C70" s="11" t="s">
        <v>199</v>
      </c>
      <c r="D70" s="11" t="s">
        <v>119</v>
      </c>
      <c r="E70" s="1"/>
      <c r="F70" s="1"/>
      <c r="G70" s="1"/>
      <c r="H70" s="1"/>
      <c r="I70" s="1"/>
    </row>
    <row r="71" spans="1:9" x14ac:dyDescent="0.3">
      <c r="A71" s="7" t="s">
        <v>201</v>
      </c>
      <c r="B71" s="29">
        <v>3.5000000000000003E-2</v>
      </c>
      <c r="C71" s="11" t="s">
        <v>199</v>
      </c>
      <c r="D71" s="11" t="s">
        <v>119</v>
      </c>
      <c r="E71" s="1"/>
      <c r="F71" s="1"/>
      <c r="G71" s="1"/>
      <c r="H71" s="1"/>
      <c r="I71" s="1"/>
    </row>
    <row r="72" spans="1:9" x14ac:dyDescent="0.3">
      <c r="A72" s="7" t="s">
        <v>202</v>
      </c>
      <c r="B72" s="29">
        <v>1.4999999999999999E-2</v>
      </c>
      <c r="C72" s="11" t="s">
        <v>199</v>
      </c>
      <c r="D72" s="11" t="s">
        <v>119</v>
      </c>
      <c r="E72" s="1"/>
      <c r="F72" s="1"/>
      <c r="G72" s="1"/>
      <c r="H72" s="1"/>
      <c r="I72" s="1"/>
    </row>
    <row r="73" spans="1:9" x14ac:dyDescent="0.3">
      <c r="A73" s="7" t="s">
        <v>203</v>
      </c>
      <c r="B73" s="29">
        <v>0.05</v>
      </c>
      <c r="C73" s="11" t="s">
        <v>204</v>
      </c>
      <c r="D73" s="11" t="s">
        <v>119</v>
      </c>
      <c r="E73" s="1"/>
      <c r="F73" s="1"/>
      <c r="G73" s="1"/>
      <c r="H73" s="1"/>
      <c r="I73" s="1"/>
    </row>
    <row r="74" spans="1:9" x14ac:dyDescent="0.3">
      <c r="A74" s="7" t="s">
        <v>205</v>
      </c>
      <c r="B74" s="8" t="s">
        <v>206</v>
      </c>
      <c r="C74" s="11"/>
      <c r="D74" s="11" t="s">
        <v>181</v>
      </c>
      <c r="E74" s="1"/>
      <c r="F74" s="1"/>
      <c r="G74" s="1"/>
      <c r="H74" s="1"/>
      <c r="I74" s="1"/>
    </row>
    <row r="75" spans="1:9" x14ac:dyDescent="0.3">
      <c r="A75" s="7" t="s">
        <v>207</v>
      </c>
      <c r="B75" s="29">
        <v>0.05</v>
      </c>
      <c r="C75" s="11" t="s">
        <v>122</v>
      </c>
      <c r="D75" s="11" t="s">
        <v>119</v>
      </c>
      <c r="E75" s="1"/>
      <c r="F75" s="1"/>
      <c r="G75" s="1"/>
      <c r="H75" s="1"/>
      <c r="I75" s="1"/>
    </row>
    <row r="76" spans="1:9" x14ac:dyDescent="0.3">
      <c r="A76" s="7" t="s">
        <v>208</v>
      </c>
      <c r="B76" s="29">
        <v>0.03</v>
      </c>
      <c r="C76" s="11" t="s">
        <v>204</v>
      </c>
      <c r="D76" s="11" t="s">
        <v>119</v>
      </c>
      <c r="E76" s="1"/>
      <c r="F76" s="1"/>
      <c r="G76" s="1"/>
      <c r="H76" s="1"/>
      <c r="I76" s="1"/>
    </row>
    <row r="77" spans="1:9" x14ac:dyDescent="0.3">
      <c r="A77" s="13" t="s">
        <v>209</v>
      </c>
      <c r="B77" s="14"/>
      <c r="C77" s="14"/>
      <c r="D77" s="14"/>
      <c r="E77" s="1"/>
      <c r="F77" s="1"/>
      <c r="G77" s="1"/>
      <c r="H77" s="1"/>
      <c r="I77" s="1"/>
    </row>
    <row r="78" spans="1:9" x14ac:dyDescent="0.3">
      <c r="A78" s="7" t="s">
        <v>210</v>
      </c>
      <c r="B78" s="27">
        <v>8</v>
      </c>
      <c r="C78" s="11" t="s">
        <v>170</v>
      </c>
      <c r="D78" s="11" t="s">
        <v>119</v>
      </c>
      <c r="E78" s="1"/>
      <c r="F78" s="1"/>
      <c r="G78" s="1"/>
      <c r="H78" s="1"/>
      <c r="I78" s="1"/>
    </row>
    <row r="79" spans="1:9" x14ac:dyDescent="0.3">
      <c r="A79" s="7" t="s">
        <v>211</v>
      </c>
      <c r="B79" s="31">
        <v>24</v>
      </c>
      <c r="C79" s="11" t="s">
        <v>170</v>
      </c>
      <c r="D79" s="11" t="s">
        <v>119</v>
      </c>
      <c r="E79" s="1"/>
      <c r="F79" s="1"/>
      <c r="G79" s="1"/>
      <c r="H79" s="1"/>
      <c r="I79" s="1"/>
    </row>
    <row r="80" spans="1:9" x14ac:dyDescent="0.3">
      <c r="A80" s="13" t="s">
        <v>105</v>
      </c>
      <c r="B80" s="14"/>
      <c r="C80" s="14"/>
      <c r="D80" s="14"/>
      <c r="E80" s="1"/>
      <c r="F80" s="1"/>
      <c r="G80" s="1"/>
      <c r="H80" s="1"/>
      <c r="I80" s="1"/>
    </row>
    <row r="81" spans="1:9" x14ac:dyDescent="0.3">
      <c r="A81" s="7" t="s">
        <v>212</v>
      </c>
      <c r="B81" s="32">
        <v>0.45</v>
      </c>
      <c r="C81" s="11" t="s">
        <v>122</v>
      </c>
      <c r="D81" s="11" t="s">
        <v>119</v>
      </c>
      <c r="E81" s="1"/>
      <c r="F81" s="1"/>
      <c r="G81" s="1"/>
      <c r="H81" s="1"/>
      <c r="I81" s="1"/>
    </row>
    <row r="82" spans="1:9" x14ac:dyDescent="0.3">
      <c r="A82" s="7" t="s">
        <v>213</v>
      </c>
      <c r="B82" s="8" t="s">
        <v>214</v>
      </c>
      <c r="C82" s="11"/>
      <c r="D82" s="11" t="s">
        <v>119</v>
      </c>
      <c r="E82" s="1"/>
      <c r="F82" s="1"/>
      <c r="G82" s="1"/>
      <c r="H82" s="1"/>
      <c r="I82" s="1"/>
    </row>
    <row r="83" spans="1:9" x14ac:dyDescent="0.3">
      <c r="A83" s="7" t="s">
        <v>215</v>
      </c>
      <c r="B83" s="29">
        <v>7.2499999999999995E-2</v>
      </c>
      <c r="C83" s="11" t="s">
        <v>122</v>
      </c>
      <c r="D83" s="11" t="s">
        <v>119</v>
      </c>
      <c r="E83" s="1"/>
      <c r="F83" s="1"/>
      <c r="G83" s="1"/>
      <c r="H83" s="1"/>
      <c r="I83" s="1"/>
    </row>
    <row r="84" spans="1:9" x14ac:dyDescent="0.3">
      <c r="A84" s="7" t="s">
        <v>216</v>
      </c>
      <c r="B84" s="29">
        <v>3.5000000000000003E-2</v>
      </c>
      <c r="C84" s="11" t="s">
        <v>122</v>
      </c>
      <c r="D84" s="11" t="s">
        <v>119</v>
      </c>
      <c r="E84" s="1"/>
      <c r="F84" s="1"/>
      <c r="G84" s="1"/>
      <c r="H84" s="1"/>
      <c r="I84" s="1"/>
    </row>
    <row r="85" spans="1:9" x14ac:dyDescent="0.3">
      <c r="A85" s="7" t="s">
        <v>217</v>
      </c>
      <c r="B85" s="29"/>
      <c r="C85" s="11" t="s">
        <v>122</v>
      </c>
      <c r="D85" s="11" t="s">
        <v>132</v>
      </c>
      <c r="E85" s="1"/>
      <c r="F85" s="1"/>
      <c r="G85" s="1"/>
      <c r="H85" s="1"/>
      <c r="I85" s="1"/>
    </row>
    <row r="86" spans="1:9" x14ac:dyDescent="0.3">
      <c r="A86" s="7" t="s">
        <v>218</v>
      </c>
      <c r="B86" s="29">
        <v>0.01</v>
      </c>
      <c r="C86" s="11" t="s">
        <v>219</v>
      </c>
      <c r="D86" s="11" t="s">
        <v>119</v>
      </c>
      <c r="E86" s="1"/>
      <c r="F86" s="1"/>
      <c r="G86" s="1"/>
      <c r="H86" s="1"/>
      <c r="I86" s="1"/>
    </row>
    <row r="87" spans="1:9" x14ac:dyDescent="0.3">
      <c r="A87" s="7" t="s">
        <v>220</v>
      </c>
      <c r="B87" s="29">
        <v>5.0000000000000001E-3</v>
      </c>
      <c r="C87" s="11" t="s">
        <v>221</v>
      </c>
      <c r="D87" s="11" t="s">
        <v>119</v>
      </c>
      <c r="E87" s="1"/>
      <c r="F87" s="1"/>
      <c r="G87" s="1"/>
      <c r="H87" s="1"/>
      <c r="I87" s="1"/>
    </row>
    <row r="88" spans="1:9" x14ac:dyDescent="0.3">
      <c r="A88" s="7" t="s">
        <v>222</v>
      </c>
      <c r="B88" s="8" t="b">
        <v>1</v>
      </c>
      <c r="C88" s="11"/>
      <c r="D88" s="11" t="s">
        <v>119</v>
      </c>
      <c r="E88" s="1"/>
      <c r="F88" s="1"/>
      <c r="G88" s="1"/>
      <c r="H88" s="1"/>
      <c r="I88" s="1"/>
    </row>
    <row r="89" spans="1:9" x14ac:dyDescent="0.3">
      <c r="A89" s="7" t="s">
        <v>223</v>
      </c>
      <c r="B89" s="27">
        <v>42</v>
      </c>
      <c r="C89" s="11" t="s">
        <v>170</v>
      </c>
      <c r="D89" s="11" t="s">
        <v>119</v>
      </c>
      <c r="E89" s="1"/>
      <c r="F89" s="1"/>
      <c r="G89" s="1"/>
      <c r="H89" s="1"/>
      <c r="I89" s="1"/>
    </row>
    <row r="90" spans="1:9" x14ac:dyDescent="0.3">
      <c r="A90" s="7" t="s">
        <v>224</v>
      </c>
      <c r="B90" s="29">
        <v>1</v>
      </c>
      <c r="C90" s="11" t="s">
        <v>122</v>
      </c>
      <c r="D90" s="11" t="s">
        <v>119</v>
      </c>
      <c r="E90" s="1"/>
      <c r="F90" s="1"/>
      <c r="G90" s="1"/>
      <c r="H90" s="1"/>
      <c r="I90" s="1"/>
    </row>
    <row r="91" spans="1:9" x14ac:dyDescent="0.3">
      <c r="A91" s="7" t="s">
        <v>225</v>
      </c>
      <c r="B91" s="27">
        <v>25</v>
      </c>
      <c r="C91" s="11" t="s">
        <v>190</v>
      </c>
      <c r="D91" s="11" t="s">
        <v>181</v>
      </c>
      <c r="E91" s="1"/>
      <c r="F91" s="1"/>
      <c r="G91" s="1"/>
      <c r="H91" s="1"/>
      <c r="I91" s="1"/>
    </row>
    <row r="92" spans="1:9" x14ac:dyDescent="0.3">
      <c r="A92" s="7" t="s">
        <v>226</v>
      </c>
      <c r="B92" s="29">
        <v>0</v>
      </c>
      <c r="C92" s="11" t="s">
        <v>122</v>
      </c>
      <c r="D92" s="11" t="s">
        <v>119</v>
      </c>
      <c r="E92" s="1"/>
      <c r="F92" s="1"/>
      <c r="G92" s="1"/>
      <c r="H92" s="1"/>
      <c r="I92" s="1"/>
    </row>
    <row r="93" spans="1:9" x14ac:dyDescent="0.3">
      <c r="A93" s="7" t="s">
        <v>227</v>
      </c>
      <c r="B93" s="29"/>
      <c r="C93" s="11" t="s">
        <v>122</v>
      </c>
      <c r="D93" s="11" t="s">
        <v>132</v>
      </c>
      <c r="E93" s="1"/>
      <c r="F93" s="1"/>
      <c r="G93" s="1"/>
      <c r="H93" s="1"/>
      <c r="I93" s="1"/>
    </row>
    <row r="94" spans="1:9" x14ac:dyDescent="0.3">
      <c r="A94" s="7" t="s">
        <v>228</v>
      </c>
      <c r="B94" s="29">
        <v>0.2</v>
      </c>
      <c r="C94" s="11" t="s">
        <v>122</v>
      </c>
      <c r="D94" s="11" t="s">
        <v>119</v>
      </c>
      <c r="E94" s="1"/>
      <c r="F94" s="1"/>
      <c r="G94" s="1"/>
      <c r="H94" s="1"/>
      <c r="I94" s="1"/>
    </row>
    <row r="95" spans="1:9" x14ac:dyDescent="0.3">
      <c r="A95" s="7" t="s">
        <v>229</v>
      </c>
      <c r="B95" s="29">
        <v>0.1</v>
      </c>
      <c r="C95" s="11" t="s">
        <v>221</v>
      </c>
      <c r="D95" s="11" t="s">
        <v>119</v>
      </c>
      <c r="E95" s="1"/>
      <c r="F95" s="1"/>
      <c r="G95" s="1"/>
      <c r="H95" s="1"/>
      <c r="I95" s="1"/>
    </row>
    <row r="96" spans="1:9" x14ac:dyDescent="0.3">
      <c r="A96" s="7" t="s">
        <v>230</v>
      </c>
      <c r="B96" s="29">
        <v>0.2</v>
      </c>
      <c r="C96" s="11" t="s">
        <v>122</v>
      </c>
      <c r="D96" s="11" t="s">
        <v>119</v>
      </c>
      <c r="E96" s="1"/>
      <c r="F96" s="1"/>
      <c r="G96" s="1"/>
      <c r="H96" s="1"/>
      <c r="I96" s="1"/>
    </row>
    <row r="97" spans="1:9" x14ac:dyDescent="0.3">
      <c r="A97" s="7" t="s">
        <v>231</v>
      </c>
      <c r="B97" s="29">
        <v>0.6</v>
      </c>
      <c r="C97" s="11" t="s">
        <v>122</v>
      </c>
      <c r="D97" s="11" t="s">
        <v>119</v>
      </c>
      <c r="E97" s="1"/>
      <c r="F97" s="1"/>
      <c r="G97" s="1"/>
      <c r="H97" s="1"/>
      <c r="I97" s="1"/>
    </row>
    <row r="98" spans="1:9" x14ac:dyDescent="0.3">
      <c r="A98" s="7" t="s">
        <v>232</v>
      </c>
      <c r="B98" s="29">
        <v>0.45</v>
      </c>
      <c r="C98" s="11" t="s">
        <v>122</v>
      </c>
      <c r="D98" s="11" t="s">
        <v>119</v>
      </c>
      <c r="E98" s="1"/>
      <c r="F98" s="1"/>
      <c r="G98" s="1"/>
      <c r="H98" s="1"/>
      <c r="I98" s="1"/>
    </row>
    <row r="99" spans="1:9" x14ac:dyDescent="0.3">
      <c r="A99" s="7" t="s">
        <v>233</v>
      </c>
      <c r="B99" s="29">
        <v>0.3</v>
      </c>
      <c r="C99" s="11" t="s">
        <v>234</v>
      </c>
      <c r="D99" s="11" t="s">
        <v>119</v>
      </c>
      <c r="E99" s="1"/>
      <c r="F99" s="1"/>
      <c r="G99" s="1"/>
      <c r="H99" s="1"/>
      <c r="I99" s="1"/>
    </row>
    <row r="100" spans="1:9" x14ac:dyDescent="0.3">
      <c r="A100" s="7" t="s">
        <v>235</v>
      </c>
      <c r="B100" s="27">
        <v>1.25</v>
      </c>
      <c r="C100" s="11" t="s">
        <v>236</v>
      </c>
      <c r="D100" s="11" t="s">
        <v>119</v>
      </c>
      <c r="E100" s="1"/>
      <c r="F100" s="1"/>
      <c r="G100" s="1"/>
      <c r="H100" s="1"/>
      <c r="I100" s="1"/>
    </row>
    <row r="101" spans="1:9" x14ac:dyDescent="0.3">
      <c r="A101" s="13" t="s">
        <v>237</v>
      </c>
      <c r="B101" s="14"/>
      <c r="C101" s="14"/>
      <c r="D101" s="14"/>
      <c r="E101" s="1"/>
      <c r="F101" s="1"/>
      <c r="G101" s="1"/>
      <c r="H101" s="1"/>
      <c r="I101" s="1"/>
    </row>
    <row r="102" spans="1:9" x14ac:dyDescent="0.3">
      <c r="A102" s="7" t="s">
        <v>238</v>
      </c>
      <c r="B102" s="29">
        <v>0.12</v>
      </c>
      <c r="C102" s="11" t="s">
        <v>221</v>
      </c>
      <c r="D102" s="11" t="s">
        <v>119</v>
      </c>
      <c r="E102" s="1"/>
      <c r="F102" s="1"/>
      <c r="G102" s="1"/>
      <c r="H102" s="1"/>
      <c r="I102" s="1"/>
    </row>
    <row r="103" spans="1:9" x14ac:dyDescent="0.3">
      <c r="A103" s="7" t="s">
        <v>239</v>
      </c>
      <c r="B103" s="29">
        <v>0.18</v>
      </c>
      <c r="C103" s="11" t="s">
        <v>221</v>
      </c>
      <c r="D103" s="11" t="s">
        <v>119</v>
      </c>
      <c r="E103" s="1"/>
      <c r="F103" s="1"/>
      <c r="G103" s="1"/>
      <c r="H103" s="1"/>
      <c r="I103" s="1"/>
    </row>
    <row r="104" spans="1:9" x14ac:dyDescent="0.3">
      <c r="A104" s="13" t="s">
        <v>240</v>
      </c>
      <c r="B104" s="14"/>
      <c r="C104" s="14"/>
      <c r="D104" s="14"/>
      <c r="E104" s="1"/>
      <c r="F104" s="1"/>
      <c r="G104" s="1"/>
      <c r="H104" s="1"/>
      <c r="I104" s="1"/>
    </row>
    <row r="105" spans="1:9" x14ac:dyDescent="0.3">
      <c r="A105" s="7" t="s">
        <v>241</v>
      </c>
      <c r="B105" s="30">
        <v>0</v>
      </c>
      <c r="C105" s="1"/>
      <c r="D105" s="11" t="s">
        <v>242</v>
      </c>
      <c r="E105" s="1"/>
      <c r="F105" s="1"/>
      <c r="G105" s="1"/>
      <c r="H105" s="1"/>
      <c r="I105" s="1"/>
    </row>
    <row r="106" spans="1:9" x14ac:dyDescent="0.3">
      <c r="A106" s="7" t="s">
        <v>243</v>
      </c>
      <c r="B106" s="29">
        <v>0</v>
      </c>
      <c r="C106" s="1"/>
      <c r="D106" s="11" t="s">
        <v>242</v>
      </c>
      <c r="E106" s="1"/>
      <c r="F106" s="1"/>
      <c r="G106" s="1"/>
      <c r="H106" s="1"/>
      <c r="I106" s="1"/>
    </row>
    <row r="107" spans="1:9" x14ac:dyDescent="0.3">
      <c r="A107" s="7" t="s">
        <v>244</v>
      </c>
      <c r="B107" s="29">
        <v>0</v>
      </c>
      <c r="C107" s="1"/>
      <c r="D107" s="11" t="s">
        <v>242</v>
      </c>
      <c r="E107" s="1"/>
      <c r="F107" s="1"/>
      <c r="G107" s="1"/>
      <c r="H107" s="1"/>
      <c r="I107" s="1"/>
    </row>
    <row r="108" spans="1:9" x14ac:dyDescent="0.3">
      <c r="A108" s="7" t="s">
        <v>245</v>
      </c>
      <c r="B108" s="30">
        <v>0</v>
      </c>
      <c r="C108" s="1"/>
      <c r="D108" s="11" t="s">
        <v>242</v>
      </c>
      <c r="E108" s="1"/>
      <c r="F108" s="1"/>
      <c r="G108" s="1"/>
      <c r="H108" s="1"/>
      <c r="I108" s="1"/>
    </row>
    <row r="109" spans="1:9" x14ac:dyDescent="0.3">
      <c r="A109" s="1"/>
      <c r="B109" s="1"/>
      <c r="C109" s="1"/>
      <c r="D109" s="1"/>
      <c r="E109" s="1"/>
      <c r="F109" s="1"/>
      <c r="G109" s="1"/>
      <c r="H109" s="1"/>
      <c r="I109" s="1"/>
    </row>
    <row r="110" spans="1:9" x14ac:dyDescent="0.3">
      <c r="A110" s="13" t="s">
        <v>246</v>
      </c>
      <c r="B110" s="14"/>
      <c r="C110" s="14"/>
      <c r="D110" s="14"/>
      <c r="E110" s="14"/>
      <c r="F110" s="14"/>
      <c r="G110" s="14"/>
      <c r="H110" s="14"/>
      <c r="I110" s="1"/>
    </row>
    <row r="111" spans="1:9" x14ac:dyDescent="0.3">
      <c r="A111" s="12" t="s">
        <v>247</v>
      </c>
      <c r="B111" s="12" t="s">
        <v>248</v>
      </c>
      <c r="C111" s="12" t="s">
        <v>249</v>
      </c>
      <c r="D111" s="12" t="s">
        <v>250</v>
      </c>
      <c r="E111" s="12" t="s">
        <v>251</v>
      </c>
      <c r="F111" s="12" t="s">
        <v>252</v>
      </c>
      <c r="G111" s="12" t="s">
        <v>253</v>
      </c>
      <c r="H111" s="1"/>
      <c r="I111" s="1"/>
    </row>
    <row r="112" spans="1:9" x14ac:dyDescent="0.3">
      <c r="A112" s="27" t="s">
        <v>254</v>
      </c>
      <c r="B112" s="27">
        <v>75</v>
      </c>
      <c r="C112" s="33">
        <v>0.2</v>
      </c>
      <c r="D112" s="27">
        <v>8</v>
      </c>
      <c r="E112" s="33">
        <v>0.06</v>
      </c>
      <c r="F112" s="27">
        <v>1</v>
      </c>
      <c r="G112" s="27">
        <v>1.5</v>
      </c>
      <c r="H112" s="1"/>
      <c r="I112" s="1"/>
    </row>
    <row r="113" spans="1:9" x14ac:dyDescent="0.3">
      <c r="A113" s="27" t="s">
        <v>255</v>
      </c>
      <c r="B113" s="27">
        <v>115</v>
      </c>
      <c r="C113" s="33">
        <v>0.5</v>
      </c>
      <c r="D113" s="27">
        <v>12</v>
      </c>
      <c r="E113" s="33">
        <v>0</v>
      </c>
      <c r="F113" s="27">
        <v>2</v>
      </c>
      <c r="G113" s="27">
        <v>2</v>
      </c>
      <c r="H113" s="1"/>
      <c r="I113" s="1"/>
    </row>
    <row r="114" spans="1:9" x14ac:dyDescent="0.3">
      <c r="A114" s="27" t="s">
        <v>256</v>
      </c>
      <c r="B114" s="27">
        <v>165</v>
      </c>
      <c r="C114" s="33">
        <v>0.3</v>
      </c>
      <c r="D114" s="27">
        <v>20</v>
      </c>
      <c r="E114" s="33">
        <v>-0.03</v>
      </c>
      <c r="F114" s="27">
        <v>3</v>
      </c>
      <c r="G114" s="27">
        <v>3.5</v>
      </c>
      <c r="H114" s="1"/>
      <c r="I114" s="1"/>
    </row>
    <row r="115" spans="1:9" x14ac:dyDescent="0.3">
      <c r="A115" s="27"/>
      <c r="B115" s="27">
        <v>0</v>
      </c>
      <c r="C115" s="33">
        <v>0</v>
      </c>
      <c r="D115" s="27">
        <v>0</v>
      </c>
      <c r="E115" s="33">
        <v>0</v>
      </c>
      <c r="F115" s="27"/>
      <c r="G115" s="27"/>
      <c r="H115" s="1"/>
      <c r="I115" s="1"/>
    </row>
    <row r="116" spans="1:9" x14ac:dyDescent="0.3">
      <c r="A116" s="27"/>
      <c r="B116" s="27">
        <v>0</v>
      </c>
      <c r="C116" s="33">
        <v>0</v>
      </c>
      <c r="D116" s="27">
        <v>0</v>
      </c>
      <c r="E116" s="33">
        <v>0</v>
      </c>
      <c r="F116" s="27"/>
      <c r="G116" s="27"/>
      <c r="H116" s="1"/>
      <c r="I116" s="1"/>
    </row>
    <row r="117" spans="1:9" x14ac:dyDescent="0.3">
      <c r="A117" s="27"/>
      <c r="B117" s="27">
        <v>0</v>
      </c>
      <c r="C117" s="33">
        <v>0</v>
      </c>
      <c r="D117" s="27">
        <v>0</v>
      </c>
      <c r="E117" s="33">
        <v>0</v>
      </c>
      <c r="F117" s="27"/>
      <c r="G117" s="27"/>
      <c r="H117" s="1"/>
      <c r="I117" s="1"/>
    </row>
    <row r="118" spans="1:9" x14ac:dyDescent="0.3">
      <c r="A118" s="27"/>
      <c r="B118" s="27">
        <v>0</v>
      </c>
      <c r="C118" s="33">
        <v>0</v>
      </c>
      <c r="D118" s="27">
        <v>0</v>
      </c>
      <c r="E118" s="33">
        <v>0</v>
      </c>
      <c r="F118" s="27"/>
      <c r="G118" s="27"/>
      <c r="H118" s="1"/>
      <c r="I118" s="1"/>
    </row>
    <row r="119" spans="1:9" x14ac:dyDescent="0.3">
      <c r="A119" s="27"/>
      <c r="B119" s="27">
        <v>0</v>
      </c>
      <c r="C119" s="33">
        <v>0</v>
      </c>
      <c r="D119" s="27">
        <v>0</v>
      </c>
      <c r="E119" s="33">
        <v>0</v>
      </c>
      <c r="F119" s="27"/>
      <c r="G119" s="27"/>
      <c r="H119" s="1"/>
      <c r="I119" s="1"/>
    </row>
    <row r="120" spans="1:9" x14ac:dyDescent="0.3">
      <c r="A120" s="4" t="s">
        <v>257</v>
      </c>
      <c r="B120" s="1"/>
      <c r="C120" s="15">
        <f>SUM(C112:C119)</f>
        <v>1</v>
      </c>
      <c r="D120" s="1"/>
      <c r="E120" s="1"/>
      <c r="F120" s="1"/>
      <c r="G120" s="1"/>
      <c r="H120" s="1"/>
      <c r="I120" s="1"/>
    </row>
    <row r="121" spans="1:9" x14ac:dyDescent="0.3">
      <c r="A121" s="1"/>
      <c r="B121" s="1"/>
      <c r="C121" s="1"/>
      <c r="D121" s="1"/>
      <c r="E121" s="1"/>
      <c r="F121" s="1"/>
      <c r="G121" s="1"/>
      <c r="H121" s="1"/>
      <c r="I121" s="1"/>
    </row>
    <row r="122" spans="1:9" x14ac:dyDescent="0.3">
      <c r="A122" s="13" t="s">
        <v>258</v>
      </c>
      <c r="B122" s="14"/>
      <c r="C122" s="14"/>
      <c r="D122" s="14"/>
      <c r="E122" s="1"/>
      <c r="F122" s="1"/>
      <c r="G122" s="1"/>
      <c r="H122" s="1"/>
      <c r="I122" s="1"/>
    </row>
    <row r="123" spans="1:9" x14ac:dyDescent="0.3">
      <c r="A123" s="7" t="s">
        <v>259</v>
      </c>
      <c r="B123" s="33">
        <v>0.04</v>
      </c>
      <c r="C123" s="1"/>
      <c r="D123" s="1"/>
      <c r="E123" s="1"/>
      <c r="F123" s="1"/>
      <c r="G123" s="1"/>
      <c r="H123" s="1"/>
      <c r="I123" s="1"/>
    </row>
    <row r="124" spans="1:9" x14ac:dyDescent="0.3">
      <c r="A124" s="7" t="s">
        <v>260</v>
      </c>
      <c r="B124" s="33">
        <v>0.08</v>
      </c>
      <c r="C124" s="1"/>
      <c r="D124" s="1"/>
      <c r="E124" s="1"/>
      <c r="F124" s="1"/>
      <c r="G124" s="1"/>
      <c r="H124" s="1"/>
      <c r="I124" s="1"/>
    </row>
    <row r="125" spans="1:9" x14ac:dyDescent="0.3">
      <c r="A125" s="7" t="s">
        <v>261</v>
      </c>
      <c r="B125" s="33">
        <v>0.27</v>
      </c>
      <c r="C125" s="1"/>
      <c r="D125" s="1"/>
      <c r="E125" s="1"/>
      <c r="F125" s="1"/>
      <c r="G125" s="1"/>
      <c r="H125" s="1"/>
      <c r="I125" s="1"/>
    </row>
    <row r="126" spans="1:9" x14ac:dyDescent="0.3">
      <c r="A126" s="7" t="s">
        <v>262</v>
      </c>
      <c r="B126" s="33">
        <v>0.09</v>
      </c>
      <c r="C126" s="1"/>
      <c r="D126" s="1"/>
      <c r="E126" s="1"/>
      <c r="F126" s="1"/>
      <c r="G126" s="1"/>
      <c r="H126" s="1"/>
      <c r="I126" s="1"/>
    </row>
    <row r="127" spans="1:9" x14ac:dyDescent="0.3">
      <c r="A127" s="7" t="s">
        <v>263</v>
      </c>
      <c r="B127" s="33">
        <v>0.18</v>
      </c>
      <c r="C127" s="1"/>
      <c r="D127" s="1"/>
      <c r="E127" s="1"/>
      <c r="F127" s="1"/>
      <c r="G127" s="1"/>
      <c r="H127" s="1"/>
      <c r="I127" s="1"/>
    </row>
    <row r="128" spans="1:9" x14ac:dyDescent="0.3">
      <c r="A128" s="7" t="s">
        <v>264</v>
      </c>
      <c r="B128" s="33">
        <v>0.04</v>
      </c>
      <c r="C128" s="1"/>
      <c r="D128" s="1"/>
      <c r="E128" s="1"/>
      <c r="F128" s="1"/>
      <c r="G128" s="1"/>
      <c r="H128" s="1"/>
      <c r="I128" s="1"/>
    </row>
    <row r="129" spans="1:9" x14ac:dyDescent="0.3">
      <c r="A129" s="7" t="s">
        <v>265</v>
      </c>
      <c r="B129" s="33">
        <v>0.19</v>
      </c>
      <c r="C129" s="1"/>
      <c r="D129" s="1"/>
      <c r="E129" s="1"/>
      <c r="F129" s="1"/>
      <c r="G129" s="1"/>
      <c r="H129" s="1"/>
      <c r="I129" s="1"/>
    </row>
    <row r="130" spans="1:9" x14ac:dyDescent="0.3">
      <c r="A130" s="7" t="s">
        <v>266</v>
      </c>
      <c r="B130" s="33">
        <v>0.04</v>
      </c>
      <c r="C130" s="1"/>
      <c r="D130" s="1"/>
      <c r="E130" s="1"/>
      <c r="F130" s="1"/>
      <c r="G130" s="1"/>
      <c r="H130" s="1"/>
      <c r="I130" s="1"/>
    </row>
    <row r="131" spans="1:9" x14ac:dyDescent="0.3">
      <c r="A131" s="7" t="s">
        <v>267</v>
      </c>
      <c r="B131" s="33">
        <v>0.02</v>
      </c>
      <c r="C131" s="1"/>
      <c r="D131" s="1"/>
      <c r="E131" s="1"/>
      <c r="F131" s="1"/>
      <c r="G131" s="1"/>
      <c r="H131" s="1"/>
      <c r="I131" s="1"/>
    </row>
    <row r="132" spans="1:9" x14ac:dyDescent="0.3">
      <c r="A132" s="7" t="s">
        <v>268</v>
      </c>
      <c r="B132" s="33">
        <v>0.05</v>
      </c>
      <c r="C132" s="1"/>
      <c r="D132" s="1"/>
      <c r="E132" s="1"/>
      <c r="F132" s="1"/>
      <c r="G132" s="1"/>
      <c r="H132" s="1"/>
      <c r="I132" s="1"/>
    </row>
    <row r="133" spans="1:9" x14ac:dyDescent="0.3">
      <c r="A133" s="1"/>
      <c r="B133" s="1"/>
      <c r="C133" s="1"/>
      <c r="D133" s="1"/>
      <c r="E133" s="1"/>
      <c r="F133" s="1"/>
      <c r="G133" s="1"/>
      <c r="H133" s="1"/>
      <c r="I133" s="1"/>
    </row>
    <row r="134" spans="1:9" x14ac:dyDescent="0.3">
      <c r="A134" s="13" t="s">
        <v>269</v>
      </c>
      <c r="B134" s="14"/>
      <c r="C134" s="14"/>
      <c r="D134" s="14"/>
      <c r="E134" s="1"/>
      <c r="F134" s="1"/>
      <c r="G134" s="1"/>
      <c r="H134" s="1"/>
      <c r="I134" s="1"/>
    </row>
    <row r="135" spans="1:9" x14ac:dyDescent="0.3">
      <c r="A135" s="7" t="s">
        <v>270</v>
      </c>
      <c r="B135" s="7">
        <f>0</f>
        <v>0</v>
      </c>
      <c r="C135" s="1"/>
      <c r="D135" s="1"/>
      <c r="E135" s="1"/>
      <c r="F135" s="1"/>
      <c r="G135" s="1"/>
      <c r="H135" s="1"/>
      <c r="I135" s="1"/>
    </row>
    <row r="136" spans="1:9" x14ac:dyDescent="0.3">
      <c r="A136" s="7" t="s">
        <v>271</v>
      </c>
      <c r="B136" s="7">
        <f>Sales_Start</f>
        <v>5</v>
      </c>
      <c r="C136" s="1"/>
      <c r="D136" s="1"/>
      <c r="E136" s="1"/>
      <c r="F136" s="1"/>
      <c r="G136" s="1"/>
      <c r="H136" s="1"/>
      <c r="I136" s="1"/>
    </row>
    <row r="137" spans="1:9" x14ac:dyDescent="0.3">
      <c r="A137" s="7" t="s">
        <v>272</v>
      </c>
      <c r="B137" s="7">
        <f>T_ConStart</f>
        <v>8</v>
      </c>
      <c r="C137" s="1"/>
      <c r="D137" s="1"/>
      <c r="E137" s="1"/>
      <c r="F137" s="1"/>
      <c r="G137" s="1"/>
      <c r="H137" s="1"/>
      <c r="I137" s="1"/>
    </row>
    <row r="138" spans="1:9" x14ac:dyDescent="0.3">
      <c r="A138" s="7" t="s">
        <v>273</v>
      </c>
      <c r="B138" s="7">
        <f>T_Delivery</f>
        <v>32</v>
      </c>
      <c r="C138" s="1"/>
      <c r="D138" s="1"/>
      <c r="E138" s="1"/>
      <c r="F138" s="1"/>
      <c r="G138" s="1"/>
      <c r="H138" s="1"/>
      <c r="I138" s="1"/>
    </row>
    <row r="139" spans="1:9" x14ac:dyDescent="0.3">
      <c r="A139" s="1"/>
      <c r="B139" s="1"/>
      <c r="C139" s="1"/>
      <c r="D139" s="1"/>
      <c r="E139" s="1"/>
      <c r="F139" s="1"/>
      <c r="G139" s="1"/>
      <c r="H139" s="1"/>
      <c r="I139" s="1"/>
    </row>
    <row r="140" spans="1:9" x14ac:dyDescent="0.3">
      <c r="A140" s="13" t="s">
        <v>274</v>
      </c>
      <c r="B140" s="14"/>
      <c r="C140" s="14"/>
      <c r="D140" s="14"/>
      <c r="E140" s="14"/>
      <c r="F140" s="14"/>
      <c r="G140" s="14"/>
      <c r="H140" s="1"/>
      <c r="I140" s="1"/>
    </row>
    <row r="141" spans="1:9" x14ac:dyDescent="0.3">
      <c r="A141" s="12" t="s">
        <v>275</v>
      </c>
      <c r="B141" s="12" t="s">
        <v>276</v>
      </c>
      <c r="C141" s="12" t="s">
        <v>277</v>
      </c>
      <c r="D141" s="12" t="s">
        <v>278</v>
      </c>
      <c r="E141" s="12" t="s">
        <v>279</v>
      </c>
      <c r="F141" s="12" t="s">
        <v>280</v>
      </c>
      <c r="G141" s="12" t="s">
        <v>281</v>
      </c>
      <c r="H141" s="1"/>
      <c r="I141" s="1"/>
    </row>
    <row r="142" spans="1:9" x14ac:dyDescent="0.3">
      <c r="A142" s="8"/>
      <c r="B142" s="8"/>
      <c r="C142" s="8">
        <v>0</v>
      </c>
      <c r="D142" s="8">
        <v>0</v>
      </c>
      <c r="E142" s="8">
        <v>0</v>
      </c>
      <c r="F142" s="23" t="str">
        <f t="shared" ref="F142:F149" si="0">IF(B142="","",INDEX(anchor_months,MATCH(B142,anchor_names,0))+C142)</f>
        <v/>
      </c>
      <c r="G142" s="23" t="str">
        <f t="shared" ref="G142:G149" si="1">IF(F142="","",F142+D142)</f>
        <v/>
      </c>
      <c r="H142" s="1"/>
      <c r="I142" s="1"/>
    </row>
    <row r="143" spans="1:9" x14ac:dyDescent="0.3">
      <c r="A143" s="8"/>
      <c r="B143" s="8"/>
      <c r="C143" s="8">
        <v>0</v>
      </c>
      <c r="D143" s="8">
        <v>0</v>
      </c>
      <c r="E143" s="8">
        <v>0</v>
      </c>
      <c r="F143" s="23" t="str">
        <f t="shared" si="0"/>
        <v/>
      </c>
      <c r="G143" s="23" t="str">
        <f t="shared" si="1"/>
        <v/>
      </c>
      <c r="H143" s="1"/>
      <c r="I143" s="1"/>
    </row>
    <row r="144" spans="1:9" x14ac:dyDescent="0.3">
      <c r="A144" s="8"/>
      <c r="B144" s="8"/>
      <c r="C144" s="8">
        <v>0</v>
      </c>
      <c r="D144" s="8">
        <v>0</v>
      </c>
      <c r="E144" s="8">
        <v>0</v>
      </c>
      <c r="F144" s="23" t="str">
        <f t="shared" si="0"/>
        <v/>
      </c>
      <c r="G144" s="23" t="str">
        <f t="shared" si="1"/>
        <v/>
      </c>
      <c r="H144" s="1"/>
      <c r="I144" s="1"/>
    </row>
    <row r="145" spans="1:9" x14ac:dyDescent="0.3">
      <c r="A145" s="8"/>
      <c r="B145" s="8"/>
      <c r="C145" s="8">
        <v>0</v>
      </c>
      <c r="D145" s="8">
        <v>0</v>
      </c>
      <c r="E145" s="8">
        <v>0</v>
      </c>
      <c r="F145" s="23" t="str">
        <f t="shared" si="0"/>
        <v/>
      </c>
      <c r="G145" s="23" t="str">
        <f t="shared" si="1"/>
        <v/>
      </c>
      <c r="H145" s="1"/>
      <c r="I145" s="1"/>
    </row>
    <row r="146" spans="1:9" x14ac:dyDescent="0.3">
      <c r="A146" s="8"/>
      <c r="B146" s="8"/>
      <c r="C146" s="8">
        <v>0</v>
      </c>
      <c r="D146" s="8">
        <v>0</v>
      </c>
      <c r="E146" s="8">
        <v>0</v>
      </c>
      <c r="F146" s="23" t="str">
        <f t="shared" si="0"/>
        <v/>
      </c>
      <c r="G146" s="23" t="str">
        <f t="shared" si="1"/>
        <v/>
      </c>
      <c r="H146" s="1"/>
      <c r="I146" s="1"/>
    </row>
    <row r="147" spans="1:9" x14ac:dyDescent="0.3">
      <c r="A147" s="8"/>
      <c r="B147" s="8"/>
      <c r="C147" s="8">
        <v>0</v>
      </c>
      <c r="D147" s="8">
        <v>0</v>
      </c>
      <c r="E147" s="8">
        <v>0</v>
      </c>
      <c r="F147" s="23" t="str">
        <f t="shared" si="0"/>
        <v/>
      </c>
      <c r="G147" s="23" t="str">
        <f t="shared" si="1"/>
        <v/>
      </c>
      <c r="H147" s="1"/>
      <c r="I147" s="1"/>
    </row>
    <row r="148" spans="1:9" x14ac:dyDescent="0.3">
      <c r="A148" s="8"/>
      <c r="B148" s="8"/>
      <c r="C148" s="8">
        <v>0</v>
      </c>
      <c r="D148" s="8">
        <v>0</v>
      </c>
      <c r="E148" s="8">
        <v>0</v>
      </c>
      <c r="F148" s="23" t="str">
        <f t="shared" si="0"/>
        <v/>
      </c>
      <c r="G148" s="23" t="str">
        <f t="shared" si="1"/>
        <v/>
      </c>
      <c r="H148" s="1"/>
      <c r="I148" s="1"/>
    </row>
    <row r="149" spans="1:9" x14ac:dyDescent="0.3">
      <c r="A149" s="8"/>
      <c r="B149" s="8"/>
      <c r="C149" s="8">
        <v>0</v>
      </c>
      <c r="D149" s="8">
        <v>0</v>
      </c>
      <c r="E149" s="8">
        <v>0</v>
      </c>
      <c r="F149" s="23" t="str">
        <f t="shared" si="0"/>
        <v/>
      </c>
      <c r="G149" s="23" t="str">
        <f t="shared" si="1"/>
        <v/>
      </c>
      <c r="H149" s="1"/>
      <c r="I149" s="1"/>
    </row>
    <row r="150" spans="1:9" x14ac:dyDescent="0.3">
      <c r="A150" s="1"/>
      <c r="B150" s="1"/>
      <c r="C150" s="1"/>
      <c r="D150" s="1"/>
      <c r="E150" s="1"/>
      <c r="F150" s="1"/>
      <c r="G150" s="1"/>
      <c r="H150" s="1"/>
      <c r="I150" s="1"/>
    </row>
    <row r="151" spans="1:9" x14ac:dyDescent="0.3">
      <c r="A151" s="13" t="s">
        <v>282</v>
      </c>
      <c r="B151" s="14"/>
      <c r="C151" s="14"/>
      <c r="D151" s="14"/>
      <c r="E151" s="14"/>
      <c r="F151" s="14"/>
      <c r="G151" s="14"/>
      <c r="H151" s="1"/>
      <c r="I151" s="1"/>
    </row>
    <row r="152" spans="1:9" x14ac:dyDescent="0.3">
      <c r="A152" s="12" t="s">
        <v>275</v>
      </c>
      <c r="B152" s="12" t="s">
        <v>276</v>
      </c>
      <c r="C152" s="12" t="s">
        <v>277</v>
      </c>
      <c r="D152" s="12" t="s">
        <v>278</v>
      </c>
      <c r="E152" s="12" t="s">
        <v>283</v>
      </c>
      <c r="F152" s="12" t="s">
        <v>280</v>
      </c>
      <c r="G152" s="12" t="s">
        <v>281</v>
      </c>
      <c r="H152" s="1"/>
      <c r="I152" s="1"/>
    </row>
    <row r="153" spans="1:9" x14ac:dyDescent="0.3">
      <c r="A153" s="8"/>
      <c r="B153" s="8"/>
      <c r="C153" s="8">
        <v>0</v>
      </c>
      <c r="D153" s="8">
        <v>0</v>
      </c>
      <c r="E153" s="33">
        <v>0</v>
      </c>
      <c r="F153" s="23" t="str">
        <f t="shared" ref="F153:F158" si="2">IF(B153="","",INDEX(anchor_months,MATCH(B153,anchor_names,0))+C153)</f>
        <v/>
      </c>
      <c r="G153" s="23" t="str">
        <f t="shared" ref="G153:G158" si="3">IF(F153="","",F153+D153)</f>
        <v/>
      </c>
      <c r="H153" s="1"/>
      <c r="I153" s="1"/>
    </row>
    <row r="154" spans="1:9" x14ac:dyDescent="0.3">
      <c r="A154" s="8"/>
      <c r="B154" s="8"/>
      <c r="C154" s="8">
        <v>0</v>
      </c>
      <c r="D154" s="8">
        <v>0</v>
      </c>
      <c r="E154" s="33">
        <v>0</v>
      </c>
      <c r="F154" s="23" t="str">
        <f t="shared" si="2"/>
        <v/>
      </c>
      <c r="G154" s="23" t="str">
        <f t="shared" si="3"/>
        <v/>
      </c>
      <c r="H154" s="1"/>
      <c r="I154" s="1"/>
    </row>
    <row r="155" spans="1:9" x14ac:dyDescent="0.3">
      <c r="A155" s="8"/>
      <c r="B155" s="8"/>
      <c r="C155" s="8">
        <v>0</v>
      </c>
      <c r="D155" s="8">
        <v>0</v>
      </c>
      <c r="E155" s="33">
        <v>0</v>
      </c>
      <c r="F155" s="23" t="str">
        <f t="shared" si="2"/>
        <v/>
      </c>
      <c r="G155" s="23" t="str">
        <f t="shared" si="3"/>
        <v/>
      </c>
      <c r="H155" s="1"/>
      <c r="I155" s="1"/>
    </row>
    <row r="156" spans="1:9" x14ac:dyDescent="0.3">
      <c r="A156" s="8"/>
      <c r="B156" s="8"/>
      <c r="C156" s="8">
        <v>0</v>
      </c>
      <c r="D156" s="8">
        <v>0</v>
      </c>
      <c r="E156" s="33">
        <v>0</v>
      </c>
      <c r="F156" s="23" t="str">
        <f t="shared" si="2"/>
        <v/>
      </c>
      <c r="G156" s="23" t="str">
        <f t="shared" si="3"/>
        <v/>
      </c>
      <c r="H156" s="1"/>
      <c r="I156" s="1"/>
    </row>
    <row r="157" spans="1:9" x14ac:dyDescent="0.3">
      <c r="A157" s="8"/>
      <c r="B157" s="8"/>
      <c r="C157" s="8">
        <v>0</v>
      </c>
      <c r="D157" s="8">
        <v>0</v>
      </c>
      <c r="E157" s="33">
        <v>0</v>
      </c>
      <c r="F157" s="23" t="str">
        <f t="shared" si="2"/>
        <v/>
      </c>
      <c r="G157" s="23" t="str">
        <f t="shared" si="3"/>
        <v/>
      </c>
      <c r="H157" s="1"/>
      <c r="I157" s="1"/>
    </row>
    <row r="158" spans="1:9" x14ac:dyDescent="0.3">
      <c r="A158" s="8"/>
      <c r="B158" s="8"/>
      <c r="C158" s="8">
        <v>0</v>
      </c>
      <c r="D158" s="8">
        <v>0</v>
      </c>
      <c r="E158" s="33">
        <v>0</v>
      </c>
      <c r="F158" s="23" t="str">
        <f t="shared" si="2"/>
        <v/>
      </c>
      <c r="G158" s="23" t="str">
        <f t="shared" si="3"/>
        <v/>
      </c>
      <c r="H158" s="1"/>
      <c r="I158" s="1"/>
    </row>
    <row r="159" spans="1:9" x14ac:dyDescent="0.3">
      <c r="A159" s="1"/>
      <c r="B159" s="1"/>
      <c r="C159" s="1"/>
      <c r="D159" s="1"/>
      <c r="E159" s="1"/>
      <c r="F159" s="1"/>
      <c r="G159" s="1"/>
      <c r="H159" s="1"/>
      <c r="I159" s="1"/>
    </row>
    <row r="160" spans="1:9" x14ac:dyDescent="0.3">
      <c r="A160" s="13" t="s">
        <v>284</v>
      </c>
      <c r="B160" s="14"/>
      <c r="C160" s="14"/>
      <c r="D160" s="14"/>
      <c r="E160" s="1"/>
      <c r="F160" s="1"/>
      <c r="G160" s="1"/>
      <c r="H160" s="1"/>
      <c r="I160" s="1"/>
    </row>
    <row r="161" spans="1:9" x14ac:dyDescent="0.3">
      <c r="A161" s="12" t="s">
        <v>285</v>
      </c>
      <c r="B161" s="12" t="s">
        <v>286</v>
      </c>
      <c r="C161" s="1"/>
      <c r="D161" s="1"/>
      <c r="E161" s="1"/>
      <c r="F161" s="1"/>
      <c r="G161" s="1"/>
      <c r="H161" s="1"/>
      <c r="I161" s="1"/>
    </row>
    <row r="162" spans="1:9" x14ac:dyDescent="0.3">
      <c r="A162" s="8"/>
      <c r="B162" s="33">
        <v>0</v>
      </c>
      <c r="C162" s="1"/>
      <c r="D162" s="1"/>
      <c r="E162" s="1"/>
      <c r="F162" s="1"/>
      <c r="G162" s="1"/>
      <c r="H162" s="1"/>
      <c r="I162" s="1"/>
    </row>
    <row r="163" spans="1:9" x14ac:dyDescent="0.3">
      <c r="A163" s="8"/>
      <c r="B163" s="33">
        <v>0</v>
      </c>
      <c r="C163" s="1"/>
      <c r="D163" s="1"/>
      <c r="E163" s="1"/>
      <c r="F163" s="1"/>
      <c r="G163" s="1"/>
      <c r="H163" s="1"/>
      <c r="I163" s="1"/>
    </row>
    <row r="164" spans="1:9" x14ac:dyDescent="0.3">
      <c r="A164" s="8"/>
      <c r="B164" s="33">
        <v>0</v>
      </c>
      <c r="C164" s="1"/>
      <c r="D164" s="1"/>
      <c r="E164" s="1"/>
      <c r="F164" s="1"/>
      <c r="G164" s="1"/>
      <c r="H164" s="1"/>
      <c r="I164" s="1"/>
    </row>
    <row r="165" spans="1:9" x14ac:dyDescent="0.3">
      <c r="A165" s="8"/>
      <c r="B165" s="33">
        <v>0</v>
      </c>
      <c r="C165" s="1"/>
      <c r="D165" s="1"/>
      <c r="E165" s="1"/>
      <c r="F165" s="1"/>
      <c r="G165" s="1"/>
      <c r="H165" s="1"/>
      <c r="I165" s="1"/>
    </row>
    <row r="166" spans="1:9" x14ac:dyDescent="0.3">
      <c r="A166" s="8"/>
      <c r="B166" s="33">
        <v>0</v>
      </c>
      <c r="C166" s="1"/>
      <c r="D166" s="1"/>
      <c r="E166" s="1"/>
      <c r="F166" s="1"/>
      <c r="G166" s="1"/>
      <c r="H166" s="1"/>
      <c r="I166" s="1"/>
    </row>
    <row r="167" spans="1:9" x14ac:dyDescent="0.3">
      <c r="A167" s="8"/>
      <c r="B167" s="33">
        <v>0</v>
      </c>
      <c r="C167" s="1"/>
      <c r="D167" s="1"/>
      <c r="E167" s="1"/>
      <c r="F167" s="1"/>
      <c r="G167" s="1"/>
      <c r="H167" s="1"/>
      <c r="I167" s="1"/>
    </row>
    <row r="168" spans="1:9" x14ac:dyDescent="0.3">
      <c r="A168" s="8"/>
      <c r="B168" s="33">
        <v>0</v>
      </c>
      <c r="C168" s="1"/>
      <c r="D168" s="1"/>
      <c r="E168" s="1"/>
      <c r="F168" s="1"/>
      <c r="G168" s="1"/>
      <c r="H168" s="1"/>
      <c r="I168" s="1"/>
    </row>
    <row r="169" spans="1:9" x14ac:dyDescent="0.3">
      <c r="A169" s="8"/>
      <c r="B169" s="33">
        <v>0</v>
      </c>
      <c r="C169" s="1"/>
      <c r="D169" s="1"/>
      <c r="E169" s="1"/>
      <c r="F169" s="1"/>
      <c r="G169" s="1"/>
      <c r="H169" s="1"/>
      <c r="I169" s="1"/>
    </row>
    <row r="170" spans="1:9" x14ac:dyDescent="0.3">
      <c r="A170" s="1"/>
      <c r="B170" s="1"/>
      <c r="C170" s="1"/>
      <c r="D170" s="1"/>
      <c r="E170" s="1"/>
      <c r="F170" s="1"/>
      <c r="G170" s="1"/>
      <c r="H170" s="1"/>
      <c r="I170" s="1"/>
    </row>
    <row r="171" spans="1:9" x14ac:dyDescent="0.3">
      <c r="A171" s="13" t="s">
        <v>287</v>
      </c>
      <c r="B171" s="14"/>
      <c r="C171" s="14"/>
      <c r="D171" s="14"/>
      <c r="E171" s="14"/>
      <c r="F171" s="14"/>
      <c r="G171" s="14"/>
      <c r="H171" s="1"/>
      <c r="I171" s="1"/>
    </row>
    <row r="172" spans="1:9" x14ac:dyDescent="0.3">
      <c r="A172" s="12" t="s">
        <v>288</v>
      </c>
      <c r="B172" s="12" t="s">
        <v>289</v>
      </c>
      <c r="C172" s="12" t="s">
        <v>290</v>
      </c>
      <c r="D172" s="12" t="s">
        <v>276</v>
      </c>
      <c r="E172" s="12" t="s">
        <v>277</v>
      </c>
      <c r="F172" s="12" t="s">
        <v>280</v>
      </c>
      <c r="G172" s="12" t="s">
        <v>281</v>
      </c>
      <c r="H172" s="1"/>
      <c r="I172" s="1"/>
    </row>
    <row r="173" spans="1:9" x14ac:dyDescent="0.3">
      <c r="A173" s="8"/>
      <c r="B173" s="8"/>
      <c r="C173" s="30">
        <v>0</v>
      </c>
      <c r="D173" s="8"/>
      <c r="E173" s="8">
        <v>0</v>
      </c>
      <c r="F173" s="23" t="str">
        <f t="shared" ref="F173:F182" si="4">IF(D173="","",INDEX(anchor_months,MATCH(D173,anchor_names,0))+E173)</f>
        <v/>
      </c>
      <c r="G173" s="1"/>
      <c r="H173" s="1"/>
      <c r="I173" s="1"/>
    </row>
    <row r="174" spans="1:9" x14ac:dyDescent="0.3">
      <c r="A174" s="8"/>
      <c r="B174" s="8"/>
      <c r="C174" s="30">
        <v>0</v>
      </c>
      <c r="D174" s="8"/>
      <c r="E174" s="8">
        <v>0</v>
      </c>
      <c r="F174" s="23" t="str">
        <f t="shared" si="4"/>
        <v/>
      </c>
      <c r="G174" s="1"/>
      <c r="H174" s="1"/>
      <c r="I174" s="1"/>
    </row>
    <row r="175" spans="1:9" x14ac:dyDescent="0.3">
      <c r="A175" s="8"/>
      <c r="B175" s="8"/>
      <c r="C175" s="30">
        <v>0</v>
      </c>
      <c r="D175" s="8"/>
      <c r="E175" s="8">
        <v>0</v>
      </c>
      <c r="F175" s="23" t="str">
        <f t="shared" si="4"/>
        <v/>
      </c>
      <c r="G175" s="1"/>
      <c r="H175" s="1"/>
      <c r="I175" s="1"/>
    </row>
    <row r="176" spans="1:9" x14ac:dyDescent="0.3">
      <c r="A176" s="8"/>
      <c r="B176" s="8"/>
      <c r="C176" s="30">
        <v>0</v>
      </c>
      <c r="D176" s="8"/>
      <c r="E176" s="8">
        <v>0</v>
      </c>
      <c r="F176" s="23" t="str">
        <f t="shared" si="4"/>
        <v/>
      </c>
      <c r="G176" s="1"/>
      <c r="H176" s="1"/>
      <c r="I176" s="1"/>
    </row>
    <row r="177" spans="1:9" x14ac:dyDescent="0.3">
      <c r="A177" s="8"/>
      <c r="B177" s="8"/>
      <c r="C177" s="30">
        <v>0</v>
      </c>
      <c r="D177" s="8"/>
      <c r="E177" s="8">
        <v>0</v>
      </c>
      <c r="F177" s="23" t="str">
        <f t="shared" si="4"/>
        <v/>
      </c>
      <c r="G177" s="1"/>
      <c r="H177" s="1"/>
      <c r="I177" s="1"/>
    </row>
    <row r="178" spans="1:9" x14ac:dyDescent="0.3">
      <c r="A178" s="8"/>
      <c r="B178" s="8"/>
      <c r="C178" s="30">
        <v>0</v>
      </c>
      <c r="D178" s="8"/>
      <c r="E178" s="8">
        <v>0</v>
      </c>
      <c r="F178" s="23" t="str">
        <f t="shared" si="4"/>
        <v/>
      </c>
      <c r="G178" s="1"/>
      <c r="H178" s="1"/>
      <c r="I178" s="1"/>
    </row>
    <row r="179" spans="1:9" x14ac:dyDescent="0.3">
      <c r="A179" s="8"/>
      <c r="B179" s="8"/>
      <c r="C179" s="30">
        <v>0</v>
      </c>
      <c r="D179" s="8"/>
      <c r="E179" s="8">
        <v>0</v>
      </c>
      <c r="F179" s="23" t="str">
        <f t="shared" si="4"/>
        <v/>
      </c>
      <c r="G179" s="1"/>
      <c r="H179" s="1"/>
      <c r="I179" s="1"/>
    </row>
    <row r="180" spans="1:9" x14ac:dyDescent="0.3">
      <c r="A180" s="8"/>
      <c r="B180" s="8"/>
      <c r="C180" s="30">
        <v>0</v>
      </c>
      <c r="D180" s="8"/>
      <c r="E180" s="8">
        <v>0</v>
      </c>
      <c r="F180" s="23" t="str">
        <f t="shared" si="4"/>
        <v/>
      </c>
      <c r="G180" s="1"/>
      <c r="H180" s="1"/>
      <c r="I180" s="1"/>
    </row>
    <row r="181" spans="1:9" x14ac:dyDescent="0.3">
      <c r="A181" s="8"/>
      <c r="B181" s="8"/>
      <c r="C181" s="30">
        <v>0</v>
      </c>
      <c r="D181" s="8"/>
      <c r="E181" s="8">
        <v>0</v>
      </c>
      <c r="F181" s="23" t="str">
        <f t="shared" si="4"/>
        <v/>
      </c>
      <c r="G181" s="1"/>
      <c r="H181" s="1"/>
      <c r="I181" s="1"/>
    </row>
    <row r="182" spans="1:9" x14ac:dyDescent="0.3">
      <c r="A182" s="8"/>
      <c r="B182" s="8"/>
      <c r="C182" s="30">
        <v>0</v>
      </c>
      <c r="D182" s="8"/>
      <c r="E182" s="8">
        <v>0</v>
      </c>
      <c r="F182" s="23" t="str">
        <f t="shared" si="4"/>
        <v/>
      </c>
      <c r="G182" s="1"/>
      <c r="H182" s="1"/>
      <c r="I182" s="1"/>
    </row>
    <row r="183" spans="1:9" x14ac:dyDescent="0.3">
      <c r="A183" s="1"/>
      <c r="B183" s="1"/>
      <c r="C183" s="1"/>
      <c r="D183" s="1"/>
      <c r="E183" s="1"/>
      <c r="F183" s="1"/>
      <c r="G183" s="1"/>
      <c r="H183" s="1"/>
      <c r="I183" s="1"/>
    </row>
    <row r="184" spans="1:9" x14ac:dyDescent="0.3">
      <c r="A184" s="13" t="s">
        <v>291</v>
      </c>
      <c r="B184" s="14"/>
      <c r="C184" s="14"/>
      <c r="D184" s="14"/>
      <c r="E184" s="14"/>
      <c r="F184" s="14"/>
      <c r="G184" s="14"/>
      <c r="H184" s="14"/>
      <c r="I184" s="14"/>
    </row>
    <row r="185" spans="1:9" x14ac:dyDescent="0.3">
      <c r="A185" s="12" t="s">
        <v>292</v>
      </c>
      <c r="B185" s="12" t="s">
        <v>293</v>
      </c>
      <c r="C185" s="12" t="s">
        <v>108</v>
      </c>
      <c r="D185" s="12" t="s">
        <v>294</v>
      </c>
      <c r="E185" s="12" t="s">
        <v>276</v>
      </c>
      <c r="F185" s="12" t="s">
        <v>295</v>
      </c>
      <c r="G185" s="12" t="s">
        <v>278</v>
      </c>
      <c r="H185" s="12" t="s">
        <v>280</v>
      </c>
      <c r="I185" s="12" t="s">
        <v>281</v>
      </c>
    </row>
    <row r="186" spans="1:9" x14ac:dyDescent="0.3">
      <c r="A186" s="8"/>
      <c r="B186" s="8"/>
      <c r="C186" s="8">
        <v>0</v>
      </c>
      <c r="D186" s="8"/>
      <c r="E186" s="8"/>
      <c r="F186" s="8">
        <v>0</v>
      </c>
      <c r="G186" s="8">
        <v>0</v>
      </c>
      <c r="H186" s="1" t="str">
        <f t="shared" ref="H186:H197" si="5">IF(E186="","",INDEX(anchor_months,MATCH(E186,anchor_names,0))+F186)</f>
        <v/>
      </c>
      <c r="I186" s="1" t="str">
        <f t="shared" ref="I186:I197" si="6">IF(H186="","",H186+G186)</f>
        <v/>
      </c>
    </row>
    <row r="187" spans="1:9" x14ac:dyDescent="0.3">
      <c r="A187" s="8"/>
      <c r="B187" s="8"/>
      <c r="C187" s="8">
        <v>0</v>
      </c>
      <c r="D187" s="8"/>
      <c r="E187" s="8"/>
      <c r="F187" s="8">
        <v>0</v>
      </c>
      <c r="G187" s="8">
        <v>0</v>
      </c>
      <c r="H187" s="1" t="str">
        <f t="shared" si="5"/>
        <v/>
      </c>
      <c r="I187" s="1" t="str">
        <f t="shared" si="6"/>
        <v/>
      </c>
    </row>
    <row r="188" spans="1:9" x14ac:dyDescent="0.3">
      <c r="A188" s="8"/>
      <c r="B188" s="8"/>
      <c r="C188" s="8">
        <v>0</v>
      </c>
      <c r="D188" s="8"/>
      <c r="E188" s="8"/>
      <c r="F188" s="8">
        <v>0</v>
      </c>
      <c r="G188" s="8">
        <v>0</v>
      </c>
      <c r="H188" s="1" t="str">
        <f t="shared" si="5"/>
        <v/>
      </c>
      <c r="I188" s="1" t="str">
        <f t="shared" si="6"/>
        <v/>
      </c>
    </row>
    <row r="189" spans="1:9" x14ac:dyDescent="0.3">
      <c r="A189" s="8"/>
      <c r="B189" s="8"/>
      <c r="C189" s="8">
        <v>0</v>
      </c>
      <c r="D189" s="8"/>
      <c r="E189" s="8"/>
      <c r="F189" s="8">
        <v>0</v>
      </c>
      <c r="G189" s="8">
        <v>0</v>
      </c>
      <c r="H189" s="1" t="str">
        <f t="shared" si="5"/>
        <v/>
      </c>
      <c r="I189" s="1" t="str">
        <f t="shared" si="6"/>
        <v/>
      </c>
    </row>
    <row r="190" spans="1:9" x14ac:dyDescent="0.3">
      <c r="A190" s="8"/>
      <c r="B190" s="8"/>
      <c r="C190" s="8">
        <v>0</v>
      </c>
      <c r="D190" s="8"/>
      <c r="E190" s="8"/>
      <c r="F190" s="8">
        <v>0</v>
      </c>
      <c r="G190" s="8">
        <v>0</v>
      </c>
      <c r="H190" s="1" t="str">
        <f t="shared" si="5"/>
        <v/>
      </c>
      <c r="I190" s="1" t="str">
        <f t="shared" si="6"/>
        <v/>
      </c>
    </row>
    <row r="191" spans="1:9" x14ac:dyDescent="0.3">
      <c r="A191" s="8"/>
      <c r="B191" s="8"/>
      <c r="C191" s="8">
        <v>0</v>
      </c>
      <c r="D191" s="8"/>
      <c r="E191" s="8"/>
      <c r="F191" s="8">
        <v>0</v>
      </c>
      <c r="G191" s="8">
        <v>0</v>
      </c>
      <c r="H191" s="1" t="str">
        <f t="shared" si="5"/>
        <v/>
      </c>
      <c r="I191" s="1" t="str">
        <f t="shared" si="6"/>
        <v/>
      </c>
    </row>
    <row r="192" spans="1:9" x14ac:dyDescent="0.3">
      <c r="A192" s="8"/>
      <c r="B192" s="8"/>
      <c r="C192" s="8">
        <v>0</v>
      </c>
      <c r="D192" s="8"/>
      <c r="E192" s="8"/>
      <c r="F192" s="8">
        <v>0</v>
      </c>
      <c r="G192" s="8">
        <v>0</v>
      </c>
      <c r="H192" s="1" t="str">
        <f t="shared" si="5"/>
        <v/>
      </c>
      <c r="I192" s="1" t="str">
        <f t="shared" si="6"/>
        <v/>
      </c>
    </row>
    <row r="193" spans="1:9" x14ac:dyDescent="0.3">
      <c r="A193" s="8"/>
      <c r="B193" s="8"/>
      <c r="C193" s="8">
        <v>0</v>
      </c>
      <c r="D193" s="8"/>
      <c r="E193" s="8"/>
      <c r="F193" s="8">
        <v>0</v>
      </c>
      <c r="G193" s="8">
        <v>0</v>
      </c>
      <c r="H193" s="1" t="str">
        <f t="shared" si="5"/>
        <v/>
      </c>
      <c r="I193" s="1" t="str">
        <f t="shared" si="6"/>
        <v/>
      </c>
    </row>
    <row r="194" spans="1:9" x14ac:dyDescent="0.3">
      <c r="A194" s="8"/>
      <c r="B194" s="8"/>
      <c r="C194" s="8">
        <v>0</v>
      </c>
      <c r="D194" s="8"/>
      <c r="E194" s="8"/>
      <c r="F194" s="8">
        <v>0</v>
      </c>
      <c r="G194" s="8">
        <v>0</v>
      </c>
      <c r="H194" s="1" t="str">
        <f t="shared" si="5"/>
        <v/>
      </c>
      <c r="I194" s="1" t="str">
        <f t="shared" si="6"/>
        <v/>
      </c>
    </row>
    <row r="195" spans="1:9" x14ac:dyDescent="0.3">
      <c r="A195" s="8"/>
      <c r="B195" s="8"/>
      <c r="C195" s="8">
        <v>0</v>
      </c>
      <c r="D195" s="8"/>
      <c r="E195" s="8"/>
      <c r="F195" s="8">
        <v>0</v>
      </c>
      <c r="G195" s="8">
        <v>0</v>
      </c>
      <c r="H195" s="1" t="str">
        <f t="shared" si="5"/>
        <v/>
      </c>
      <c r="I195" s="1" t="str">
        <f t="shared" si="6"/>
        <v/>
      </c>
    </row>
    <row r="196" spans="1:9" x14ac:dyDescent="0.3">
      <c r="A196" s="8"/>
      <c r="B196" s="8"/>
      <c r="C196" s="8">
        <v>0</v>
      </c>
      <c r="D196" s="8"/>
      <c r="E196" s="8"/>
      <c r="F196" s="8">
        <v>0</v>
      </c>
      <c r="G196" s="8">
        <v>0</v>
      </c>
      <c r="H196" s="1" t="str">
        <f t="shared" si="5"/>
        <v/>
      </c>
      <c r="I196" s="1" t="str">
        <f t="shared" si="6"/>
        <v/>
      </c>
    </row>
    <row r="197" spans="1:9" x14ac:dyDescent="0.3">
      <c r="A197" s="8"/>
      <c r="B197" s="8"/>
      <c r="C197" s="8">
        <v>0</v>
      </c>
      <c r="D197" s="8"/>
      <c r="E197" s="8"/>
      <c r="F197" s="8">
        <v>0</v>
      </c>
      <c r="G197" s="8">
        <v>0</v>
      </c>
      <c r="H197" s="1" t="str">
        <f t="shared" si="5"/>
        <v/>
      </c>
      <c r="I197" s="1" t="str">
        <f t="shared" si="6"/>
        <v/>
      </c>
    </row>
    <row r="198" spans="1:9" x14ac:dyDescent="0.3">
      <c r="A198" s="1"/>
      <c r="B198" s="1"/>
      <c r="C198" s="1"/>
      <c r="D198" s="1"/>
      <c r="E198" s="1"/>
      <c r="F198" s="1"/>
      <c r="G198" s="1"/>
      <c r="H198" s="1"/>
      <c r="I198" s="1"/>
    </row>
    <row r="199" spans="1:9" x14ac:dyDescent="0.3">
      <c r="A199" s="1"/>
      <c r="B199" s="1"/>
      <c r="C199" s="1"/>
      <c r="D199" s="1"/>
      <c r="E199" s="1"/>
      <c r="F199" s="1"/>
      <c r="G199" s="1"/>
      <c r="H199" s="1"/>
      <c r="I199" s="1"/>
    </row>
    <row r="200" spans="1:9" x14ac:dyDescent="0.3">
      <c r="A200" s="11" t="s">
        <v>296</v>
      </c>
      <c r="B200" s="1"/>
      <c r="C200" s="1"/>
      <c r="D200" s="1"/>
      <c r="E200" s="1"/>
      <c r="F200" s="1"/>
      <c r="G200" s="1"/>
      <c r="H200" s="1"/>
      <c r="I200" s="1"/>
    </row>
  </sheetData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7345E"/>
  </sheetPr>
  <dimension ref="A1:G37"/>
  <sheetViews>
    <sheetView showGridLines="0" workbookViewId="0"/>
  </sheetViews>
  <sheetFormatPr defaultRowHeight="14.4" x14ac:dyDescent="0.3"/>
  <cols>
    <col min="1" max="1" width="46" customWidth="1"/>
    <col min="2" max="2" width="18" customWidth="1"/>
    <col min="3" max="3" width="50" customWidth="1"/>
  </cols>
  <sheetData>
    <row r="1" spans="1:7" ht="21" x14ac:dyDescent="0.4">
      <c r="A1" s="10" t="s">
        <v>297</v>
      </c>
      <c r="B1" s="1"/>
      <c r="C1" s="1"/>
      <c r="D1" s="1"/>
      <c r="E1" s="1"/>
      <c r="F1" s="1"/>
      <c r="G1" s="1"/>
    </row>
    <row r="2" spans="1:7" x14ac:dyDescent="0.3">
      <c r="A2" s="11" t="s">
        <v>298</v>
      </c>
      <c r="B2" s="1"/>
      <c r="C2" s="1"/>
      <c r="D2" s="1"/>
      <c r="E2" s="1"/>
      <c r="F2" s="1"/>
      <c r="G2" s="1"/>
    </row>
    <row r="3" spans="1:7" x14ac:dyDescent="0.3">
      <c r="A3" s="1"/>
      <c r="B3" s="1"/>
      <c r="C3" s="1"/>
      <c r="D3" s="1"/>
      <c r="E3" s="1"/>
      <c r="F3" s="1"/>
      <c r="G3" s="1"/>
    </row>
    <row r="4" spans="1:7" x14ac:dyDescent="0.3">
      <c r="A4" s="7" t="s">
        <v>299</v>
      </c>
      <c r="B4" s="34">
        <f>in_site_land_area</f>
        <v>1800</v>
      </c>
      <c r="C4" s="1"/>
      <c r="D4" s="1"/>
      <c r="E4" s="1"/>
      <c r="F4" s="1"/>
      <c r="G4" s="1"/>
    </row>
    <row r="5" spans="1:7" x14ac:dyDescent="0.3">
      <c r="A5" s="7" t="s">
        <v>300</v>
      </c>
      <c r="B5" s="34">
        <f>D_Land*(1-in_reg_min_open_area_pct)</f>
        <v>1350</v>
      </c>
      <c r="C5" s="1"/>
      <c r="D5" s="1"/>
      <c r="E5" s="1"/>
      <c r="F5" s="1"/>
      <c r="G5" s="1"/>
    </row>
    <row r="6" spans="1:7" x14ac:dyDescent="0.3">
      <c r="A6" s="7" t="s">
        <v>301</v>
      </c>
      <c r="B6" s="35">
        <f>IF(in_reg_max_far="",in_reg_max_stories*(1-in_reg_min_open_area_pct),in_reg_max_far)</f>
        <v>6</v>
      </c>
      <c r="C6" s="1"/>
      <c r="D6" s="1"/>
      <c r="E6" s="1"/>
      <c r="F6" s="1"/>
      <c r="G6" s="1"/>
    </row>
    <row r="7" spans="1:7" x14ac:dyDescent="0.3">
      <c r="A7" s="7" t="s">
        <v>302</v>
      </c>
      <c r="B7" s="34">
        <f>D_Land*D_MaxFAR</f>
        <v>10800</v>
      </c>
      <c r="C7" s="1"/>
      <c r="D7" s="1"/>
      <c r="E7" s="1"/>
      <c r="F7" s="1"/>
      <c r="G7" s="1"/>
    </row>
    <row r="8" spans="1:7" x14ac:dyDescent="0.3">
      <c r="A8" s="7" t="s">
        <v>303</v>
      </c>
      <c r="B8" s="34">
        <f>IF(in_dev_footprint="",D_MaxCov,in_dev_footprint)</f>
        <v>1350</v>
      </c>
      <c r="C8" s="1"/>
      <c r="D8" s="1"/>
      <c r="E8" s="1"/>
      <c r="F8" s="1"/>
      <c r="G8" s="1"/>
    </row>
    <row r="9" spans="1:7" x14ac:dyDescent="0.3">
      <c r="A9" s="7" t="s">
        <v>304</v>
      </c>
      <c r="B9" s="34">
        <f>IF(in_ground_up=1,D_Footprint*in_dev_stories,IF(in_dev_efficiency_pct&gt;0,in_dev_existing_rentable_area/in_dev_efficiency_pct,0))</f>
        <v>10800</v>
      </c>
      <c r="C9" s="1"/>
      <c r="D9" s="1"/>
      <c r="E9" s="1"/>
      <c r="F9" s="1"/>
      <c r="G9" s="1"/>
    </row>
    <row r="10" spans="1:7" x14ac:dyDescent="0.3">
      <c r="A10" s="7" t="s">
        <v>76</v>
      </c>
      <c r="B10" s="34">
        <f>IF(in_ground_up=1,MAX(D_GBA-in_dev_amenity_area,0)*in_dev_efficiency_pct,in_dev_existing_rentable_area)</f>
        <v>8651</v>
      </c>
      <c r="C10" s="1"/>
      <c r="D10" s="1"/>
      <c r="E10" s="1"/>
      <c r="F10" s="1"/>
      <c r="G10" s="1"/>
    </row>
    <row r="11" spans="1:7" x14ac:dyDescent="0.3">
      <c r="A11" s="1"/>
      <c r="B11" s="1"/>
      <c r="C11" s="1"/>
      <c r="D11" s="1"/>
      <c r="E11" s="1"/>
      <c r="F11" s="1"/>
      <c r="G11" s="1"/>
    </row>
    <row r="12" spans="1:7" x14ac:dyDescent="0.3">
      <c r="A12" s="13" t="s">
        <v>305</v>
      </c>
      <c r="B12" s="14"/>
      <c r="C12" s="14"/>
      <c r="D12" s="14"/>
      <c r="E12" s="14"/>
      <c r="F12" s="14"/>
      <c r="G12" s="14"/>
    </row>
    <row r="13" spans="1:7" x14ac:dyDescent="0.3">
      <c r="A13" s="12" t="s">
        <v>247</v>
      </c>
      <c r="B13" s="12" t="s">
        <v>75</v>
      </c>
      <c r="C13" s="12" t="s">
        <v>306</v>
      </c>
      <c r="D13" s="12" t="s">
        <v>307</v>
      </c>
      <c r="E13" s="12" t="s">
        <v>308</v>
      </c>
      <c r="F13" s="1"/>
      <c r="G13" s="1"/>
    </row>
    <row r="14" spans="1:7" x14ac:dyDescent="0.3">
      <c r="A14" s="1" t="str">
        <f>IF(Assumptions!A112="","",Assumptions!A112)</f>
        <v>1 BR</v>
      </c>
      <c r="B14" s="23">
        <f>IF(Assumptions!B112&gt;0,INT(D_Saleable*Assumptions!C112/Assumptions!B112+0.000000001),0)</f>
        <v>23</v>
      </c>
      <c r="C14" s="23">
        <f>B14*Assumptions!B112</f>
        <v>1725</v>
      </c>
      <c r="D14" s="23">
        <f>Assumptions!B112*P_Eff*(1+Assumptions!E112)*(1+in_rev_floor_view_premium_pct)+Assumptions!D112*P_Eff*in_rev_terrace_value_pct</f>
        <v>9189180</v>
      </c>
      <c r="E14" s="23">
        <f>IF(Assumptions!B112&gt;0,D14/Assumptions!B112,0)</f>
        <v>122522.4</v>
      </c>
      <c r="F14" s="1"/>
      <c r="G14" s="1"/>
    </row>
    <row r="15" spans="1:7" x14ac:dyDescent="0.3">
      <c r="A15" s="1" t="str">
        <f>IF(Assumptions!A113="","",Assumptions!A113)</f>
        <v>2 BR</v>
      </c>
      <c r="B15" s="23">
        <f>IF(Assumptions!B113&gt;0,INT(D_Saleable*Assumptions!C113/Assumptions!B113+0.000000001),0)</f>
        <v>37</v>
      </c>
      <c r="C15" s="23">
        <f>B15*Assumptions!B113</f>
        <v>4255</v>
      </c>
      <c r="D15" s="23">
        <f>Assumptions!B113*P_Eff*(1+Assumptions!E113)*(1+in_rev_floor_view_premium_pct)+Assumptions!D113*P_Eff*in_rev_terrace_value_pct</f>
        <v>13311000</v>
      </c>
      <c r="E15" s="23">
        <f>IF(Assumptions!B113&gt;0,D15/Assumptions!B113,0)</f>
        <v>115747.82608695653</v>
      </c>
      <c r="F15" s="1"/>
      <c r="G15" s="1"/>
    </row>
    <row r="16" spans="1:7" x14ac:dyDescent="0.3">
      <c r="A16" s="1" t="str">
        <f>IF(Assumptions!A114="","",Assumptions!A114)</f>
        <v>3 BR</v>
      </c>
      <c r="B16" s="23">
        <f>IF(Assumptions!B114&gt;0,INT(D_Saleable*Assumptions!C114/Assumptions!B114+0.000000001),0)</f>
        <v>15</v>
      </c>
      <c r="C16" s="23">
        <f>B16*Assumptions!B114</f>
        <v>2475</v>
      </c>
      <c r="D16" s="23">
        <f>Assumptions!B114*P_Eff*(1+Assumptions!E114)*(1+in_rev_floor_view_premium_pct)+Assumptions!D114*P_Eff*in_rev_terrace_value_pct</f>
        <v>18667962</v>
      </c>
      <c r="E16" s="23">
        <f>IF(Assumptions!B114&gt;0,D16/Assumptions!B114,0)</f>
        <v>113139.16363636364</v>
      </c>
      <c r="F16" s="1"/>
      <c r="G16" s="1"/>
    </row>
    <row r="17" spans="1:7" x14ac:dyDescent="0.3">
      <c r="A17" s="1" t="str">
        <f>IF(Assumptions!A115="","",Assumptions!A115)</f>
        <v/>
      </c>
      <c r="B17" s="23">
        <f>IF(Assumptions!B115&gt;0,INT(D_Saleable*Assumptions!C115/Assumptions!B115+0.000000001),0)</f>
        <v>0</v>
      </c>
      <c r="C17" s="23">
        <f>B17*Assumptions!B115</f>
        <v>0</v>
      </c>
      <c r="D17" s="23">
        <f>Assumptions!B115*P_Eff*(1+Assumptions!E115)*(1+in_rev_floor_view_premium_pct)+Assumptions!D115*P_Eff*in_rev_terrace_value_pct</f>
        <v>0</v>
      </c>
      <c r="E17" s="23">
        <f>IF(Assumptions!B115&gt;0,D17/Assumptions!B115,0)</f>
        <v>0</v>
      </c>
      <c r="F17" s="1"/>
      <c r="G17" s="1"/>
    </row>
    <row r="18" spans="1:7" x14ac:dyDescent="0.3">
      <c r="A18" s="1" t="str">
        <f>IF(Assumptions!A116="","",Assumptions!A116)</f>
        <v/>
      </c>
      <c r="B18" s="23">
        <f>IF(Assumptions!B116&gt;0,INT(D_Saleable*Assumptions!C116/Assumptions!B116+0.000000001),0)</f>
        <v>0</v>
      </c>
      <c r="C18" s="23">
        <f>B18*Assumptions!B116</f>
        <v>0</v>
      </c>
      <c r="D18" s="23">
        <f>Assumptions!B116*P_Eff*(1+Assumptions!E116)*(1+in_rev_floor_view_premium_pct)+Assumptions!D116*P_Eff*in_rev_terrace_value_pct</f>
        <v>0</v>
      </c>
      <c r="E18" s="23">
        <f>IF(Assumptions!B116&gt;0,D18/Assumptions!B116,0)</f>
        <v>0</v>
      </c>
      <c r="F18" s="1"/>
      <c r="G18" s="1"/>
    </row>
    <row r="19" spans="1:7" x14ac:dyDescent="0.3">
      <c r="A19" s="1" t="str">
        <f>IF(Assumptions!A117="","",Assumptions!A117)</f>
        <v/>
      </c>
      <c r="B19" s="23">
        <f>IF(Assumptions!B117&gt;0,INT(D_Saleable*Assumptions!C117/Assumptions!B117+0.000000001),0)</f>
        <v>0</v>
      </c>
      <c r="C19" s="23">
        <f>B19*Assumptions!B117</f>
        <v>0</v>
      </c>
      <c r="D19" s="23">
        <f>Assumptions!B117*P_Eff*(1+Assumptions!E117)*(1+in_rev_floor_view_premium_pct)+Assumptions!D117*P_Eff*in_rev_terrace_value_pct</f>
        <v>0</v>
      </c>
      <c r="E19" s="23">
        <f>IF(Assumptions!B117&gt;0,D19/Assumptions!B117,0)</f>
        <v>0</v>
      </c>
      <c r="F19" s="1"/>
      <c r="G19" s="1"/>
    </row>
    <row r="20" spans="1:7" x14ac:dyDescent="0.3">
      <c r="A20" s="1" t="str">
        <f>IF(Assumptions!A118="","",Assumptions!A118)</f>
        <v/>
      </c>
      <c r="B20" s="23">
        <f>IF(Assumptions!B118&gt;0,INT(D_Saleable*Assumptions!C118/Assumptions!B118+0.000000001),0)</f>
        <v>0</v>
      </c>
      <c r="C20" s="23">
        <f>B20*Assumptions!B118</f>
        <v>0</v>
      </c>
      <c r="D20" s="23">
        <f>Assumptions!B118*P_Eff*(1+Assumptions!E118)*(1+in_rev_floor_view_premium_pct)+Assumptions!D118*P_Eff*in_rev_terrace_value_pct</f>
        <v>0</v>
      </c>
      <c r="E20" s="23">
        <f>IF(Assumptions!B118&gt;0,D20/Assumptions!B118,0)</f>
        <v>0</v>
      </c>
      <c r="F20" s="1"/>
      <c r="G20" s="1"/>
    </row>
    <row r="21" spans="1:7" x14ac:dyDescent="0.3">
      <c r="A21" s="1" t="str">
        <f>IF(Assumptions!A119="","",Assumptions!A119)</f>
        <v/>
      </c>
      <c r="B21" s="23">
        <f>IF(Assumptions!B119&gt;0,INT(D_Saleable*Assumptions!C119/Assumptions!B119+0.000000001),0)</f>
        <v>0</v>
      </c>
      <c r="C21" s="23">
        <f>B21*Assumptions!B119</f>
        <v>0</v>
      </c>
      <c r="D21" s="23">
        <f>Assumptions!B119*P_Eff*(1+Assumptions!E119)*(1+in_rev_floor_view_premium_pct)+Assumptions!D119*P_Eff*in_rev_terrace_value_pct</f>
        <v>0</v>
      </c>
      <c r="E21" s="23">
        <f>IF(Assumptions!B119&gt;0,D21/Assumptions!B119,0)</f>
        <v>0</v>
      </c>
      <c r="F21" s="1"/>
      <c r="G21" s="1"/>
    </row>
    <row r="22" spans="1:7" x14ac:dyDescent="0.3">
      <c r="A22" s="4" t="s">
        <v>309</v>
      </c>
      <c r="B22" s="23">
        <f>SUM(B14:B21)</f>
        <v>75</v>
      </c>
      <c r="C22" s="23">
        <f>SUM(C14:C21)</f>
        <v>8455</v>
      </c>
      <c r="D22" s="1"/>
      <c r="E22" s="1"/>
      <c r="F22" s="1"/>
      <c r="G22" s="1"/>
    </row>
    <row r="23" spans="1:7" x14ac:dyDescent="0.3">
      <c r="A23" s="1"/>
      <c r="B23" s="1"/>
      <c r="C23" s="1"/>
      <c r="D23" s="1"/>
      <c r="E23" s="1"/>
      <c r="F23" s="1"/>
      <c r="G23" s="1"/>
    </row>
    <row r="24" spans="1:7" x14ac:dyDescent="0.3">
      <c r="A24" s="7" t="s">
        <v>310</v>
      </c>
      <c r="B24" s="34">
        <f>IF(in_mode_sale=1,in_rev_price_per_area,0)*(1+in_green_sale_prem)*CV_PriceMult</f>
        <v>108000</v>
      </c>
      <c r="C24" s="1"/>
      <c r="D24" s="1"/>
      <c r="E24" s="1"/>
      <c r="F24" s="1"/>
      <c r="G24" s="1"/>
    </row>
    <row r="25" spans="1:7" x14ac:dyDescent="0.3">
      <c r="A25" s="7" t="s">
        <v>311</v>
      </c>
      <c r="B25" s="36">
        <f>EXP(SUMPRODUCT((cv_effect="price_pct")*LN(1+cv_value)))</f>
        <v>1</v>
      </c>
      <c r="C25" s="1"/>
      <c r="D25" s="1"/>
      <c r="E25" s="1"/>
      <c r="F25" s="1"/>
      <c r="G25" s="1"/>
    </row>
    <row r="26" spans="1:7" x14ac:dyDescent="0.3">
      <c r="A26" s="7" t="s">
        <v>312</v>
      </c>
      <c r="B26" s="34">
        <f>IF(D_Units&gt;0,SUMPRODUCT(D_UnitsRange,D_PriceRange)/D_Units,0)</f>
        <v>13118367.6</v>
      </c>
      <c r="C26" s="1"/>
      <c r="D26" s="1"/>
      <c r="E26" s="1"/>
      <c r="F26" s="1"/>
      <c r="G26" s="1"/>
    </row>
    <row r="27" spans="1:7" x14ac:dyDescent="0.3">
      <c r="A27" s="7" t="s">
        <v>313</v>
      </c>
      <c r="B27" s="34">
        <f>SUMPRODUCT(B14:B21,Assumptions!D112:D119)</f>
        <v>928</v>
      </c>
      <c r="C27" s="1"/>
      <c r="D27" s="1"/>
      <c r="E27" s="1"/>
      <c r="F27" s="1"/>
      <c r="G27" s="1"/>
    </row>
    <row r="28" spans="1:7" x14ac:dyDescent="0.3">
      <c r="A28" s="7" t="s">
        <v>151</v>
      </c>
      <c r="B28" s="34">
        <f>IF(in_dev_parking_spaces="",IF(in_reg_parking_min_per_unit="",0,ROUNDUP(in_reg_parking_min_per_unit*D_Units,0)),in_dev_parking_spaces)</f>
        <v>112</v>
      </c>
      <c r="C28" s="1"/>
      <c r="D28" s="1"/>
      <c r="E28" s="1"/>
      <c r="F28" s="1"/>
      <c r="G28" s="1"/>
    </row>
    <row r="29" spans="1:7" x14ac:dyDescent="0.3">
      <c r="A29" s="7" t="s">
        <v>314</v>
      </c>
      <c r="B29" s="34">
        <f>IF(in_ground_up=1,D_Parking*in_dev_parking_area_per_space,0)</f>
        <v>3136</v>
      </c>
      <c r="C29" s="1"/>
      <c r="D29" s="1"/>
      <c r="E29" s="1"/>
      <c r="F29" s="1"/>
      <c r="G29" s="1"/>
    </row>
    <row r="30" spans="1:7" x14ac:dyDescent="0.3">
      <c r="A30" s="7" t="s">
        <v>315</v>
      </c>
      <c r="B30" s="34">
        <f>IF(AND(D_Land&gt;0,D_Below&gt;0),ROUNDUP(D_Below/(D_Land*0.95),0),0)</f>
        <v>2</v>
      </c>
      <c r="C30" s="1"/>
      <c r="D30" s="1"/>
      <c r="E30" s="1"/>
      <c r="F30" s="1"/>
      <c r="G30" s="1"/>
    </row>
    <row r="31" spans="1:7" x14ac:dyDescent="0.3">
      <c r="A31" s="7" t="s">
        <v>316</v>
      </c>
      <c r="B31" s="34" t="str">
        <f>IF(in_reg_min_land_per_unit="","No limit entered",INT(D_Land/in_reg_min_land_per_unit))</f>
        <v>No limit entered</v>
      </c>
      <c r="C31" s="1"/>
      <c r="D31" s="1"/>
      <c r="E31" s="1"/>
      <c r="F31" s="1"/>
      <c r="G31" s="1"/>
    </row>
    <row r="32" spans="1:7" x14ac:dyDescent="0.3">
      <c r="A32" s="1"/>
      <c r="B32" s="1"/>
      <c r="C32" s="1"/>
      <c r="D32" s="1"/>
      <c r="E32" s="1"/>
      <c r="F32" s="1"/>
      <c r="G32" s="1"/>
    </row>
    <row r="33" spans="1:7" x14ac:dyDescent="0.3">
      <c r="A33" s="13" t="s">
        <v>317</v>
      </c>
      <c r="B33" s="14"/>
      <c r="C33" s="14"/>
      <c r="D33" s="1"/>
      <c r="E33" s="1"/>
      <c r="F33" s="1"/>
      <c r="G33" s="1"/>
    </row>
    <row r="34" spans="1:7" x14ac:dyDescent="0.3">
      <c r="A34" s="7" t="s">
        <v>318</v>
      </c>
      <c r="B34" s="7" t="b">
        <f>IF(in_reg_max_stories="",TRUE,in_dev_stories&lt;=in_reg_max_stories)</f>
        <v>1</v>
      </c>
      <c r="C34" s="1"/>
      <c r="D34" s="1"/>
      <c r="E34" s="1"/>
      <c r="F34" s="1"/>
      <c r="G34" s="1"/>
    </row>
    <row r="35" spans="1:7" x14ac:dyDescent="0.3">
      <c r="A35" s="7" t="s">
        <v>319</v>
      </c>
      <c r="B35" s="7" t="b">
        <f>D_GBA&lt;=D_Capacity*1.0001</f>
        <v>1</v>
      </c>
      <c r="C35" s="1"/>
      <c r="D35" s="1"/>
      <c r="E35" s="1"/>
      <c r="F35" s="1"/>
      <c r="G35" s="1"/>
    </row>
    <row r="36" spans="1:7" x14ac:dyDescent="0.3">
      <c r="A36" s="7" t="s">
        <v>320</v>
      </c>
      <c r="B36" s="7" t="b">
        <f>IF(ISNUMBER(D_MaxUnits),D_Units&lt;=D_MaxUnits,TRUE)</f>
        <v>1</v>
      </c>
      <c r="C36" s="1"/>
      <c r="D36" s="1"/>
      <c r="E36" s="1"/>
      <c r="F36" s="1"/>
      <c r="G36" s="1"/>
    </row>
    <row r="37" spans="1:7" x14ac:dyDescent="0.3">
      <c r="A37" s="7" t="s">
        <v>321</v>
      </c>
      <c r="B37" s="7" t="b">
        <f>IF(in_reg_max_underground_levels="",TRUE,in_dev_levels_below&lt;=in_reg_max_underground_levels)</f>
        <v>1</v>
      </c>
      <c r="C37" s="1"/>
      <c r="D37" s="1"/>
      <c r="E37" s="1"/>
      <c r="F37" s="1"/>
      <c r="G37" s="1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7345E"/>
  </sheetPr>
  <dimension ref="A1:CU33"/>
  <sheetViews>
    <sheetView showGridLines="0" workbookViewId="0">
      <pane xSplit="3" ySplit="4" topLeftCell="D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46" customWidth="1"/>
    <col min="2" max="2" width="16" customWidth="1"/>
    <col min="3" max="3" width="22" customWidth="1"/>
    <col min="4" max="99" width="11" customWidth="1"/>
  </cols>
  <sheetData>
    <row r="1" spans="1:99" ht="21" x14ac:dyDescent="0.4">
      <c r="A1" s="10" t="s">
        <v>322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</row>
    <row r="2" spans="1:99" x14ac:dyDescent="0.3">
      <c r="A2" s="11" t="s">
        <v>323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</row>
    <row r="3" spans="1:99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</row>
    <row r="4" spans="1:99" x14ac:dyDescent="0.3">
      <c r="A4" s="12" t="s">
        <v>285</v>
      </c>
      <c r="B4" s="12" t="s">
        <v>309</v>
      </c>
      <c r="C4" s="12" t="s">
        <v>324</v>
      </c>
      <c r="D4" s="24">
        <v>0</v>
      </c>
      <c r="E4" s="24">
        <f t="shared" ref="E4:AJ4" si="0">D4+1</f>
        <v>1</v>
      </c>
      <c r="F4" s="24">
        <f t="shared" si="0"/>
        <v>2</v>
      </c>
      <c r="G4" s="24">
        <f t="shared" si="0"/>
        <v>3</v>
      </c>
      <c r="H4" s="24">
        <f t="shared" si="0"/>
        <v>4</v>
      </c>
      <c r="I4" s="24">
        <f t="shared" si="0"/>
        <v>5</v>
      </c>
      <c r="J4" s="24">
        <f t="shared" si="0"/>
        <v>6</v>
      </c>
      <c r="K4" s="24">
        <f t="shared" si="0"/>
        <v>7</v>
      </c>
      <c r="L4" s="24">
        <f t="shared" si="0"/>
        <v>8</v>
      </c>
      <c r="M4" s="24">
        <f t="shared" si="0"/>
        <v>9</v>
      </c>
      <c r="N4" s="24">
        <f t="shared" si="0"/>
        <v>10</v>
      </c>
      <c r="O4" s="24">
        <f t="shared" si="0"/>
        <v>11</v>
      </c>
      <c r="P4" s="24">
        <f t="shared" si="0"/>
        <v>12</v>
      </c>
      <c r="Q4" s="24">
        <f t="shared" si="0"/>
        <v>13</v>
      </c>
      <c r="R4" s="24">
        <f t="shared" si="0"/>
        <v>14</v>
      </c>
      <c r="S4" s="24">
        <f t="shared" si="0"/>
        <v>15</v>
      </c>
      <c r="T4" s="24">
        <f t="shared" si="0"/>
        <v>16</v>
      </c>
      <c r="U4" s="24">
        <f t="shared" si="0"/>
        <v>17</v>
      </c>
      <c r="V4" s="24">
        <f t="shared" si="0"/>
        <v>18</v>
      </c>
      <c r="W4" s="24">
        <f t="shared" si="0"/>
        <v>19</v>
      </c>
      <c r="X4" s="24">
        <f t="shared" si="0"/>
        <v>20</v>
      </c>
      <c r="Y4" s="24">
        <f t="shared" si="0"/>
        <v>21</v>
      </c>
      <c r="Z4" s="24">
        <f t="shared" si="0"/>
        <v>22</v>
      </c>
      <c r="AA4" s="24">
        <f t="shared" si="0"/>
        <v>23</v>
      </c>
      <c r="AB4" s="24">
        <f t="shared" si="0"/>
        <v>24</v>
      </c>
      <c r="AC4" s="24">
        <f t="shared" si="0"/>
        <v>25</v>
      </c>
      <c r="AD4" s="24">
        <f t="shared" si="0"/>
        <v>26</v>
      </c>
      <c r="AE4" s="24">
        <f t="shared" si="0"/>
        <v>27</v>
      </c>
      <c r="AF4" s="24">
        <f t="shared" si="0"/>
        <v>28</v>
      </c>
      <c r="AG4" s="24">
        <f t="shared" si="0"/>
        <v>29</v>
      </c>
      <c r="AH4" s="24">
        <f t="shared" si="0"/>
        <v>30</v>
      </c>
      <c r="AI4" s="24">
        <f t="shared" si="0"/>
        <v>31</v>
      </c>
      <c r="AJ4" s="24">
        <f t="shared" si="0"/>
        <v>32</v>
      </c>
      <c r="AK4" s="24">
        <f t="shared" ref="AK4:BP4" si="1">AJ4+1</f>
        <v>33</v>
      </c>
      <c r="AL4" s="24">
        <f t="shared" si="1"/>
        <v>34</v>
      </c>
      <c r="AM4" s="24">
        <f t="shared" si="1"/>
        <v>35</v>
      </c>
      <c r="AN4" s="24">
        <f t="shared" si="1"/>
        <v>36</v>
      </c>
      <c r="AO4" s="24">
        <f t="shared" si="1"/>
        <v>37</v>
      </c>
      <c r="AP4" s="24">
        <f t="shared" si="1"/>
        <v>38</v>
      </c>
      <c r="AQ4" s="24">
        <f t="shared" si="1"/>
        <v>39</v>
      </c>
      <c r="AR4" s="24">
        <f t="shared" si="1"/>
        <v>40</v>
      </c>
      <c r="AS4" s="24">
        <f t="shared" si="1"/>
        <v>41</v>
      </c>
      <c r="AT4" s="24">
        <f t="shared" si="1"/>
        <v>42</v>
      </c>
      <c r="AU4" s="24">
        <f t="shared" si="1"/>
        <v>43</v>
      </c>
      <c r="AV4" s="24">
        <f t="shared" si="1"/>
        <v>44</v>
      </c>
      <c r="AW4" s="24">
        <f t="shared" si="1"/>
        <v>45</v>
      </c>
      <c r="AX4" s="24">
        <f t="shared" si="1"/>
        <v>46</v>
      </c>
      <c r="AY4" s="24">
        <f t="shared" si="1"/>
        <v>47</v>
      </c>
      <c r="AZ4" s="24">
        <f t="shared" si="1"/>
        <v>48</v>
      </c>
      <c r="BA4" s="24">
        <f t="shared" si="1"/>
        <v>49</v>
      </c>
      <c r="BB4" s="24">
        <f t="shared" si="1"/>
        <v>50</v>
      </c>
      <c r="BC4" s="24">
        <f t="shared" si="1"/>
        <v>51</v>
      </c>
      <c r="BD4" s="24">
        <f t="shared" si="1"/>
        <v>52</v>
      </c>
      <c r="BE4" s="24">
        <f t="shared" si="1"/>
        <v>53</v>
      </c>
      <c r="BF4" s="24">
        <f t="shared" si="1"/>
        <v>54</v>
      </c>
      <c r="BG4" s="24">
        <f t="shared" si="1"/>
        <v>55</v>
      </c>
      <c r="BH4" s="24">
        <f t="shared" si="1"/>
        <v>56</v>
      </c>
      <c r="BI4" s="24">
        <f t="shared" si="1"/>
        <v>57</v>
      </c>
      <c r="BJ4" s="24">
        <f t="shared" si="1"/>
        <v>58</v>
      </c>
      <c r="BK4" s="24">
        <f t="shared" si="1"/>
        <v>59</v>
      </c>
      <c r="BL4" s="24">
        <f t="shared" si="1"/>
        <v>60</v>
      </c>
      <c r="BM4" s="24">
        <f t="shared" si="1"/>
        <v>61</v>
      </c>
      <c r="BN4" s="24">
        <f t="shared" si="1"/>
        <v>62</v>
      </c>
      <c r="BO4" s="24">
        <f t="shared" si="1"/>
        <v>63</v>
      </c>
      <c r="BP4" s="24">
        <f t="shared" si="1"/>
        <v>64</v>
      </c>
      <c r="BQ4" s="24">
        <f t="shared" ref="BQ4:CU4" si="2">BP4+1</f>
        <v>65</v>
      </c>
      <c r="BR4" s="24">
        <f t="shared" si="2"/>
        <v>66</v>
      </c>
      <c r="BS4" s="24">
        <f t="shared" si="2"/>
        <v>67</v>
      </c>
      <c r="BT4" s="24">
        <f t="shared" si="2"/>
        <v>68</v>
      </c>
      <c r="BU4" s="24">
        <f t="shared" si="2"/>
        <v>69</v>
      </c>
      <c r="BV4" s="24">
        <f t="shared" si="2"/>
        <v>70</v>
      </c>
      <c r="BW4" s="24">
        <f t="shared" si="2"/>
        <v>71</v>
      </c>
      <c r="BX4" s="24">
        <f t="shared" si="2"/>
        <v>72</v>
      </c>
      <c r="BY4" s="24">
        <f t="shared" si="2"/>
        <v>73</v>
      </c>
      <c r="BZ4" s="24">
        <f t="shared" si="2"/>
        <v>74</v>
      </c>
      <c r="CA4" s="24">
        <f t="shared" si="2"/>
        <v>75</v>
      </c>
      <c r="CB4" s="24">
        <f t="shared" si="2"/>
        <v>76</v>
      </c>
      <c r="CC4" s="24">
        <f t="shared" si="2"/>
        <v>77</v>
      </c>
      <c r="CD4" s="24">
        <f t="shared" si="2"/>
        <v>78</v>
      </c>
      <c r="CE4" s="24">
        <f t="shared" si="2"/>
        <v>79</v>
      </c>
      <c r="CF4" s="24">
        <f t="shared" si="2"/>
        <v>80</v>
      </c>
      <c r="CG4" s="24">
        <f t="shared" si="2"/>
        <v>81</v>
      </c>
      <c r="CH4" s="24">
        <f t="shared" si="2"/>
        <v>82</v>
      </c>
      <c r="CI4" s="24">
        <f t="shared" si="2"/>
        <v>83</v>
      </c>
      <c r="CJ4" s="24">
        <f t="shared" si="2"/>
        <v>84</v>
      </c>
      <c r="CK4" s="24">
        <f t="shared" si="2"/>
        <v>85</v>
      </c>
      <c r="CL4" s="24">
        <f t="shared" si="2"/>
        <v>86</v>
      </c>
      <c r="CM4" s="24">
        <f t="shared" si="2"/>
        <v>87</v>
      </c>
      <c r="CN4" s="24">
        <f t="shared" si="2"/>
        <v>88</v>
      </c>
      <c r="CO4" s="24">
        <f t="shared" si="2"/>
        <v>89</v>
      </c>
      <c r="CP4" s="24">
        <f t="shared" si="2"/>
        <v>90</v>
      </c>
      <c r="CQ4" s="24">
        <f t="shared" si="2"/>
        <v>91</v>
      </c>
      <c r="CR4" s="24">
        <f t="shared" si="2"/>
        <v>92</v>
      </c>
      <c r="CS4" s="24">
        <f t="shared" si="2"/>
        <v>93</v>
      </c>
      <c r="CT4" s="24">
        <f t="shared" si="2"/>
        <v>94</v>
      </c>
      <c r="CU4" s="24">
        <f t="shared" si="2"/>
        <v>95</v>
      </c>
    </row>
    <row r="5" spans="1:99" x14ac:dyDescent="0.3">
      <c r="A5" s="7" t="s">
        <v>325</v>
      </c>
      <c r="B5" s="34">
        <f>IF(in_ground_up=1,IF(in_sch_predev_months="",0,in_sch_predev_months),IF(in_sch_predev_months="",0,in_sch_predev_months))</f>
        <v>8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</row>
    <row r="6" spans="1:99" x14ac:dyDescent="0.3">
      <c r="A6" s="7" t="s">
        <v>326</v>
      </c>
      <c r="B6" s="34">
        <f>IF(in_sch_construction_months="",0,in_sch_construction_months)</f>
        <v>24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</row>
    <row r="7" spans="1:99" x14ac:dyDescent="0.3">
      <c r="A7" s="7" t="s">
        <v>327</v>
      </c>
      <c r="B7" s="34">
        <f>T_Predev</f>
        <v>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</row>
    <row r="8" spans="1:99" x14ac:dyDescent="0.3">
      <c r="A8" s="7" t="s">
        <v>77</v>
      </c>
      <c r="B8" s="34">
        <f>T_Predev+T_Con</f>
        <v>32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</row>
    <row r="9" spans="1:99" x14ac:dyDescent="0.3">
      <c r="A9" s="7" t="s">
        <v>328</v>
      </c>
      <c r="B9" s="34">
        <f>IF(in_ground_up=1,D_GBA*in_cost_hard_per_area,IF(in_cost_renovation_budget="",0,in_cost_renovation_budget))</f>
        <v>259200000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</row>
    <row r="10" spans="1:99" x14ac:dyDescent="0.3">
      <c r="A10" s="7" t="s">
        <v>329</v>
      </c>
      <c r="B10" s="34">
        <f>IF(in_ground_up=1,D_Below*IF(in_cost_below_grade_per_area="",0,in_cost_below_grade_per_area),0)</f>
        <v>43904000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</row>
    <row r="11" spans="1:99" x14ac:dyDescent="0.3">
      <c r="A11" s="7" t="s">
        <v>330</v>
      </c>
      <c r="B11" s="34">
        <f>N(in_cost_demolition)+N(in_cost_infrastructure_fees)</f>
        <v>8500000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</row>
    <row r="12" spans="1:99" x14ac:dyDescent="0.3">
      <c r="A12" s="7" t="s">
        <v>331</v>
      </c>
      <c r="B12" s="34">
        <f>C_HardAbove+C_HardBelow+C_FixedSite+in_green_capex</f>
        <v>311604000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</row>
    <row r="13" spans="1:99" x14ac:dyDescent="0.3">
      <c r="A13" s="7" t="s">
        <v>332</v>
      </c>
      <c r="B13" s="34">
        <f>C_HardBase*(in_cost_design_pct+in_cost_permits_pct+in_cost_pm_supervision_pct+in_cost_insurance_other_pct)</f>
        <v>38950500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</row>
    <row r="14" spans="1:99" x14ac:dyDescent="0.3">
      <c r="A14" s="7" t="s">
        <v>203</v>
      </c>
      <c r="B14" s="34">
        <f>(C_HardBase+C_Soft)*in_cost_contingency_pct</f>
        <v>17527725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</row>
    <row r="15" spans="1:99" x14ac:dyDescent="0.3">
      <c r="A15" s="7" t="s">
        <v>208</v>
      </c>
      <c r="B15" s="34">
        <f>(C_HardBase+C_Soft)*in_cost_developer_fee_pct</f>
        <v>10516635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</row>
    <row r="16" spans="1:99" x14ac:dyDescent="0.3">
      <c r="A16" s="7" t="s">
        <v>333</v>
      </c>
      <c r="B16" s="34">
        <f>SUMPRODUCT((cv_effect="cost_fixed")*(cv_timing="construction")*cv_value)+SUMPRODUCT((cv_effect="cost_per_area")*cv_value)*D_GBA+SUMPRODUCT((cv_effect="cost_per_unit")*cv_value)*D_Units+SUMPRODUCT((cv_effect="cost_pct_hard")*cv_value)*C_HardBase</f>
        <v>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</row>
    <row r="17" spans="1:99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</row>
    <row r="18" spans="1:99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</row>
    <row r="19" spans="1:99" x14ac:dyDescent="0.3">
      <c r="A19" s="7" t="s">
        <v>334</v>
      </c>
      <c r="B19" s="1"/>
      <c r="C19" s="11"/>
      <c r="D19" s="34">
        <f t="shared" ref="D19:AI19" si="3">IF(AND(D$4&gt;=1,D$4&lt;=T_Predev),1,0)</f>
        <v>0</v>
      </c>
      <c r="E19" s="34">
        <f t="shared" si="3"/>
        <v>1</v>
      </c>
      <c r="F19" s="34">
        <f t="shared" si="3"/>
        <v>1</v>
      </c>
      <c r="G19" s="34">
        <f t="shared" si="3"/>
        <v>1</v>
      </c>
      <c r="H19" s="34">
        <f t="shared" si="3"/>
        <v>1</v>
      </c>
      <c r="I19" s="34">
        <f t="shared" si="3"/>
        <v>1</v>
      </c>
      <c r="J19" s="34">
        <f t="shared" si="3"/>
        <v>1</v>
      </c>
      <c r="K19" s="34">
        <f t="shared" si="3"/>
        <v>1</v>
      </c>
      <c r="L19" s="34">
        <f t="shared" si="3"/>
        <v>1</v>
      </c>
      <c r="M19" s="34">
        <f t="shared" si="3"/>
        <v>0</v>
      </c>
      <c r="N19" s="34">
        <f t="shared" si="3"/>
        <v>0</v>
      </c>
      <c r="O19" s="34">
        <f t="shared" si="3"/>
        <v>0</v>
      </c>
      <c r="P19" s="34">
        <f t="shared" si="3"/>
        <v>0</v>
      </c>
      <c r="Q19" s="34">
        <f t="shared" si="3"/>
        <v>0</v>
      </c>
      <c r="R19" s="34">
        <f t="shared" si="3"/>
        <v>0</v>
      </c>
      <c r="S19" s="34">
        <f t="shared" si="3"/>
        <v>0</v>
      </c>
      <c r="T19" s="34">
        <f t="shared" si="3"/>
        <v>0</v>
      </c>
      <c r="U19" s="34">
        <f t="shared" si="3"/>
        <v>0</v>
      </c>
      <c r="V19" s="34">
        <f t="shared" si="3"/>
        <v>0</v>
      </c>
      <c r="W19" s="34">
        <f t="shared" si="3"/>
        <v>0</v>
      </c>
      <c r="X19" s="34">
        <f t="shared" si="3"/>
        <v>0</v>
      </c>
      <c r="Y19" s="34">
        <f t="shared" si="3"/>
        <v>0</v>
      </c>
      <c r="Z19" s="34">
        <f t="shared" si="3"/>
        <v>0</v>
      </c>
      <c r="AA19" s="34">
        <f t="shared" si="3"/>
        <v>0</v>
      </c>
      <c r="AB19" s="34">
        <f t="shared" si="3"/>
        <v>0</v>
      </c>
      <c r="AC19" s="34">
        <f t="shared" si="3"/>
        <v>0</v>
      </c>
      <c r="AD19" s="34">
        <f t="shared" si="3"/>
        <v>0</v>
      </c>
      <c r="AE19" s="34">
        <f t="shared" si="3"/>
        <v>0</v>
      </c>
      <c r="AF19" s="34">
        <f t="shared" si="3"/>
        <v>0</v>
      </c>
      <c r="AG19" s="34">
        <f t="shared" si="3"/>
        <v>0</v>
      </c>
      <c r="AH19" s="34">
        <f t="shared" si="3"/>
        <v>0</v>
      </c>
      <c r="AI19" s="34">
        <f t="shared" si="3"/>
        <v>0</v>
      </c>
      <c r="AJ19" s="34">
        <f t="shared" ref="AJ19:BO19" si="4">IF(AND(AJ$4&gt;=1,AJ$4&lt;=T_Predev),1,0)</f>
        <v>0</v>
      </c>
      <c r="AK19" s="34">
        <f t="shared" si="4"/>
        <v>0</v>
      </c>
      <c r="AL19" s="34">
        <f t="shared" si="4"/>
        <v>0</v>
      </c>
      <c r="AM19" s="34">
        <f t="shared" si="4"/>
        <v>0</v>
      </c>
      <c r="AN19" s="34">
        <f t="shared" si="4"/>
        <v>0</v>
      </c>
      <c r="AO19" s="34">
        <f t="shared" si="4"/>
        <v>0</v>
      </c>
      <c r="AP19" s="34">
        <f t="shared" si="4"/>
        <v>0</v>
      </c>
      <c r="AQ19" s="34">
        <f t="shared" si="4"/>
        <v>0</v>
      </c>
      <c r="AR19" s="34">
        <f t="shared" si="4"/>
        <v>0</v>
      </c>
      <c r="AS19" s="34">
        <f t="shared" si="4"/>
        <v>0</v>
      </c>
      <c r="AT19" s="34">
        <f t="shared" si="4"/>
        <v>0</v>
      </c>
      <c r="AU19" s="34">
        <f t="shared" si="4"/>
        <v>0</v>
      </c>
      <c r="AV19" s="34">
        <f t="shared" si="4"/>
        <v>0</v>
      </c>
      <c r="AW19" s="34">
        <f t="shared" si="4"/>
        <v>0</v>
      </c>
      <c r="AX19" s="34">
        <f t="shared" si="4"/>
        <v>0</v>
      </c>
      <c r="AY19" s="34">
        <f t="shared" si="4"/>
        <v>0</v>
      </c>
      <c r="AZ19" s="34">
        <f t="shared" si="4"/>
        <v>0</v>
      </c>
      <c r="BA19" s="34">
        <f t="shared" si="4"/>
        <v>0</v>
      </c>
      <c r="BB19" s="34">
        <f t="shared" si="4"/>
        <v>0</v>
      </c>
      <c r="BC19" s="34">
        <f t="shared" si="4"/>
        <v>0</v>
      </c>
      <c r="BD19" s="34">
        <f t="shared" si="4"/>
        <v>0</v>
      </c>
      <c r="BE19" s="34">
        <f t="shared" si="4"/>
        <v>0</v>
      </c>
      <c r="BF19" s="34">
        <f t="shared" si="4"/>
        <v>0</v>
      </c>
      <c r="BG19" s="34">
        <f t="shared" si="4"/>
        <v>0</v>
      </c>
      <c r="BH19" s="34">
        <f t="shared" si="4"/>
        <v>0</v>
      </c>
      <c r="BI19" s="34">
        <f t="shared" si="4"/>
        <v>0</v>
      </c>
      <c r="BJ19" s="34">
        <f t="shared" si="4"/>
        <v>0</v>
      </c>
      <c r="BK19" s="34">
        <f t="shared" si="4"/>
        <v>0</v>
      </c>
      <c r="BL19" s="34">
        <f t="shared" si="4"/>
        <v>0</v>
      </c>
      <c r="BM19" s="34">
        <f t="shared" si="4"/>
        <v>0</v>
      </c>
      <c r="BN19" s="34">
        <f t="shared" si="4"/>
        <v>0</v>
      </c>
      <c r="BO19" s="34">
        <f t="shared" si="4"/>
        <v>0</v>
      </c>
      <c r="BP19" s="34">
        <f t="shared" ref="BP19:CU19" si="5">IF(AND(BP$4&gt;=1,BP$4&lt;=T_Predev),1,0)</f>
        <v>0</v>
      </c>
      <c r="BQ19" s="34">
        <f t="shared" si="5"/>
        <v>0</v>
      </c>
      <c r="BR19" s="34">
        <f t="shared" si="5"/>
        <v>0</v>
      </c>
      <c r="BS19" s="34">
        <f t="shared" si="5"/>
        <v>0</v>
      </c>
      <c r="BT19" s="34">
        <f t="shared" si="5"/>
        <v>0</v>
      </c>
      <c r="BU19" s="34">
        <f t="shared" si="5"/>
        <v>0</v>
      </c>
      <c r="BV19" s="34">
        <f t="shared" si="5"/>
        <v>0</v>
      </c>
      <c r="BW19" s="34">
        <f t="shared" si="5"/>
        <v>0</v>
      </c>
      <c r="BX19" s="34">
        <f t="shared" si="5"/>
        <v>0</v>
      </c>
      <c r="BY19" s="34">
        <f t="shared" si="5"/>
        <v>0</v>
      </c>
      <c r="BZ19" s="34">
        <f t="shared" si="5"/>
        <v>0</v>
      </c>
      <c r="CA19" s="34">
        <f t="shared" si="5"/>
        <v>0</v>
      </c>
      <c r="CB19" s="34">
        <f t="shared" si="5"/>
        <v>0</v>
      </c>
      <c r="CC19" s="34">
        <f t="shared" si="5"/>
        <v>0</v>
      </c>
      <c r="CD19" s="34">
        <f t="shared" si="5"/>
        <v>0</v>
      </c>
      <c r="CE19" s="34">
        <f t="shared" si="5"/>
        <v>0</v>
      </c>
      <c r="CF19" s="34">
        <f t="shared" si="5"/>
        <v>0</v>
      </c>
      <c r="CG19" s="34">
        <f t="shared" si="5"/>
        <v>0</v>
      </c>
      <c r="CH19" s="34">
        <f t="shared" si="5"/>
        <v>0</v>
      </c>
      <c r="CI19" s="34">
        <f t="shared" si="5"/>
        <v>0</v>
      </c>
      <c r="CJ19" s="34">
        <f t="shared" si="5"/>
        <v>0</v>
      </c>
      <c r="CK19" s="34">
        <f t="shared" si="5"/>
        <v>0</v>
      </c>
      <c r="CL19" s="34">
        <f t="shared" si="5"/>
        <v>0</v>
      </c>
      <c r="CM19" s="34">
        <f t="shared" si="5"/>
        <v>0</v>
      </c>
      <c r="CN19" s="34">
        <f t="shared" si="5"/>
        <v>0</v>
      </c>
      <c r="CO19" s="34">
        <f t="shared" si="5"/>
        <v>0</v>
      </c>
      <c r="CP19" s="34">
        <f t="shared" si="5"/>
        <v>0</v>
      </c>
      <c r="CQ19" s="34">
        <f t="shared" si="5"/>
        <v>0</v>
      </c>
      <c r="CR19" s="34">
        <f t="shared" si="5"/>
        <v>0</v>
      </c>
      <c r="CS19" s="34">
        <f t="shared" si="5"/>
        <v>0</v>
      </c>
      <c r="CT19" s="34">
        <f t="shared" si="5"/>
        <v>0</v>
      </c>
      <c r="CU19" s="34">
        <f t="shared" si="5"/>
        <v>0</v>
      </c>
    </row>
    <row r="20" spans="1:99" x14ac:dyDescent="0.3">
      <c r="A20" s="7" t="s">
        <v>335</v>
      </c>
      <c r="B20" s="1"/>
      <c r="C20" s="11"/>
      <c r="D20" s="34">
        <f t="shared" ref="D20:AI20" si="6">IF(AND(D$4&gt;T_ConStart,D$4&lt;=T_Delivery),1,0)</f>
        <v>0</v>
      </c>
      <c r="E20" s="34">
        <f t="shared" si="6"/>
        <v>0</v>
      </c>
      <c r="F20" s="34">
        <f t="shared" si="6"/>
        <v>0</v>
      </c>
      <c r="G20" s="34">
        <f t="shared" si="6"/>
        <v>0</v>
      </c>
      <c r="H20" s="34">
        <f t="shared" si="6"/>
        <v>0</v>
      </c>
      <c r="I20" s="34">
        <f t="shared" si="6"/>
        <v>0</v>
      </c>
      <c r="J20" s="34">
        <f t="shared" si="6"/>
        <v>0</v>
      </c>
      <c r="K20" s="34">
        <f t="shared" si="6"/>
        <v>0</v>
      </c>
      <c r="L20" s="34">
        <f t="shared" si="6"/>
        <v>0</v>
      </c>
      <c r="M20" s="34">
        <f t="shared" si="6"/>
        <v>1</v>
      </c>
      <c r="N20" s="34">
        <f t="shared" si="6"/>
        <v>1</v>
      </c>
      <c r="O20" s="34">
        <f t="shared" si="6"/>
        <v>1</v>
      </c>
      <c r="P20" s="34">
        <f t="shared" si="6"/>
        <v>1</v>
      </c>
      <c r="Q20" s="34">
        <f t="shared" si="6"/>
        <v>1</v>
      </c>
      <c r="R20" s="34">
        <f t="shared" si="6"/>
        <v>1</v>
      </c>
      <c r="S20" s="34">
        <f t="shared" si="6"/>
        <v>1</v>
      </c>
      <c r="T20" s="34">
        <f t="shared" si="6"/>
        <v>1</v>
      </c>
      <c r="U20" s="34">
        <f t="shared" si="6"/>
        <v>1</v>
      </c>
      <c r="V20" s="34">
        <f t="shared" si="6"/>
        <v>1</v>
      </c>
      <c r="W20" s="34">
        <f t="shared" si="6"/>
        <v>1</v>
      </c>
      <c r="X20" s="34">
        <f t="shared" si="6"/>
        <v>1</v>
      </c>
      <c r="Y20" s="34">
        <f t="shared" si="6"/>
        <v>1</v>
      </c>
      <c r="Z20" s="34">
        <f t="shared" si="6"/>
        <v>1</v>
      </c>
      <c r="AA20" s="34">
        <f t="shared" si="6"/>
        <v>1</v>
      </c>
      <c r="AB20" s="34">
        <f t="shared" si="6"/>
        <v>1</v>
      </c>
      <c r="AC20" s="34">
        <f t="shared" si="6"/>
        <v>1</v>
      </c>
      <c r="AD20" s="34">
        <f t="shared" si="6"/>
        <v>1</v>
      </c>
      <c r="AE20" s="34">
        <f t="shared" si="6"/>
        <v>1</v>
      </c>
      <c r="AF20" s="34">
        <f t="shared" si="6"/>
        <v>1</v>
      </c>
      <c r="AG20" s="34">
        <f t="shared" si="6"/>
        <v>1</v>
      </c>
      <c r="AH20" s="34">
        <f t="shared" si="6"/>
        <v>1</v>
      </c>
      <c r="AI20" s="34">
        <f t="shared" si="6"/>
        <v>1</v>
      </c>
      <c r="AJ20" s="34">
        <f t="shared" ref="AJ20:BO20" si="7">IF(AND(AJ$4&gt;T_ConStart,AJ$4&lt;=T_Delivery),1,0)</f>
        <v>1</v>
      </c>
      <c r="AK20" s="34">
        <f t="shared" si="7"/>
        <v>0</v>
      </c>
      <c r="AL20" s="34">
        <f t="shared" si="7"/>
        <v>0</v>
      </c>
      <c r="AM20" s="34">
        <f t="shared" si="7"/>
        <v>0</v>
      </c>
      <c r="AN20" s="34">
        <f t="shared" si="7"/>
        <v>0</v>
      </c>
      <c r="AO20" s="34">
        <f t="shared" si="7"/>
        <v>0</v>
      </c>
      <c r="AP20" s="34">
        <f t="shared" si="7"/>
        <v>0</v>
      </c>
      <c r="AQ20" s="34">
        <f t="shared" si="7"/>
        <v>0</v>
      </c>
      <c r="AR20" s="34">
        <f t="shared" si="7"/>
        <v>0</v>
      </c>
      <c r="AS20" s="34">
        <f t="shared" si="7"/>
        <v>0</v>
      </c>
      <c r="AT20" s="34">
        <f t="shared" si="7"/>
        <v>0</v>
      </c>
      <c r="AU20" s="34">
        <f t="shared" si="7"/>
        <v>0</v>
      </c>
      <c r="AV20" s="34">
        <f t="shared" si="7"/>
        <v>0</v>
      </c>
      <c r="AW20" s="34">
        <f t="shared" si="7"/>
        <v>0</v>
      </c>
      <c r="AX20" s="34">
        <f t="shared" si="7"/>
        <v>0</v>
      </c>
      <c r="AY20" s="34">
        <f t="shared" si="7"/>
        <v>0</v>
      </c>
      <c r="AZ20" s="34">
        <f t="shared" si="7"/>
        <v>0</v>
      </c>
      <c r="BA20" s="34">
        <f t="shared" si="7"/>
        <v>0</v>
      </c>
      <c r="BB20" s="34">
        <f t="shared" si="7"/>
        <v>0</v>
      </c>
      <c r="BC20" s="34">
        <f t="shared" si="7"/>
        <v>0</v>
      </c>
      <c r="BD20" s="34">
        <f t="shared" si="7"/>
        <v>0</v>
      </c>
      <c r="BE20" s="34">
        <f t="shared" si="7"/>
        <v>0</v>
      </c>
      <c r="BF20" s="34">
        <f t="shared" si="7"/>
        <v>0</v>
      </c>
      <c r="BG20" s="34">
        <f t="shared" si="7"/>
        <v>0</v>
      </c>
      <c r="BH20" s="34">
        <f t="shared" si="7"/>
        <v>0</v>
      </c>
      <c r="BI20" s="34">
        <f t="shared" si="7"/>
        <v>0</v>
      </c>
      <c r="BJ20" s="34">
        <f t="shared" si="7"/>
        <v>0</v>
      </c>
      <c r="BK20" s="34">
        <f t="shared" si="7"/>
        <v>0</v>
      </c>
      <c r="BL20" s="34">
        <f t="shared" si="7"/>
        <v>0</v>
      </c>
      <c r="BM20" s="34">
        <f t="shared" si="7"/>
        <v>0</v>
      </c>
      <c r="BN20" s="34">
        <f t="shared" si="7"/>
        <v>0</v>
      </c>
      <c r="BO20" s="34">
        <f t="shared" si="7"/>
        <v>0</v>
      </c>
      <c r="BP20" s="34">
        <f t="shared" ref="BP20:CU20" si="8">IF(AND(BP$4&gt;T_ConStart,BP$4&lt;=T_Delivery),1,0)</f>
        <v>0</v>
      </c>
      <c r="BQ20" s="34">
        <f t="shared" si="8"/>
        <v>0</v>
      </c>
      <c r="BR20" s="34">
        <f t="shared" si="8"/>
        <v>0</v>
      </c>
      <c r="BS20" s="34">
        <f t="shared" si="8"/>
        <v>0</v>
      </c>
      <c r="BT20" s="34">
        <f t="shared" si="8"/>
        <v>0</v>
      </c>
      <c r="BU20" s="34">
        <f t="shared" si="8"/>
        <v>0</v>
      </c>
      <c r="BV20" s="34">
        <f t="shared" si="8"/>
        <v>0</v>
      </c>
      <c r="BW20" s="34">
        <f t="shared" si="8"/>
        <v>0</v>
      </c>
      <c r="BX20" s="34">
        <f t="shared" si="8"/>
        <v>0</v>
      </c>
      <c r="BY20" s="34">
        <f t="shared" si="8"/>
        <v>0</v>
      </c>
      <c r="BZ20" s="34">
        <f t="shared" si="8"/>
        <v>0</v>
      </c>
      <c r="CA20" s="34">
        <f t="shared" si="8"/>
        <v>0</v>
      </c>
      <c r="CB20" s="34">
        <f t="shared" si="8"/>
        <v>0</v>
      </c>
      <c r="CC20" s="34">
        <f t="shared" si="8"/>
        <v>0</v>
      </c>
      <c r="CD20" s="34">
        <f t="shared" si="8"/>
        <v>0</v>
      </c>
      <c r="CE20" s="34">
        <f t="shared" si="8"/>
        <v>0</v>
      </c>
      <c r="CF20" s="34">
        <f t="shared" si="8"/>
        <v>0</v>
      </c>
      <c r="CG20" s="34">
        <f t="shared" si="8"/>
        <v>0</v>
      </c>
      <c r="CH20" s="34">
        <f t="shared" si="8"/>
        <v>0</v>
      </c>
      <c r="CI20" s="34">
        <f t="shared" si="8"/>
        <v>0</v>
      </c>
      <c r="CJ20" s="34">
        <f t="shared" si="8"/>
        <v>0</v>
      </c>
      <c r="CK20" s="34">
        <f t="shared" si="8"/>
        <v>0</v>
      </c>
      <c r="CL20" s="34">
        <f t="shared" si="8"/>
        <v>0</v>
      </c>
      <c r="CM20" s="34">
        <f t="shared" si="8"/>
        <v>0</v>
      </c>
      <c r="CN20" s="34">
        <f t="shared" si="8"/>
        <v>0</v>
      </c>
      <c r="CO20" s="34">
        <f t="shared" si="8"/>
        <v>0</v>
      </c>
      <c r="CP20" s="34">
        <f t="shared" si="8"/>
        <v>0</v>
      </c>
      <c r="CQ20" s="34">
        <f t="shared" si="8"/>
        <v>0</v>
      </c>
      <c r="CR20" s="34">
        <f t="shared" si="8"/>
        <v>0</v>
      </c>
      <c r="CS20" s="34">
        <f t="shared" si="8"/>
        <v>0</v>
      </c>
      <c r="CT20" s="34">
        <f t="shared" si="8"/>
        <v>0</v>
      </c>
      <c r="CU20" s="34">
        <f t="shared" si="8"/>
        <v>0</v>
      </c>
    </row>
    <row r="21" spans="1:99" x14ac:dyDescent="0.3">
      <c r="A21" s="7" t="s">
        <v>336</v>
      </c>
      <c r="B21" s="37">
        <f>SUM(D21:CU21)</f>
        <v>0.99999999999999978</v>
      </c>
      <c r="C21" s="11" t="s">
        <v>337</v>
      </c>
      <c r="D21" s="36">
        <f t="shared" ref="D21:AI21" si="9">IF(D20=1,IF(in_cost_curve="linear",1/T_Con,IF(in_cost_curve="front_loaded",(T_Con-(D$4-T_ConStart)+1)/(T_Con*(T_Con+1)/2),IF(in_cost_curve="back_loaded",(D$4-T_ConStart)/(T_Con*(T_Con+1)/2),(COS(PI()*(D$4-T_ConStart-1)/T_Con)-COS(PI()*(D$4-T_ConStart)/T_Con))/2))),0)</f>
        <v>0</v>
      </c>
      <c r="E21" s="36">
        <f t="shared" si="9"/>
        <v>0</v>
      </c>
      <c r="F21" s="36">
        <f t="shared" si="9"/>
        <v>0</v>
      </c>
      <c r="G21" s="36">
        <f t="shared" si="9"/>
        <v>0</v>
      </c>
      <c r="H21" s="36">
        <f t="shared" si="9"/>
        <v>0</v>
      </c>
      <c r="I21" s="36">
        <f t="shared" si="9"/>
        <v>0</v>
      </c>
      <c r="J21" s="36">
        <f t="shared" si="9"/>
        <v>0</v>
      </c>
      <c r="K21" s="36">
        <f t="shared" si="9"/>
        <v>0</v>
      </c>
      <c r="L21" s="36">
        <f t="shared" si="9"/>
        <v>0</v>
      </c>
      <c r="M21" s="36">
        <f t="shared" si="9"/>
        <v>4.2775693130948089E-3</v>
      </c>
      <c r="N21" s="36">
        <f t="shared" si="9"/>
        <v>1.2759517542371035E-2</v>
      </c>
      <c r="O21" s="36">
        <f t="shared" si="9"/>
        <v>2.1023146888890787E-2</v>
      </c>
      <c r="P21" s="36">
        <f t="shared" si="9"/>
        <v>2.8927064363424015E-2</v>
      </c>
      <c r="Q21" s="36">
        <f t="shared" si="9"/>
        <v>3.6336031746601771E-2</v>
      </c>
      <c r="R21" s="36">
        <f t="shared" si="9"/>
        <v>4.3123279552343796E-2</v>
      </c>
      <c r="S21" s="36">
        <f t="shared" si="9"/>
        <v>4.9172676088913458E-2</v>
      </c>
      <c r="T21" s="36">
        <f t="shared" si="9"/>
        <v>5.4380714504360272E-2</v>
      </c>
      <c r="U21" s="36">
        <f t="shared" si="9"/>
        <v>5.8658283817455137E-2</v>
      </c>
      <c r="V21" s="36">
        <f t="shared" si="9"/>
        <v>6.1932193631284549E-2</v>
      </c>
      <c r="W21" s="36">
        <f t="shared" si="9"/>
        <v>6.4146426441234514E-2</v>
      </c>
      <c r="X21" s="36">
        <f t="shared" si="9"/>
        <v>6.5263096110025828E-2</v>
      </c>
      <c r="Y21" s="36">
        <f t="shared" si="9"/>
        <v>6.5263096110025828E-2</v>
      </c>
      <c r="Z21" s="36">
        <f t="shared" si="9"/>
        <v>6.4146426441234514E-2</v>
      </c>
      <c r="AA21" s="36">
        <f t="shared" si="9"/>
        <v>6.1932193631284438E-2</v>
      </c>
      <c r="AB21" s="36">
        <f t="shared" si="9"/>
        <v>5.8658283817455137E-2</v>
      </c>
      <c r="AC21" s="36">
        <f t="shared" si="9"/>
        <v>5.4380714504360439E-2</v>
      </c>
      <c r="AD21" s="36">
        <f t="shared" si="9"/>
        <v>4.9172676088913403E-2</v>
      </c>
      <c r="AE21" s="36">
        <f t="shared" si="9"/>
        <v>4.3123279552343796E-2</v>
      </c>
      <c r="AF21" s="36">
        <f t="shared" si="9"/>
        <v>3.6336031746601827E-2</v>
      </c>
      <c r="AG21" s="36">
        <f t="shared" si="9"/>
        <v>2.8927064363424015E-2</v>
      </c>
      <c r="AH21" s="36">
        <f t="shared" si="9"/>
        <v>2.1023146888890731E-2</v>
      </c>
      <c r="AI21" s="36">
        <f t="shared" si="9"/>
        <v>1.275951754237109E-2</v>
      </c>
      <c r="AJ21" s="36">
        <f t="shared" ref="AJ21:BO21" si="10">IF(AJ20=1,IF(in_cost_curve="linear",1/T_Con,IF(in_cost_curve="front_loaded",(T_Con-(AJ$4-T_ConStart)+1)/(T_Con*(T_Con+1)/2),IF(in_cost_curve="back_loaded",(AJ$4-T_ConStart)/(T_Con*(T_Con+1)/2),(COS(PI()*(AJ$4-T_ConStart-1)/T_Con)-COS(PI()*(AJ$4-T_ConStart)/T_Con))/2))),0)</f>
        <v>4.2775693130948089E-3</v>
      </c>
      <c r="AK21" s="36">
        <f t="shared" si="10"/>
        <v>0</v>
      </c>
      <c r="AL21" s="36">
        <f t="shared" si="10"/>
        <v>0</v>
      </c>
      <c r="AM21" s="36">
        <f t="shared" si="10"/>
        <v>0</v>
      </c>
      <c r="AN21" s="36">
        <f t="shared" si="10"/>
        <v>0</v>
      </c>
      <c r="AO21" s="36">
        <f t="shared" si="10"/>
        <v>0</v>
      </c>
      <c r="AP21" s="36">
        <f t="shared" si="10"/>
        <v>0</v>
      </c>
      <c r="AQ21" s="36">
        <f t="shared" si="10"/>
        <v>0</v>
      </c>
      <c r="AR21" s="36">
        <f t="shared" si="10"/>
        <v>0</v>
      </c>
      <c r="AS21" s="36">
        <f t="shared" si="10"/>
        <v>0</v>
      </c>
      <c r="AT21" s="36">
        <f t="shared" si="10"/>
        <v>0</v>
      </c>
      <c r="AU21" s="36">
        <f t="shared" si="10"/>
        <v>0</v>
      </c>
      <c r="AV21" s="36">
        <f t="shared" si="10"/>
        <v>0</v>
      </c>
      <c r="AW21" s="36">
        <f t="shared" si="10"/>
        <v>0</v>
      </c>
      <c r="AX21" s="36">
        <f t="shared" si="10"/>
        <v>0</v>
      </c>
      <c r="AY21" s="36">
        <f t="shared" si="10"/>
        <v>0</v>
      </c>
      <c r="AZ21" s="36">
        <f t="shared" si="10"/>
        <v>0</v>
      </c>
      <c r="BA21" s="36">
        <f t="shared" si="10"/>
        <v>0</v>
      </c>
      <c r="BB21" s="36">
        <f t="shared" si="10"/>
        <v>0</v>
      </c>
      <c r="BC21" s="36">
        <f t="shared" si="10"/>
        <v>0</v>
      </c>
      <c r="BD21" s="36">
        <f t="shared" si="10"/>
        <v>0</v>
      </c>
      <c r="BE21" s="36">
        <f t="shared" si="10"/>
        <v>0</v>
      </c>
      <c r="BF21" s="36">
        <f t="shared" si="10"/>
        <v>0</v>
      </c>
      <c r="BG21" s="36">
        <f t="shared" si="10"/>
        <v>0</v>
      </c>
      <c r="BH21" s="36">
        <f t="shared" si="10"/>
        <v>0</v>
      </c>
      <c r="BI21" s="36">
        <f t="shared" si="10"/>
        <v>0</v>
      </c>
      <c r="BJ21" s="36">
        <f t="shared" si="10"/>
        <v>0</v>
      </c>
      <c r="BK21" s="36">
        <f t="shared" si="10"/>
        <v>0</v>
      </c>
      <c r="BL21" s="36">
        <f t="shared" si="10"/>
        <v>0</v>
      </c>
      <c r="BM21" s="36">
        <f t="shared" si="10"/>
        <v>0</v>
      </c>
      <c r="BN21" s="36">
        <f t="shared" si="10"/>
        <v>0</v>
      </c>
      <c r="BO21" s="36">
        <f t="shared" si="10"/>
        <v>0</v>
      </c>
      <c r="BP21" s="36">
        <f t="shared" ref="BP21:CU21" si="11">IF(BP20=1,IF(in_cost_curve="linear",1/T_Con,IF(in_cost_curve="front_loaded",(T_Con-(BP$4-T_ConStart)+1)/(T_Con*(T_Con+1)/2),IF(in_cost_curve="back_loaded",(BP$4-T_ConStart)/(T_Con*(T_Con+1)/2),(COS(PI()*(BP$4-T_ConStart-1)/T_Con)-COS(PI()*(BP$4-T_ConStart)/T_Con))/2))),0)</f>
        <v>0</v>
      </c>
      <c r="BQ21" s="36">
        <f t="shared" si="11"/>
        <v>0</v>
      </c>
      <c r="BR21" s="36">
        <f t="shared" si="11"/>
        <v>0</v>
      </c>
      <c r="BS21" s="36">
        <f t="shared" si="11"/>
        <v>0</v>
      </c>
      <c r="BT21" s="36">
        <f t="shared" si="11"/>
        <v>0</v>
      </c>
      <c r="BU21" s="36">
        <f t="shared" si="11"/>
        <v>0</v>
      </c>
      <c r="BV21" s="36">
        <f t="shared" si="11"/>
        <v>0</v>
      </c>
      <c r="BW21" s="36">
        <f t="shared" si="11"/>
        <v>0</v>
      </c>
      <c r="BX21" s="36">
        <f t="shared" si="11"/>
        <v>0</v>
      </c>
      <c r="BY21" s="36">
        <f t="shared" si="11"/>
        <v>0</v>
      </c>
      <c r="BZ21" s="36">
        <f t="shared" si="11"/>
        <v>0</v>
      </c>
      <c r="CA21" s="36">
        <f t="shared" si="11"/>
        <v>0</v>
      </c>
      <c r="CB21" s="36">
        <f t="shared" si="11"/>
        <v>0</v>
      </c>
      <c r="CC21" s="36">
        <f t="shared" si="11"/>
        <v>0</v>
      </c>
      <c r="CD21" s="36">
        <f t="shared" si="11"/>
        <v>0</v>
      </c>
      <c r="CE21" s="36">
        <f t="shared" si="11"/>
        <v>0</v>
      </c>
      <c r="CF21" s="36">
        <f t="shared" si="11"/>
        <v>0</v>
      </c>
      <c r="CG21" s="36">
        <f t="shared" si="11"/>
        <v>0</v>
      </c>
      <c r="CH21" s="36">
        <f t="shared" si="11"/>
        <v>0</v>
      </c>
      <c r="CI21" s="36">
        <f t="shared" si="11"/>
        <v>0</v>
      </c>
      <c r="CJ21" s="36">
        <f t="shared" si="11"/>
        <v>0</v>
      </c>
      <c r="CK21" s="36">
        <f t="shared" si="11"/>
        <v>0</v>
      </c>
      <c r="CL21" s="36">
        <f t="shared" si="11"/>
        <v>0</v>
      </c>
      <c r="CM21" s="36">
        <f t="shared" si="11"/>
        <v>0</v>
      </c>
      <c r="CN21" s="36">
        <f t="shared" si="11"/>
        <v>0</v>
      </c>
      <c r="CO21" s="36">
        <f t="shared" si="11"/>
        <v>0</v>
      </c>
      <c r="CP21" s="36">
        <f t="shared" si="11"/>
        <v>0</v>
      </c>
      <c r="CQ21" s="36">
        <f t="shared" si="11"/>
        <v>0</v>
      </c>
      <c r="CR21" s="36">
        <f t="shared" si="11"/>
        <v>0</v>
      </c>
      <c r="CS21" s="36">
        <f t="shared" si="11"/>
        <v>0</v>
      </c>
      <c r="CT21" s="36">
        <f t="shared" si="11"/>
        <v>0</v>
      </c>
      <c r="CU21" s="36">
        <f t="shared" si="11"/>
        <v>0</v>
      </c>
    </row>
    <row r="22" spans="1:99" x14ac:dyDescent="0.3">
      <c r="A22" s="7" t="s">
        <v>338</v>
      </c>
      <c r="B22" s="1"/>
      <c r="C22" s="11"/>
      <c r="D22" s="36">
        <f t="shared" ref="D22:AI22" si="12">(1+in_cost_escalation_pct)^(D$4/12)</f>
        <v>1</v>
      </c>
      <c r="E22" s="36">
        <f t="shared" si="12"/>
        <v>1.0040741237836484</v>
      </c>
      <c r="F22" s="36">
        <f t="shared" si="12"/>
        <v>1.008164846051901</v>
      </c>
      <c r="G22" s="36">
        <f t="shared" si="12"/>
        <v>1.0122722344290394</v>
      </c>
      <c r="H22" s="36">
        <f t="shared" si="12"/>
        <v>1.0163963568148535</v>
      </c>
      <c r="I22" s="36">
        <f t="shared" si="12"/>
        <v>1.0205372813857663</v>
      </c>
      <c r="J22" s="36">
        <f t="shared" si="12"/>
        <v>1.0246950765959599</v>
      </c>
      <c r="K22" s="36">
        <f t="shared" si="12"/>
        <v>1.0288698111785068</v>
      </c>
      <c r="L22" s="36">
        <f t="shared" si="12"/>
        <v>1.0330615541465069</v>
      </c>
      <c r="M22" s="36">
        <f t="shared" si="12"/>
        <v>1.0372703747942278</v>
      </c>
      <c r="N22" s="36">
        <f t="shared" si="12"/>
        <v>1.0414963426982509</v>
      </c>
      <c r="O22" s="36">
        <f t="shared" si="12"/>
        <v>1.0457395277186206</v>
      </c>
      <c r="P22" s="36">
        <f t="shared" si="12"/>
        <v>1.05</v>
      </c>
      <c r="Q22" s="36">
        <f t="shared" si="12"/>
        <v>1.0542778299728308</v>
      </c>
      <c r="R22" s="36">
        <f t="shared" si="12"/>
        <v>1.0585730883544962</v>
      </c>
      <c r="S22" s="36">
        <f t="shared" si="12"/>
        <v>1.0628858461504913</v>
      </c>
      <c r="T22" s="36">
        <f t="shared" si="12"/>
        <v>1.0672161746555962</v>
      </c>
      <c r="U22" s="36">
        <f t="shared" si="12"/>
        <v>1.0715641454550546</v>
      </c>
      <c r="V22" s="36">
        <f t="shared" si="12"/>
        <v>1.0759298304257578</v>
      </c>
      <c r="W22" s="36">
        <f t="shared" si="12"/>
        <v>1.0803133017374322</v>
      </c>
      <c r="X22" s="36">
        <f t="shared" si="12"/>
        <v>1.0847146318538323</v>
      </c>
      <c r="Y22" s="36">
        <f t="shared" si="12"/>
        <v>1.0891338935339392</v>
      </c>
      <c r="Z22" s="36">
        <f t="shared" si="12"/>
        <v>1.0935711598331634</v>
      </c>
      <c r="AA22" s="36">
        <f t="shared" si="12"/>
        <v>1.0980265041045516</v>
      </c>
      <c r="AB22" s="36">
        <f t="shared" si="12"/>
        <v>1.1025</v>
      </c>
      <c r="AC22" s="36">
        <f t="shared" si="12"/>
        <v>1.1069917214714724</v>
      </c>
      <c r="AD22" s="36">
        <f t="shared" si="12"/>
        <v>1.1115017427722211</v>
      </c>
      <c r="AE22" s="36">
        <f t="shared" si="12"/>
        <v>1.116030138458016</v>
      </c>
      <c r="AF22" s="36">
        <f t="shared" si="12"/>
        <v>1.1205769833883761</v>
      </c>
      <c r="AG22" s="36">
        <f t="shared" si="12"/>
        <v>1.1251423527278075</v>
      </c>
      <c r="AH22" s="36">
        <f t="shared" si="12"/>
        <v>1.1297263219470459</v>
      </c>
      <c r="AI22" s="36">
        <f t="shared" si="12"/>
        <v>1.134328966824304</v>
      </c>
      <c r="AJ22" s="36">
        <f t="shared" ref="AJ22:BO22" si="13">(1+in_cost_escalation_pct)^(AJ$4/12)</f>
        <v>1.1389503634465239</v>
      </c>
      <c r="AK22" s="36">
        <f t="shared" si="13"/>
        <v>1.1435905882106363</v>
      </c>
      <c r="AL22" s="36">
        <f t="shared" si="13"/>
        <v>1.1482497178248217</v>
      </c>
      <c r="AM22" s="36">
        <f t="shared" si="13"/>
        <v>1.1529278293097791</v>
      </c>
      <c r="AN22" s="36">
        <f t="shared" si="13"/>
        <v>1.1576250000000001</v>
      </c>
      <c r="AO22" s="36">
        <f t="shared" si="13"/>
        <v>1.1623413075450459</v>
      </c>
      <c r="AP22" s="36">
        <f t="shared" si="13"/>
        <v>1.1670768299108321</v>
      </c>
      <c r="AQ22" s="36">
        <f t="shared" si="13"/>
        <v>1.1718316453809168</v>
      </c>
      <c r="AR22" s="36">
        <f t="shared" si="13"/>
        <v>1.1766058325577948</v>
      </c>
      <c r="AS22" s="36">
        <f t="shared" si="13"/>
        <v>1.1813994703641979</v>
      </c>
      <c r="AT22" s="36">
        <f t="shared" si="13"/>
        <v>1.1862126380443982</v>
      </c>
      <c r="AU22" s="36">
        <f t="shared" si="13"/>
        <v>1.1910454151655192</v>
      </c>
      <c r="AV22" s="36">
        <f t="shared" si="13"/>
        <v>1.1958978816188501</v>
      </c>
      <c r="AW22" s="36">
        <f t="shared" si="13"/>
        <v>1.2007701176211683</v>
      </c>
      <c r="AX22" s="36">
        <f t="shared" si="13"/>
        <v>1.2056622037160627</v>
      </c>
      <c r="AY22" s="36">
        <f t="shared" si="13"/>
        <v>1.2105742207752681</v>
      </c>
      <c r="AZ22" s="36">
        <f t="shared" si="13"/>
        <v>1.21550625</v>
      </c>
      <c r="BA22" s="36">
        <f t="shared" si="13"/>
        <v>1.2204583729222984</v>
      </c>
      <c r="BB22" s="36">
        <f t="shared" si="13"/>
        <v>1.2254306714063739</v>
      </c>
      <c r="BC22" s="36">
        <f t="shared" si="13"/>
        <v>1.2304232276499627</v>
      </c>
      <c r="BD22" s="36">
        <f t="shared" si="13"/>
        <v>1.2354361241856846</v>
      </c>
      <c r="BE22" s="36">
        <f t="shared" si="13"/>
        <v>1.2404694438824078</v>
      </c>
      <c r="BF22" s="36">
        <f t="shared" si="13"/>
        <v>1.2455232699466181</v>
      </c>
      <c r="BG22" s="36">
        <f t="shared" si="13"/>
        <v>1.2505976859237951</v>
      </c>
      <c r="BH22" s="36">
        <f t="shared" si="13"/>
        <v>1.2556927756997929</v>
      </c>
      <c r="BI22" s="36">
        <f t="shared" si="13"/>
        <v>1.2608086235022267</v>
      </c>
      <c r="BJ22" s="36">
        <f t="shared" si="13"/>
        <v>1.2659453139018659</v>
      </c>
      <c r="BK22" s="36">
        <f t="shared" si="13"/>
        <v>1.2711029318140317</v>
      </c>
      <c r="BL22" s="36">
        <f t="shared" si="13"/>
        <v>1.2762815625000001</v>
      </c>
      <c r="BM22" s="36">
        <f t="shared" si="13"/>
        <v>1.2814812915684133</v>
      </c>
      <c r="BN22" s="36">
        <f t="shared" si="13"/>
        <v>1.2867022049766927</v>
      </c>
      <c r="BO22" s="36">
        <f t="shared" si="13"/>
        <v>1.2919443890324609</v>
      </c>
      <c r="BP22" s="36">
        <f t="shared" ref="BP22:CU22" si="14">(1+in_cost_escalation_pct)^(BP$4/12)</f>
        <v>1.2972079303949688</v>
      </c>
      <c r="BQ22" s="36">
        <f t="shared" si="14"/>
        <v>1.3024929160765284</v>
      </c>
      <c r="BR22" s="36">
        <f t="shared" si="14"/>
        <v>1.3077994334439491</v>
      </c>
      <c r="BS22" s="36">
        <f t="shared" si="14"/>
        <v>1.3131275702199849</v>
      </c>
      <c r="BT22" s="36">
        <f t="shared" si="14"/>
        <v>1.3184774144847824</v>
      </c>
      <c r="BU22" s="36">
        <f t="shared" si="14"/>
        <v>1.323849054677338</v>
      </c>
      <c r="BV22" s="36">
        <f t="shared" si="14"/>
        <v>1.3292425795969594</v>
      </c>
      <c r="BW22" s="36">
        <f t="shared" si="14"/>
        <v>1.3346580784047333</v>
      </c>
      <c r="BX22" s="36">
        <f t="shared" si="14"/>
        <v>1.340095640625</v>
      </c>
      <c r="BY22" s="36">
        <f t="shared" si="14"/>
        <v>1.3455553561468341</v>
      </c>
      <c r="BZ22" s="36">
        <f t="shared" si="14"/>
        <v>1.3510373152255273</v>
      </c>
      <c r="CA22" s="36">
        <f t="shared" si="14"/>
        <v>1.356541608484084</v>
      </c>
      <c r="CB22" s="36">
        <f t="shared" si="14"/>
        <v>1.3620683269147174</v>
      </c>
      <c r="CC22" s="36">
        <f t="shared" si="14"/>
        <v>1.3676175618803548</v>
      </c>
      <c r="CD22" s="36">
        <f t="shared" si="14"/>
        <v>1.3731894051161466</v>
      </c>
      <c r="CE22" s="36">
        <f t="shared" si="14"/>
        <v>1.3787839487309843</v>
      </c>
      <c r="CF22" s="36">
        <f t="shared" si="14"/>
        <v>1.3844012852090217</v>
      </c>
      <c r="CG22" s="36">
        <f t="shared" si="14"/>
        <v>1.3900415074112049</v>
      </c>
      <c r="CH22" s="36">
        <f t="shared" si="14"/>
        <v>1.3957047085768073</v>
      </c>
      <c r="CI22" s="36">
        <f t="shared" si="14"/>
        <v>1.4013909823249699</v>
      </c>
      <c r="CJ22" s="36">
        <f t="shared" si="14"/>
        <v>1.4071004226562502</v>
      </c>
      <c r="CK22" s="36">
        <f t="shared" si="14"/>
        <v>1.4128331239541758</v>
      </c>
      <c r="CL22" s="36">
        <f t="shared" si="14"/>
        <v>1.4185891809868039</v>
      </c>
      <c r="CM22" s="36">
        <f t="shared" si="14"/>
        <v>1.4243686889082883</v>
      </c>
      <c r="CN22" s="36">
        <f t="shared" si="14"/>
        <v>1.4301717432604533</v>
      </c>
      <c r="CO22" s="36">
        <f t="shared" si="14"/>
        <v>1.4359984399743726</v>
      </c>
      <c r="CP22" s="36">
        <f t="shared" si="14"/>
        <v>1.4418488753719541</v>
      </c>
      <c r="CQ22" s="36">
        <f t="shared" si="14"/>
        <v>1.4477231461675335</v>
      </c>
      <c r="CR22" s="36">
        <f t="shared" si="14"/>
        <v>1.4536213494694727</v>
      </c>
      <c r="CS22" s="36">
        <f t="shared" si="14"/>
        <v>1.4595435827817653</v>
      </c>
      <c r="CT22" s="36">
        <f t="shared" si="14"/>
        <v>1.4654899440056477</v>
      </c>
      <c r="CU22" s="36">
        <f t="shared" si="14"/>
        <v>1.4714605314412186</v>
      </c>
    </row>
    <row r="23" spans="1:99" x14ac:dyDescent="0.3">
      <c r="A23" s="13" t="s">
        <v>339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4"/>
      <c r="BS23" s="14"/>
      <c r="BT23" s="14"/>
      <c r="BU23" s="14"/>
      <c r="BV23" s="14"/>
      <c r="BW23" s="14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/>
      <c r="CR23" s="14"/>
      <c r="CS23" s="14"/>
      <c r="CT23" s="14"/>
      <c r="CU23" s="14"/>
    </row>
    <row r="24" spans="1:99" x14ac:dyDescent="0.3">
      <c r="A24" s="7" t="s">
        <v>340</v>
      </c>
      <c r="B24" s="21">
        <f t="shared" ref="B24:B32" si="15">SUM(D24:CU24)</f>
        <v>265000000</v>
      </c>
      <c r="C24" s="11"/>
      <c r="D24" s="34">
        <f t="shared" ref="D24:AI24" si="16">IF(SUM(lp_pct)=0,IF(D$4=0,in_site_land_price,0),SUMPRODUCT((lp_month=D$4)*lp_pct)*in_site_land_price)</f>
        <v>265000000</v>
      </c>
      <c r="E24" s="34">
        <f t="shared" si="16"/>
        <v>0</v>
      </c>
      <c r="F24" s="34">
        <f t="shared" si="16"/>
        <v>0</v>
      </c>
      <c r="G24" s="34">
        <f t="shared" si="16"/>
        <v>0</v>
      </c>
      <c r="H24" s="34">
        <f t="shared" si="16"/>
        <v>0</v>
      </c>
      <c r="I24" s="34">
        <f t="shared" si="16"/>
        <v>0</v>
      </c>
      <c r="J24" s="34">
        <f t="shared" si="16"/>
        <v>0</v>
      </c>
      <c r="K24" s="34">
        <f t="shared" si="16"/>
        <v>0</v>
      </c>
      <c r="L24" s="34">
        <f t="shared" si="16"/>
        <v>0</v>
      </c>
      <c r="M24" s="34">
        <f t="shared" si="16"/>
        <v>0</v>
      </c>
      <c r="N24" s="34">
        <f t="shared" si="16"/>
        <v>0</v>
      </c>
      <c r="O24" s="34">
        <f t="shared" si="16"/>
        <v>0</v>
      </c>
      <c r="P24" s="34">
        <f t="shared" si="16"/>
        <v>0</v>
      </c>
      <c r="Q24" s="34">
        <f t="shared" si="16"/>
        <v>0</v>
      </c>
      <c r="R24" s="34">
        <f t="shared" si="16"/>
        <v>0</v>
      </c>
      <c r="S24" s="34">
        <f t="shared" si="16"/>
        <v>0</v>
      </c>
      <c r="T24" s="34">
        <f t="shared" si="16"/>
        <v>0</v>
      </c>
      <c r="U24" s="34">
        <f t="shared" si="16"/>
        <v>0</v>
      </c>
      <c r="V24" s="34">
        <f t="shared" si="16"/>
        <v>0</v>
      </c>
      <c r="W24" s="34">
        <f t="shared" si="16"/>
        <v>0</v>
      </c>
      <c r="X24" s="34">
        <f t="shared" si="16"/>
        <v>0</v>
      </c>
      <c r="Y24" s="34">
        <f t="shared" si="16"/>
        <v>0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0</v>
      </c>
      <c r="AD24" s="34">
        <f t="shared" si="16"/>
        <v>0</v>
      </c>
      <c r="AE24" s="34">
        <f t="shared" si="16"/>
        <v>0</v>
      </c>
      <c r="AF24" s="34">
        <f t="shared" si="16"/>
        <v>0</v>
      </c>
      <c r="AG24" s="34">
        <f t="shared" si="16"/>
        <v>0</v>
      </c>
      <c r="AH24" s="34">
        <f t="shared" si="16"/>
        <v>0</v>
      </c>
      <c r="AI24" s="34">
        <f t="shared" si="16"/>
        <v>0</v>
      </c>
      <c r="AJ24" s="34">
        <f t="shared" ref="AJ24:BO24" si="17">IF(SUM(lp_pct)=0,IF(AJ$4=0,in_site_land_price,0),SUMPRODUCT((lp_month=AJ$4)*lp_pct)*in_site_land_price)</f>
        <v>0</v>
      </c>
      <c r="AK24" s="34">
        <f t="shared" si="17"/>
        <v>0</v>
      </c>
      <c r="AL24" s="34">
        <f t="shared" si="17"/>
        <v>0</v>
      </c>
      <c r="AM24" s="34">
        <f t="shared" si="17"/>
        <v>0</v>
      </c>
      <c r="AN24" s="34">
        <f t="shared" si="17"/>
        <v>0</v>
      </c>
      <c r="AO24" s="34">
        <f t="shared" si="17"/>
        <v>0</v>
      </c>
      <c r="AP24" s="34">
        <f t="shared" si="17"/>
        <v>0</v>
      </c>
      <c r="AQ24" s="34">
        <f t="shared" si="17"/>
        <v>0</v>
      </c>
      <c r="AR24" s="34">
        <f t="shared" si="17"/>
        <v>0</v>
      </c>
      <c r="AS24" s="34">
        <f t="shared" si="17"/>
        <v>0</v>
      </c>
      <c r="AT24" s="34">
        <f t="shared" si="17"/>
        <v>0</v>
      </c>
      <c r="AU24" s="34">
        <f t="shared" si="17"/>
        <v>0</v>
      </c>
      <c r="AV24" s="34">
        <f t="shared" si="17"/>
        <v>0</v>
      </c>
      <c r="AW24" s="34">
        <f t="shared" si="17"/>
        <v>0</v>
      </c>
      <c r="AX24" s="34">
        <f t="shared" si="17"/>
        <v>0</v>
      </c>
      <c r="AY24" s="34">
        <f t="shared" si="17"/>
        <v>0</v>
      </c>
      <c r="AZ24" s="34">
        <f t="shared" si="17"/>
        <v>0</v>
      </c>
      <c r="BA24" s="34">
        <f t="shared" si="17"/>
        <v>0</v>
      </c>
      <c r="BB24" s="34">
        <f t="shared" si="17"/>
        <v>0</v>
      </c>
      <c r="BC24" s="34">
        <f t="shared" si="17"/>
        <v>0</v>
      </c>
      <c r="BD24" s="34">
        <f t="shared" si="17"/>
        <v>0</v>
      </c>
      <c r="BE24" s="34">
        <f t="shared" si="17"/>
        <v>0</v>
      </c>
      <c r="BF24" s="34">
        <f t="shared" si="17"/>
        <v>0</v>
      </c>
      <c r="BG24" s="34">
        <f t="shared" si="17"/>
        <v>0</v>
      </c>
      <c r="BH24" s="34">
        <f t="shared" si="17"/>
        <v>0</v>
      </c>
      <c r="BI24" s="34">
        <f t="shared" si="17"/>
        <v>0</v>
      </c>
      <c r="BJ24" s="34">
        <f t="shared" si="17"/>
        <v>0</v>
      </c>
      <c r="BK24" s="34">
        <f t="shared" si="17"/>
        <v>0</v>
      </c>
      <c r="BL24" s="34">
        <f t="shared" si="17"/>
        <v>0</v>
      </c>
      <c r="BM24" s="34">
        <f t="shared" si="17"/>
        <v>0</v>
      </c>
      <c r="BN24" s="34">
        <f t="shared" si="17"/>
        <v>0</v>
      </c>
      <c r="BO24" s="34">
        <f t="shared" si="17"/>
        <v>0</v>
      </c>
      <c r="BP24" s="34">
        <f t="shared" ref="BP24:CU24" si="18">IF(SUM(lp_pct)=0,IF(BP$4=0,in_site_land_price,0),SUMPRODUCT((lp_month=BP$4)*lp_pct)*in_site_land_price)</f>
        <v>0</v>
      </c>
      <c r="BQ24" s="34">
        <f t="shared" si="18"/>
        <v>0</v>
      </c>
      <c r="BR24" s="34">
        <f t="shared" si="18"/>
        <v>0</v>
      </c>
      <c r="BS24" s="34">
        <f t="shared" si="18"/>
        <v>0</v>
      </c>
      <c r="BT24" s="34">
        <f t="shared" si="18"/>
        <v>0</v>
      </c>
      <c r="BU24" s="34">
        <f t="shared" si="18"/>
        <v>0</v>
      </c>
      <c r="BV24" s="34">
        <f t="shared" si="18"/>
        <v>0</v>
      </c>
      <c r="BW24" s="34">
        <f t="shared" si="18"/>
        <v>0</v>
      </c>
      <c r="BX24" s="34">
        <f t="shared" si="18"/>
        <v>0</v>
      </c>
      <c r="BY24" s="34">
        <f t="shared" si="18"/>
        <v>0</v>
      </c>
      <c r="BZ24" s="34">
        <f t="shared" si="18"/>
        <v>0</v>
      </c>
      <c r="CA24" s="34">
        <f t="shared" si="18"/>
        <v>0</v>
      </c>
      <c r="CB24" s="34">
        <f t="shared" si="18"/>
        <v>0</v>
      </c>
      <c r="CC24" s="34">
        <f t="shared" si="18"/>
        <v>0</v>
      </c>
      <c r="CD24" s="34">
        <f t="shared" si="18"/>
        <v>0</v>
      </c>
      <c r="CE24" s="34">
        <f t="shared" si="18"/>
        <v>0</v>
      </c>
      <c r="CF24" s="34">
        <f t="shared" si="18"/>
        <v>0</v>
      </c>
      <c r="CG24" s="34">
        <f t="shared" si="18"/>
        <v>0</v>
      </c>
      <c r="CH24" s="34">
        <f t="shared" si="18"/>
        <v>0</v>
      </c>
      <c r="CI24" s="34">
        <f t="shared" si="18"/>
        <v>0</v>
      </c>
      <c r="CJ24" s="34">
        <f t="shared" si="18"/>
        <v>0</v>
      </c>
      <c r="CK24" s="34">
        <f t="shared" si="18"/>
        <v>0</v>
      </c>
      <c r="CL24" s="34">
        <f t="shared" si="18"/>
        <v>0</v>
      </c>
      <c r="CM24" s="34">
        <f t="shared" si="18"/>
        <v>0</v>
      </c>
      <c r="CN24" s="34">
        <f t="shared" si="18"/>
        <v>0</v>
      </c>
      <c r="CO24" s="34">
        <f t="shared" si="18"/>
        <v>0</v>
      </c>
      <c r="CP24" s="34">
        <f t="shared" si="18"/>
        <v>0</v>
      </c>
      <c r="CQ24" s="34">
        <f t="shared" si="18"/>
        <v>0</v>
      </c>
      <c r="CR24" s="34">
        <f t="shared" si="18"/>
        <v>0</v>
      </c>
      <c r="CS24" s="34">
        <f t="shared" si="18"/>
        <v>0</v>
      </c>
      <c r="CT24" s="34">
        <f t="shared" si="18"/>
        <v>0</v>
      </c>
      <c r="CU24" s="34">
        <f t="shared" si="18"/>
        <v>0</v>
      </c>
    </row>
    <row r="25" spans="1:99" x14ac:dyDescent="0.3">
      <c r="A25" s="7" t="s">
        <v>341</v>
      </c>
      <c r="B25" s="21">
        <f t="shared" si="15"/>
        <v>20049999.999999996</v>
      </c>
      <c r="C25" s="11"/>
      <c r="D25" s="34">
        <f t="shared" ref="D25:AI25" si="19">IF(D$4=0,in_site_land_price*(in_site_transfer_tax_pct+in_site_legal_notary_pct+in_site_brokerage_pct)+N(in_site_due_diligence),0)</f>
        <v>20049999.999999996</v>
      </c>
      <c r="E25" s="34">
        <f t="shared" si="19"/>
        <v>0</v>
      </c>
      <c r="F25" s="34">
        <f t="shared" si="19"/>
        <v>0</v>
      </c>
      <c r="G25" s="34">
        <f t="shared" si="19"/>
        <v>0</v>
      </c>
      <c r="H25" s="34">
        <f t="shared" si="19"/>
        <v>0</v>
      </c>
      <c r="I25" s="34">
        <f t="shared" si="19"/>
        <v>0</v>
      </c>
      <c r="J25" s="34">
        <f t="shared" si="19"/>
        <v>0</v>
      </c>
      <c r="K25" s="34">
        <f t="shared" si="19"/>
        <v>0</v>
      </c>
      <c r="L25" s="34">
        <f t="shared" si="19"/>
        <v>0</v>
      </c>
      <c r="M25" s="34">
        <f t="shared" si="19"/>
        <v>0</v>
      </c>
      <c r="N25" s="34">
        <f t="shared" si="19"/>
        <v>0</v>
      </c>
      <c r="O25" s="34">
        <f t="shared" si="19"/>
        <v>0</v>
      </c>
      <c r="P25" s="34">
        <f t="shared" si="19"/>
        <v>0</v>
      </c>
      <c r="Q25" s="34">
        <f t="shared" si="19"/>
        <v>0</v>
      </c>
      <c r="R25" s="34">
        <f t="shared" si="19"/>
        <v>0</v>
      </c>
      <c r="S25" s="34">
        <f t="shared" si="19"/>
        <v>0</v>
      </c>
      <c r="T25" s="34">
        <f t="shared" si="19"/>
        <v>0</v>
      </c>
      <c r="U25" s="34">
        <f t="shared" si="19"/>
        <v>0</v>
      </c>
      <c r="V25" s="34">
        <f t="shared" si="19"/>
        <v>0</v>
      </c>
      <c r="W25" s="34">
        <f t="shared" si="19"/>
        <v>0</v>
      </c>
      <c r="X25" s="34">
        <f t="shared" si="19"/>
        <v>0</v>
      </c>
      <c r="Y25" s="34">
        <f t="shared" si="19"/>
        <v>0</v>
      </c>
      <c r="Z25" s="34">
        <f t="shared" si="19"/>
        <v>0</v>
      </c>
      <c r="AA25" s="34">
        <f t="shared" si="19"/>
        <v>0</v>
      </c>
      <c r="AB25" s="34">
        <f t="shared" si="19"/>
        <v>0</v>
      </c>
      <c r="AC25" s="34">
        <f t="shared" si="19"/>
        <v>0</v>
      </c>
      <c r="AD25" s="34">
        <f t="shared" si="19"/>
        <v>0</v>
      </c>
      <c r="AE25" s="34">
        <f t="shared" si="19"/>
        <v>0</v>
      </c>
      <c r="AF25" s="34">
        <f t="shared" si="19"/>
        <v>0</v>
      </c>
      <c r="AG25" s="34">
        <f t="shared" si="19"/>
        <v>0</v>
      </c>
      <c r="AH25" s="34">
        <f t="shared" si="19"/>
        <v>0</v>
      </c>
      <c r="AI25" s="34">
        <f t="shared" si="19"/>
        <v>0</v>
      </c>
      <c r="AJ25" s="34">
        <f t="shared" ref="AJ25:BO25" si="20">IF(AJ$4=0,in_site_land_price*(in_site_transfer_tax_pct+in_site_legal_notary_pct+in_site_brokerage_pct)+N(in_site_due_diligence),0)</f>
        <v>0</v>
      </c>
      <c r="AK25" s="34">
        <f t="shared" si="20"/>
        <v>0</v>
      </c>
      <c r="AL25" s="34">
        <f t="shared" si="20"/>
        <v>0</v>
      </c>
      <c r="AM25" s="34">
        <f t="shared" si="20"/>
        <v>0</v>
      </c>
      <c r="AN25" s="34">
        <f t="shared" si="20"/>
        <v>0</v>
      </c>
      <c r="AO25" s="34">
        <f t="shared" si="20"/>
        <v>0</v>
      </c>
      <c r="AP25" s="34">
        <f t="shared" si="20"/>
        <v>0</v>
      </c>
      <c r="AQ25" s="34">
        <f t="shared" si="20"/>
        <v>0</v>
      </c>
      <c r="AR25" s="34">
        <f t="shared" si="20"/>
        <v>0</v>
      </c>
      <c r="AS25" s="34">
        <f t="shared" si="20"/>
        <v>0</v>
      </c>
      <c r="AT25" s="34">
        <f t="shared" si="20"/>
        <v>0</v>
      </c>
      <c r="AU25" s="34">
        <f t="shared" si="20"/>
        <v>0</v>
      </c>
      <c r="AV25" s="34">
        <f t="shared" si="20"/>
        <v>0</v>
      </c>
      <c r="AW25" s="34">
        <f t="shared" si="20"/>
        <v>0</v>
      </c>
      <c r="AX25" s="34">
        <f t="shared" si="20"/>
        <v>0</v>
      </c>
      <c r="AY25" s="34">
        <f t="shared" si="20"/>
        <v>0</v>
      </c>
      <c r="AZ25" s="34">
        <f t="shared" si="20"/>
        <v>0</v>
      </c>
      <c r="BA25" s="34">
        <f t="shared" si="20"/>
        <v>0</v>
      </c>
      <c r="BB25" s="34">
        <f t="shared" si="20"/>
        <v>0</v>
      </c>
      <c r="BC25" s="34">
        <f t="shared" si="20"/>
        <v>0</v>
      </c>
      <c r="BD25" s="34">
        <f t="shared" si="20"/>
        <v>0</v>
      </c>
      <c r="BE25" s="34">
        <f t="shared" si="20"/>
        <v>0</v>
      </c>
      <c r="BF25" s="34">
        <f t="shared" si="20"/>
        <v>0</v>
      </c>
      <c r="BG25" s="34">
        <f t="shared" si="20"/>
        <v>0</v>
      </c>
      <c r="BH25" s="34">
        <f t="shared" si="20"/>
        <v>0</v>
      </c>
      <c r="BI25" s="34">
        <f t="shared" si="20"/>
        <v>0</v>
      </c>
      <c r="BJ25" s="34">
        <f t="shared" si="20"/>
        <v>0</v>
      </c>
      <c r="BK25" s="34">
        <f t="shared" si="20"/>
        <v>0</v>
      </c>
      <c r="BL25" s="34">
        <f t="shared" si="20"/>
        <v>0</v>
      </c>
      <c r="BM25" s="34">
        <f t="shared" si="20"/>
        <v>0</v>
      </c>
      <c r="BN25" s="34">
        <f t="shared" si="20"/>
        <v>0</v>
      </c>
      <c r="BO25" s="34">
        <f t="shared" si="20"/>
        <v>0</v>
      </c>
      <c r="BP25" s="34">
        <f t="shared" ref="BP25:CU25" si="21">IF(BP$4=0,in_site_land_price*(in_site_transfer_tax_pct+in_site_legal_notary_pct+in_site_brokerage_pct)+N(in_site_due_diligence),0)</f>
        <v>0</v>
      </c>
      <c r="BQ25" s="34">
        <f t="shared" si="21"/>
        <v>0</v>
      </c>
      <c r="BR25" s="34">
        <f t="shared" si="21"/>
        <v>0</v>
      </c>
      <c r="BS25" s="34">
        <f t="shared" si="21"/>
        <v>0</v>
      </c>
      <c r="BT25" s="34">
        <f t="shared" si="21"/>
        <v>0</v>
      </c>
      <c r="BU25" s="34">
        <f t="shared" si="21"/>
        <v>0</v>
      </c>
      <c r="BV25" s="34">
        <f t="shared" si="21"/>
        <v>0</v>
      </c>
      <c r="BW25" s="34">
        <f t="shared" si="21"/>
        <v>0</v>
      </c>
      <c r="BX25" s="34">
        <f t="shared" si="21"/>
        <v>0</v>
      </c>
      <c r="BY25" s="34">
        <f t="shared" si="21"/>
        <v>0</v>
      </c>
      <c r="BZ25" s="34">
        <f t="shared" si="21"/>
        <v>0</v>
      </c>
      <c r="CA25" s="34">
        <f t="shared" si="21"/>
        <v>0</v>
      </c>
      <c r="CB25" s="34">
        <f t="shared" si="21"/>
        <v>0</v>
      </c>
      <c r="CC25" s="34">
        <f t="shared" si="21"/>
        <v>0</v>
      </c>
      <c r="CD25" s="34">
        <f t="shared" si="21"/>
        <v>0</v>
      </c>
      <c r="CE25" s="34">
        <f t="shared" si="21"/>
        <v>0</v>
      </c>
      <c r="CF25" s="34">
        <f t="shared" si="21"/>
        <v>0</v>
      </c>
      <c r="CG25" s="34">
        <f t="shared" si="21"/>
        <v>0</v>
      </c>
      <c r="CH25" s="34">
        <f t="shared" si="21"/>
        <v>0</v>
      </c>
      <c r="CI25" s="34">
        <f t="shared" si="21"/>
        <v>0</v>
      </c>
      <c r="CJ25" s="34">
        <f t="shared" si="21"/>
        <v>0</v>
      </c>
      <c r="CK25" s="34">
        <f t="shared" si="21"/>
        <v>0</v>
      </c>
      <c r="CL25" s="34">
        <f t="shared" si="21"/>
        <v>0</v>
      </c>
      <c r="CM25" s="34">
        <f t="shared" si="21"/>
        <v>0</v>
      </c>
      <c r="CN25" s="34">
        <f t="shared" si="21"/>
        <v>0</v>
      </c>
      <c r="CO25" s="34">
        <f t="shared" si="21"/>
        <v>0</v>
      </c>
      <c r="CP25" s="34">
        <f t="shared" si="21"/>
        <v>0</v>
      </c>
      <c r="CQ25" s="34">
        <f t="shared" si="21"/>
        <v>0</v>
      </c>
      <c r="CR25" s="34">
        <f t="shared" si="21"/>
        <v>0</v>
      </c>
      <c r="CS25" s="34">
        <f t="shared" si="21"/>
        <v>0</v>
      </c>
      <c r="CT25" s="34">
        <f t="shared" si="21"/>
        <v>0</v>
      </c>
      <c r="CU25" s="34">
        <f t="shared" si="21"/>
        <v>0</v>
      </c>
    </row>
    <row r="26" spans="1:99" x14ac:dyDescent="0.3">
      <c r="A26" s="7" t="s">
        <v>342</v>
      </c>
      <c r="B26" s="21">
        <f t="shared" si="15"/>
        <v>338024924.11769235</v>
      </c>
      <c r="C26" s="11"/>
      <c r="D26" s="34">
        <f t="shared" ref="D26:AI26" si="22">(C_HardAbove+C_HardBelow+in_green_capex)*D21*D22+IF(D$4=IF(T_Con&gt;0,T_ConStart+1,T_ConStart),C_FixedSite,0)</f>
        <v>0</v>
      </c>
      <c r="E26" s="34">
        <f t="shared" si="22"/>
        <v>0</v>
      </c>
      <c r="F26" s="34">
        <f t="shared" si="22"/>
        <v>0</v>
      </c>
      <c r="G26" s="34">
        <f t="shared" si="22"/>
        <v>0</v>
      </c>
      <c r="H26" s="34">
        <f t="shared" si="22"/>
        <v>0</v>
      </c>
      <c r="I26" s="34">
        <f t="shared" si="22"/>
        <v>0</v>
      </c>
      <c r="J26" s="34">
        <f t="shared" si="22"/>
        <v>0</v>
      </c>
      <c r="K26" s="34">
        <f t="shared" si="22"/>
        <v>0</v>
      </c>
      <c r="L26" s="34">
        <f t="shared" si="22"/>
        <v>0</v>
      </c>
      <c r="M26" s="34">
        <f t="shared" si="22"/>
        <v>9844871.212730607</v>
      </c>
      <c r="N26" s="34">
        <f t="shared" si="22"/>
        <v>4027946.2841059202</v>
      </c>
      <c r="O26" s="34">
        <f t="shared" si="22"/>
        <v>6663661.3292332655</v>
      </c>
      <c r="P26" s="34">
        <f t="shared" si="22"/>
        <v>9206304.3626518361</v>
      </c>
      <c r="Q26" s="34">
        <f t="shared" si="22"/>
        <v>11611390.688349018</v>
      </c>
      <c r="R26" s="34">
        <f t="shared" si="22"/>
        <v>13836437.90525119</v>
      </c>
      <c r="S26" s="34">
        <f t="shared" si="22"/>
        <v>15841712.807880344</v>
      </c>
      <c r="T26" s="34">
        <f t="shared" si="22"/>
        <v>17590937.108562853</v>
      </c>
      <c r="U26" s="34">
        <f t="shared" si="22"/>
        <v>19051939.508963909</v>
      </c>
      <c r="V26" s="34">
        <f t="shared" si="22"/>
        <v>20197242.469493292</v>
      </c>
      <c r="W26" s="34">
        <f t="shared" si="22"/>
        <v>21004573.052971687</v>
      </c>
      <c r="X26" s="34">
        <f t="shared" si="22"/>
        <v>21457288.437868409</v>
      </c>
      <c r="Y26" s="34">
        <f t="shared" si="22"/>
        <v>21544708.087025728</v>
      </c>
      <c r="Z26" s="34">
        <f t="shared" si="22"/>
        <v>21262346.097559638</v>
      </c>
      <c r="AA26" s="34">
        <f t="shared" si="22"/>
        <v>20612038.921305791</v>
      </c>
      <c r="AB26" s="34">
        <f t="shared" si="22"/>
        <v>19601965.405172031</v>
      </c>
      <c r="AC26" s="34">
        <f t="shared" si="22"/>
        <v>18246557.92758074</v>
      </c>
      <c r="AD26" s="34">
        <f t="shared" si="22"/>
        <v>16566305.269966794</v>
      </c>
      <c r="AE26" s="34">
        <f t="shared" si="22"/>
        <v>14587449.729302047</v>
      </c>
      <c r="AF26" s="34">
        <f t="shared" si="22"/>
        <v>12341582.816769799</v>
      </c>
      <c r="AG26" s="34">
        <f t="shared" si="22"/>
        <v>9865145.6671641581</v>
      </c>
      <c r="AH26" s="34">
        <f t="shared" si="22"/>
        <v>7198841.9722440159</v>
      </c>
      <c r="AI26" s="34">
        <f t="shared" si="22"/>
        <v>4386972.8193538627</v>
      </c>
      <c r="AJ26" s="34">
        <f t="shared" ref="AJ26:BO26" si="23">(C_HardAbove+C_HardBelow+in_green_capex)*AJ21*AJ22+IF(AJ$4=IF(T_Con&gt;0,T_ConStart+1,T_ConStart),C_FixedSite,0)</f>
        <v>1476704.2361854371</v>
      </c>
      <c r="AK26" s="34">
        <f t="shared" si="23"/>
        <v>0</v>
      </c>
      <c r="AL26" s="34">
        <f t="shared" si="23"/>
        <v>0</v>
      </c>
      <c r="AM26" s="34">
        <f t="shared" si="23"/>
        <v>0</v>
      </c>
      <c r="AN26" s="34">
        <f t="shared" si="23"/>
        <v>0</v>
      </c>
      <c r="AO26" s="34">
        <f t="shared" si="23"/>
        <v>0</v>
      </c>
      <c r="AP26" s="34">
        <f t="shared" si="23"/>
        <v>0</v>
      </c>
      <c r="AQ26" s="34">
        <f t="shared" si="23"/>
        <v>0</v>
      </c>
      <c r="AR26" s="34">
        <f t="shared" si="23"/>
        <v>0</v>
      </c>
      <c r="AS26" s="34">
        <f t="shared" si="23"/>
        <v>0</v>
      </c>
      <c r="AT26" s="34">
        <f t="shared" si="23"/>
        <v>0</v>
      </c>
      <c r="AU26" s="34">
        <f t="shared" si="23"/>
        <v>0</v>
      </c>
      <c r="AV26" s="34">
        <f t="shared" si="23"/>
        <v>0</v>
      </c>
      <c r="AW26" s="34">
        <f t="shared" si="23"/>
        <v>0</v>
      </c>
      <c r="AX26" s="34">
        <f t="shared" si="23"/>
        <v>0</v>
      </c>
      <c r="AY26" s="34">
        <f t="shared" si="23"/>
        <v>0</v>
      </c>
      <c r="AZ26" s="34">
        <f t="shared" si="23"/>
        <v>0</v>
      </c>
      <c r="BA26" s="34">
        <f t="shared" si="23"/>
        <v>0</v>
      </c>
      <c r="BB26" s="34">
        <f t="shared" si="23"/>
        <v>0</v>
      </c>
      <c r="BC26" s="34">
        <f t="shared" si="23"/>
        <v>0</v>
      </c>
      <c r="BD26" s="34">
        <f t="shared" si="23"/>
        <v>0</v>
      </c>
      <c r="BE26" s="34">
        <f t="shared" si="23"/>
        <v>0</v>
      </c>
      <c r="BF26" s="34">
        <f t="shared" si="23"/>
        <v>0</v>
      </c>
      <c r="BG26" s="34">
        <f t="shared" si="23"/>
        <v>0</v>
      </c>
      <c r="BH26" s="34">
        <f t="shared" si="23"/>
        <v>0</v>
      </c>
      <c r="BI26" s="34">
        <f t="shared" si="23"/>
        <v>0</v>
      </c>
      <c r="BJ26" s="34">
        <f t="shared" si="23"/>
        <v>0</v>
      </c>
      <c r="BK26" s="34">
        <f t="shared" si="23"/>
        <v>0</v>
      </c>
      <c r="BL26" s="34">
        <f t="shared" si="23"/>
        <v>0</v>
      </c>
      <c r="BM26" s="34">
        <f t="shared" si="23"/>
        <v>0</v>
      </c>
      <c r="BN26" s="34">
        <f t="shared" si="23"/>
        <v>0</v>
      </c>
      <c r="BO26" s="34">
        <f t="shared" si="23"/>
        <v>0</v>
      </c>
      <c r="BP26" s="34">
        <f t="shared" ref="BP26:CU26" si="24">(C_HardAbove+C_HardBelow+in_green_capex)*BP21*BP22+IF(BP$4=IF(T_Con&gt;0,T_ConStart+1,T_ConStart),C_FixedSite,0)</f>
        <v>0</v>
      </c>
      <c r="BQ26" s="34">
        <f t="shared" si="24"/>
        <v>0</v>
      </c>
      <c r="BR26" s="34">
        <f t="shared" si="24"/>
        <v>0</v>
      </c>
      <c r="BS26" s="34">
        <f t="shared" si="24"/>
        <v>0</v>
      </c>
      <c r="BT26" s="34">
        <f t="shared" si="24"/>
        <v>0</v>
      </c>
      <c r="BU26" s="34">
        <f t="shared" si="24"/>
        <v>0</v>
      </c>
      <c r="BV26" s="34">
        <f t="shared" si="24"/>
        <v>0</v>
      </c>
      <c r="BW26" s="34">
        <f t="shared" si="24"/>
        <v>0</v>
      </c>
      <c r="BX26" s="34">
        <f t="shared" si="24"/>
        <v>0</v>
      </c>
      <c r="BY26" s="34">
        <f t="shared" si="24"/>
        <v>0</v>
      </c>
      <c r="BZ26" s="34">
        <f t="shared" si="24"/>
        <v>0</v>
      </c>
      <c r="CA26" s="34">
        <f t="shared" si="24"/>
        <v>0</v>
      </c>
      <c r="CB26" s="34">
        <f t="shared" si="24"/>
        <v>0</v>
      </c>
      <c r="CC26" s="34">
        <f t="shared" si="24"/>
        <v>0</v>
      </c>
      <c r="CD26" s="34">
        <f t="shared" si="24"/>
        <v>0</v>
      </c>
      <c r="CE26" s="34">
        <f t="shared" si="24"/>
        <v>0</v>
      </c>
      <c r="CF26" s="34">
        <f t="shared" si="24"/>
        <v>0</v>
      </c>
      <c r="CG26" s="34">
        <f t="shared" si="24"/>
        <v>0</v>
      </c>
      <c r="CH26" s="34">
        <f t="shared" si="24"/>
        <v>0</v>
      </c>
      <c r="CI26" s="34">
        <f t="shared" si="24"/>
        <v>0</v>
      </c>
      <c r="CJ26" s="34">
        <f t="shared" si="24"/>
        <v>0</v>
      </c>
      <c r="CK26" s="34">
        <f t="shared" si="24"/>
        <v>0</v>
      </c>
      <c r="CL26" s="34">
        <f t="shared" si="24"/>
        <v>0</v>
      </c>
      <c r="CM26" s="34">
        <f t="shared" si="24"/>
        <v>0</v>
      </c>
      <c r="CN26" s="34">
        <f t="shared" si="24"/>
        <v>0</v>
      </c>
      <c r="CO26" s="34">
        <f t="shared" si="24"/>
        <v>0</v>
      </c>
      <c r="CP26" s="34">
        <f t="shared" si="24"/>
        <v>0</v>
      </c>
      <c r="CQ26" s="34">
        <f t="shared" si="24"/>
        <v>0</v>
      </c>
      <c r="CR26" s="34">
        <f t="shared" si="24"/>
        <v>0</v>
      </c>
      <c r="CS26" s="34">
        <f t="shared" si="24"/>
        <v>0</v>
      </c>
      <c r="CT26" s="34">
        <f t="shared" si="24"/>
        <v>0</v>
      </c>
      <c r="CU26" s="34">
        <f t="shared" si="24"/>
        <v>0</v>
      </c>
    </row>
    <row r="27" spans="1:99" x14ac:dyDescent="0.3">
      <c r="A27" s="7" t="s">
        <v>101</v>
      </c>
      <c r="B27" s="21">
        <f t="shared" si="15"/>
        <v>38950500</v>
      </c>
      <c r="C27" s="11"/>
      <c r="D27" s="34">
        <f t="shared" ref="D27:AI27" si="25">IF(T_Predev&gt;0,C_HardBase*in_cost_design_pct*0.6*D19/T_Predev+C_HardBase*in_cost_design_pct*0.4*D20/MAX(T_Con,1),C_HardBase*in_cost_design_pct*D20/MAX(T_Con,1))+IF(D$4=T_ConStart,C_HardBase*in_cost_permits_pct,0)+C_HardBase*(in_cost_pm_supervision_pct+in_cost_insurance_other_pct)*D20/MAX(T_Con,1)</f>
        <v>0</v>
      </c>
      <c r="E27" s="34">
        <f t="shared" si="25"/>
        <v>1168515</v>
      </c>
      <c r="F27" s="34">
        <f t="shared" si="25"/>
        <v>1168515</v>
      </c>
      <c r="G27" s="34">
        <f t="shared" si="25"/>
        <v>1168515</v>
      </c>
      <c r="H27" s="34">
        <f t="shared" si="25"/>
        <v>1168515</v>
      </c>
      <c r="I27" s="34">
        <f t="shared" si="25"/>
        <v>1168515</v>
      </c>
      <c r="J27" s="34">
        <f t="shared" si="25"/>
        <v>1168515</v>
      </c>
      <c r="K27" s="34">
        <f t="shared" si="25"/>
        <v>1168515</v>
      </c>
      <c r="L27" s="34">
        <f t="shared" si="25"/>
        <v>8958615</v>
      </c>
      <c r="M27" s="34">
        <f t="shared" si="25"/>
        <v>908845</v>
      </c>
      <c r="N27" s="34">
        <f t="shared" si="25"/>
        <v>908845</v>
      </c>
      <c r="O27" s="34">
        <f t="shared" si="25"/>
        <v>908845</v>
      </c>
      <c r="P27" s="34">
        <f t="shared" si="25"/>
        <v>908845</v>
      </c>
      <c r="Q27" s="34">
        <f t="shared" si="25"/>
        <v>908845</v>
      </c>
      <c r="R27" s="34">
        <f t="shared" si="25"/>
        <v>908845</v>
      </c>
      <c r="S27" s="34">
        <f t="shared" si="25"/>
        <v>908845</v>
      </c>
      <c r="T27" s="34">
        <f t="shared" si="25"/>
        <v>908845</v>
      </c>
      <c r="U27" s="34">
        <f t="shared" si="25"/>
        <v>908845</v>
      </c>
      <c r="V27" s="34">
        <f t="shared" si="25"/>
        <v>908845</v>
      </c>
      <c r="W27" s="34">
        <f t="shared" si="25"/>
        <v>908845</v>
      </c>
      <c r="X27" s="34">
        <f t="shared" si="25"/>
        <v>908845</v>
      </c>
      <c r="Y27" s="34">
        <f t="shared" si="25"/>
        <v>908845</v>
      </c>
      <c r="Z27" s="34">
        <f t="shared" si="25"/>
        <v>908845</v>
      </c>
      <c r="AA27" s="34">
        <f t="shared" si="25"/>
        <v>908845</v>
      </c>
      <c r="AB27" s="34">
        <f t="shared" si="25"/>
        <v>908845</v>
      </c>
      <c r="AC27" s="34">
        <f t="shared" si="25"/>
        <v>908845</v>
      </c>
      <c r="AD27" s="34">
        <f t="shared" si="25"/>
        <v>908845</v>
      </c>
      <c r="AE27" s="34">
        <f t="shared" si="25"/>
        <v>908845</v>
      </c>
      <c r="AF27" s="34">
        <f t="shared" si="25"/>
        <v>908845</v>
      </c>
      <c r="AG27" s="34">
        <f t="shared" si="25"/>
        <v>908845</v>
      </c>
      <c r="AH27" s="34">
        <f t="shared" si="25"/>
        <v>908845</v>
      </c>
      <c r="AI27" s="34">
        <f t="shared" si="25"/>
        <v>908845</v>
      </c>
      <c r="AJ27" s="34">
        <f t="shared" ref="AJ27:BO27" si="26">IF(T_Predev&gt;0,C_HardBase*in_cost_design_pct*0.6*AJ19/T_Predev+C_HardBase*in_cost_design_pct*0.4*AJ20/MAX(T_Con,1),C_HardBase*in_cost_design_pct*AJ20/MAX(T_Con,1))+IF(AJ$4=T_ConStart,C_HardBase*in_cost_permits_pct,0)+C_HardBase*(in_cost_pm_supervision_pct+in_cost_insurance_other_pct)*AJ20/MAX(T_Con,1)</f>
        <v>908845</v>
      </c>
      <c r="AK27" s="34">
        <f t="shared" si="26"/>
        <v>0</v>
      </c>
      <c r="AL27" s="34">
        <f t="shared" si="26"/>
        <v>0</v>
      </c>
      <c r="AM27" s="34">
        <f t="shared" si="26"/>
        <v>0</v>
      </c>
      <c r="AN27" s="34">
        <f t="shared" si="26"/>
        <v>0</v>
      </c>
      <c r="AO27" s="34">
        <f t="shared" si="26"/>
        <v>0</v>
      </c>
      <c r="AP27" s="34">
        <f t="shared" si="26"/>
        <v>0</v>
      </c>
      <c r="AQ27" s="34">
        <f t="shared" si="26"/>
        <v>0</v>
      </c>
      <c r="AR27" s="34">
        <f t="shared" si="26"/>
        <v>0</v>
      </c>
      <c r="AS27" s="34">
        <f t="shared" si="26"/>
        <v>0</v>
      </c>
      <c r="AT27" s="34">
        <f t="shared" si="26"/>
        <v>0</v>
      </c>
      <c r="AU27" s="34">
        <f t="shared" si="26"/>
        <v>0</v>
      </c>
      <c r="AV27" s="34">
        <f t="shared" si="26"/>
        <v>0</v>
      </c>
      <c r="AW27" s="34">
        <f t="shared" si="26"/>
        <v>0</v>
      </c>
      <c r="AX27" s="34">
        <f t="shared" si="26"/>
        <v>0</v>
      </c>
      <c r="AY27" s="34">
        <f t="shared" si="26"/>
        <v>0</v>
      </c>
      <c r="AZ27" s="34">
        <f t="shared" si="26"/>
        <v>0</v>
      </c>
      <c r="BA27" s="34">
        <f t="shared" si="26"/>
        <v>0</v>
      </c>
      <c r="BB27" s="34">
        <f t="shared" si="26"/>
        <v>0</v>
      </c>
      <c r="BC27" s="34">
        <f t="shared" si="26"/>
        <v>0</v>
      </c>
      <c r="BD27" s="34">
        <f t="shared" si="26"/>
        <v>0</v>
      </c>
      <c r="BE27" s="34">
        <f t="shared" si="26"/>
        <v>0</v>
      </c>
      <c r="BF27" s="34">
        <f t="shared" si="26"/>
        <v>0</v>
      </c>
      <c r="BG27" s="34">
        <f t="shared" si="26"/>
        <v>0</v>
      </c>
      <c r="BH27" s="34">
        <f t="shared" si="26"/>
        <v>0</v>
      </c>
      <c r="BI27" s="34">
        <f t="shared" si="26"/>
        <v>0</v>
      </c>
      <c r="BJ27" s="34">
        <f t="shared" si="26"/>
        <v>0</v>
      </c>
      <c r="BK27" s="34">
        <f t="shared" si="26"/>
        <v>0</v>
      </c>
      <c r="BL27" s="34">
        <f t="shared" si="26"/>
        <v>0</v>
      </c>
      <c r="BM27" s="34">
        <f t="shared" si="26"/>
        <v>0</v>
      </c>
      <c r="BN27" s="34">
        <f t="shared" si="26"/>
        <v>0</v>
      </c>
      <c r="BO27" s="34">
        <f t="shared" si="26"/>
        <v>0</v>
      </c>
      <c r="BP27" s="34">
        <f t="shared" ref="BP27:CU27" si="27">IF(T_Predev&gt;0,C_HardBase*in_cost_design_pct*0.6*BP19/T_Predev+C_HardBase*in_cost_design_pct*0.4*BP20/MAX(T_Con,1),C_HardBase*in_cost_design_pct*BP20/MAX(T_Con,1))+IF(BP$4=T_ConStart,C_HardBase*in_cost_permits_pct,0)+C_HardBase*(in_cost_pm_supervision_pct+in_cost_insurance_other_pct)*BP20/MAX(T_Con,1)</f>
        <v>0</v>
      </c>
      <c r="BQ27" s="34">
        <f t="shared" si="27"/>
        <v>0</v>
      </c>
      <c r="BR27" s="34">
        <f t="shared" si="27"/>
        <v>0</v>
      </c>
      <c r="BS27" s="34">
        <f t="shared" si="27"/>
        <v>0</v>
      </c>
      <c r="BT27" s="34">
        <f t="shared" si="27"/>
        <v>0</v>
      </c>
      <c r="BU27" s="34">
        <f t="shared" si="27"/>
        <v>0</v>
      </c>
      <c r="BV27" s="34">
        <f t="shared" si="27"/>
        <v>0</v>
      </c>
      <c r="BW27" s="34">
        <f t="shared" si="27"/>
        <v>0</v>
      </c>
      <c r="BX27" s="34">
        <f t="shared" si="27"/>
        <v>0</v>
      </c>
      <c r="BY27" s="34">
        <f t="shared" si="27"/>
        <v>0</v>
      </c>
      <c r="BZ27" s="34">
        <f t="shared" si="27"/>
        <v>0</v>
      </c>
      <c r="CA27" s="34">
        <f t="shared" si="27"/>
        <v>0</v>
      </c>
      <c r="CB27" s="34">
        <f t="shared" si="27"/>
        <v>0</v>
      </c>
      <c r="CC27" s="34">
        <f t="shared" si="27"/>
        <v>0</v>
      </c>
      <c r="CD27" s="34">
        <f t="shared" si="27"/>
        <v>0</v>
      </c>
      <c r="CE27" s="34">
        <f t="shared" si="27"/>
        <v>0</v>
      </c>
      <c r="CF27" s="34">
        <f t="shared" si="27"/>
        <v>0</v>
      </c>
      <c r="CG27" s="34">
        <f t="shared" si="27"/>
        <v>0</v>
      </c>
      <c r="CH27" s="34">
        <f t="shared" si="27"/>
        <v>0</v>
      </c>
      <c r="CI27" s="34">
        <f t="shared" si="27"/>
        <v>0</v>
      </c>
      <c r="CJ27" s="34">
        <f t="shared" si="27"/>
        <v>0</v>
      </c>
      <c r="CK27" s="34">
        <f t="shared" si="27"/>
        <v>0</v>
      </c>
      <c r="CL27" s="34">
        <f t="shared" si="27"/>
        <v>0</v>
      </c>
      <c r="CM27" s="34">
        <f t="shared" si="27"/>
        <v>0</v>
      </c>
      <c r="CN27" s="34">
        <f t="shared" si="27"/>
        <v>0</v>
      </c>
      <c r="CO27" s="34">
        <f t="shared" si="27"/>
        <v>0</v>
      </c>
      <c r="CP27" s="34">
        <f t="shared" si="27"/>
        <v>0</v>
      </c>
      <c r="CQ27" s="34">
        <f t="shared" si="27"/>
        <v>0</v>
      </c>
      <c r="CR27" s="34">
        <f t="shared" si="27"/>
        <v>0</v>
      </c>
      <c r="CS27" s="34">
        <f t="shared" si="27"/>
        <v>0</v>
      </c>
      <c r="CT27" s="34">
        <f t="shared" si="27"/>
        <v>0</v>
      </c>
      <c r="CU27" s="34">
        <f t="shared" si="27"/>
        <v>0</v>
      </c>
    </row>
    <row r="28" spans="1:99" x14ac:dyDescent="0.3">
      <c r="A28" s="7" t="s">
        <v>203</v>
      </c>
      <c r="B28" s="21">
        <f t="shared" si="15"/>
        <v>17527724.999999996</v>
      </c>
      <c r="C28" s="11"/>
      <c r="D28" s="34">
        <f t="shared" ref="D28:AI28" si="28">C_Contingency*D21</f>
        <v>0</v>
      </c>
      <c r="E28" s="34">
        <f t="shared" si="28"/>
        <v>0</v>
      </c>
      <c r="F28" s="34">
        <f t="shared" si="28"/>
        <v>0</v>
      </c>
      <c r="G28" s="34">
        <f t="shared" si="28"/>
        <v>0</v>
      </c>
      <c r="H28" s="34">
        <f t="shared" si="28"/>
        <v>0</v>
      </c>
      <c r="I28" s="34">
        <f t="shared" si="28"/>
        <v>0</v>
      </c>
      <c r="J28" s="34">
        <f t="shared" si="28"/>
        <v>0</v>
      </c>
      <c r="K28" s="34">
        <f t="shared" si="28"/>
        <v>0</v>
      </c>
      <c r="L28" s="34">
        <f t="shared" si="28"/>
        <v>0</v>
      </c>
      <c r="M28" s="34">
        <f t="shared" si="28"/>
        <v>74976.058588364715</v>
      </c>
      <c r="N28" s="34">
        <f t="shared" si="28"/>
        <v>223645.31461535534</v>
      </c>
      <c r="O28" s="34">
        <f t="shared" si="28"/>
        <v>368487.93730308325</v>
      </c>
      <c r="P28" s="34">
        <f t="shared" si="28"/>
        <v>507025.62921939621</v>
      </c>
      <c r="Q28" s="34">
        <f t="shared" si="28"/>
        <v>636887.97204570554</v>
      </c>
      <c r="R28" s="34">
        <f t="shared" si="28"/>
        <v>755852.98509160511</v>
      </c>
      <c r="S28" s="34">
        <f t="shared" si="28"/>
        <v>861885.14400055062</v>
      </c>
      <c r="T28" s="34">
        <f t="shared" si="28"/>
        <v>953170.2091359382</v>
      </c>
      <c r="U28" s="34">
        <f t="shared" si="28"/>
        <v>1028146.2677243039</v>
      </c>
      <c r="V28" s="34">
        <f t="shared" si="28"/>
        <v>1085530.458615907</v>
      </c>
      <c r="W28" s="34">
        <f t="shared" si="28"/>
        <v>1124340.9223946873</v>
      </c>
      <c r="X28" s="34">
        <f t="shared" si="28"/>
        <v>1143913.6012651024</v>
      </c>
      <c r="Y28" s="34">
        <f t="shared" si="28"/>
        <v>1143913.6012651024</v>
      </c>
      <c r="Z28" s="34">
        <f t="shared" si="28"/>
        <v>1124340.9223946873</v>
      </c>
      <c r="AA28" s="34">
        <f t="shared" si="28"/>
        <v>1085530.4586159051</v>
      </c>
      <c r="AB28" s="34">
        <f t="shared" si="28"/>
        <v>1028146.2677243039</v>
      </c>
      <c r="AC28" s="34">
        <f t="shared" si="28"/>
        <v>953170.20913594111</v>
      </c>
      <c r="AD28" s="34">
        <f t="shared" si="28"/>
        <v>861885.14400054968</v>
      </c>
      <c r="AE28" s="34">
        <f t="shared" si="28"/>
        <v>755852.98509160511</v>
      </c>
      <c r="AF28" s="34">
        <f t="shared" si="28"/>
        <v>636887.97204570647</v>
      </c>
      <c r="AG28" s="34">
        <f t="shared" si="28"/>
        <v>507025.62921939621</v>
      </c>
      <c r="AH28" s="34">
        <f t="shared" si="28"/>
        <v>368487.93730308232</v>
      </c>
      <c r="AI28" s="34">
        <f t="shared" si="28"/>
        <v>223645.31461535633</v>
      </c>
      <c r="AJ28" s="34">
        <f t="shared" ref="AJ28:BO28" si="29">C_Contingency*AJ21</f>
        <v>74976.058588364715</v>
      </c>
      <c r="AK28" s="34">
        <f t="shared" si="29"/>
        <v>0</v>
      </c>
      <c r="AL28" s="34">
        <f t="shared" si="29"/>
        <v>0</v>
      </c>
      <c r="AM28" s="34">
        <f t="shared" si="29"/>
        <v>0</v>
      </c>
      <c r="AN28" s="34">
        <f t="shared" si="29"/>
        <v>0</v>
      </c>
      <c r="AO28" s="34">
        <f t="shared" si="29"/>
        <v>0</v>
      </c>
      <c r="AP28" s="34">
        <f t="shared" si="29"/>
        <v>0</v>
      </c>
      <c r="AQ28" s="34">
        <f t="shared" si="29"/>
        <v>0</v>
      </c>
      <c r="AR28" s="34">
        <f t="shared" si="29"/>
        <v>0</v>
      </c>
      <c r="AS28" s="34">
        <f t="shared" si="29"/>
        <v>0</v>
      </c>
      <c r="AT28" s="34">
        <f t="shared" si="29"/>
        <v>0</v>
      </c>
      <c r="AU28" s="34">
        <f t="shared" si="29"/>
        <v>0</v>
      </c>
      <c r="AV28" s="34">
        <f t="shared" si="29"/>
        <v>0</v>
      </c>
      <c r="AW28" s="34">
        <f t="shared" si="29"/>
        <v>0</v>
      </c>
      <c r="AX28" s="34">
        <f t="shared" si="29"/>
        <v>0</v>
      </c>
      <c r="AY28" s="34">
        <f t="shared" si="29"/>
        <v>0</v>
      </c>
      <c r="AZ28" s="34">
        <f t="shared" si="29"/>
        <v>0</v>
      </c>
      <c r="BA28" s="34">
        <f t="shared" si="29"/>
        <v>0</v>
      </c>
      <c r="BB28" s="34">
        <f t="shared" si="29"/>
        <v>0</v>
      </c>
      <c r="BC28" s="34">
        <f t="shared" si="29"/>
        <v>0</v>
      </c>
      <c r="BD28" s="34">
        <f t="shared" si="29"/>
        <v>0</v>
      </c>
      <c r="BE28" s="34">
        <f t="shared" si="29"/>
        <v>0</v>
      </c>
      <c r="BF28" s="34">
        <f t="shared" si="29"/>
        <v>0</v>
      </c>
      <c r="BG28" s="34">
        <f t="shared" si="29"/>
        <v>0</v>
      </c>
      <c r="BH28" s="34">
        <f t="shared" si="29"/>
        <v>0</v>
      </c>
      <c r="BI28" s="34">
        <f t="shared" si="29"/>
        <v>0</v>
      </c>
      <c r="BJ28" s="34">
        <f t="shared" si="29"/>
        <v>0</v>
      </c>
      <c r="BK28" s="34">
        <f t="shared" si="29"/>
        <v>0</v>
      </c>
      <c r="BL28" s="34">
        <f t="shared" si="29"/>
        <v>0</v>
      </c>
      <c r="BM28" s="34">
        <f t="shared" si="29"/>
        <v>0</v>
      </c>
      <c r="BN28" s="34">
        <f t="shared" si="29"/>
        <v>0</v>
      </c>
      <c r="BO28" s="34">
        <f t="shared" si="29"/>
        <v>0</v>
      </c>
      <c r="BP28" s="34">
        <f t="shared" ref="BP28:CU28" si="30">C_Contingency*BP21</f>
        <v>0</v>
      </c>
      <c r="BQ28" s="34">
        <f t="shared" si="30"/>
        <v>0</v>
      </c>
      <c r="BR28" s="34">
        <f t="shared" si="30"/>
        <v>0</v>
      </c>
      <c r="BS28" s="34">
        <f t="shared" si="30"/>
        <v>0</v>
      </c>
      <c r="BT28" s="34">
        <f t="shared" si="30"/>
        <v>0</v>
      </c>
      <c r="BU28" s="34">
        <f t="shared" si="30"/>
        <v>0</v>
      </c>
      <c r="BV28" s="34">
        <f t="shared" si="30"/>
        <v>0</v>
      </c>
      <c r="BW28" s="34">
        <f t="shared" si="30"/>
        <v>0</v>
      </c>
      <c r="BX28" s="34">
        <f t="shared" si="30"/>
        <v>0</v>
      </c>
      <c r="BY28" s="34">
        <f t="shared" si="30"/>
        <v>0</v>
      </c>
      <c r="BZ28" s="34">
        <f t="shared" si="30"/>
        <v>0</v>
      </c>
      <c r="CA28" s="34">
        <f t="shared" si="30"/>
        <v>0</v>
      </c>
      <c r="CB28" s="34">
        <f t="shared" si="30"/>
        <v>0</v>
      </c>
      <c r="CC28" s="34">
        <f t="shared" si="30"/>
        <v>0</v>
      </c>
      <c r="CD28" s="34">
        <f t="shared" si="30"/>
        <v>0</v>
      </c>
      <c r="CE28" s="34">
        <f t="shared" si="30"/>
        <v>0</v>
      </c>
      <c r="CF28" s="34">
        <f t="shared" si="30"/>
        <v>0</v>
      </c>
      <c r="CG28" s="34">
        <f t="shared" si="30"/>
        <v>0</v>
      </c>
      <c r="CH28" s="34">
        <f t="shared" si="30"/>
        <v>0</v>
      </c>
      <c r="CI28" s="34">
        <f t="shared" si="30"/>
        <v>0</v>
      </c>
      <c r="CJ28" s="34">
        <f t="shared" si="30"/>
        <v>0</v>
      </c>
      <c r="CK28" s="34">
        <f t="shared" si="30"/>
        <v>0</v>
      </c>
      <c r="CL28" s="34">
        <f t="shared" si="30"/>
        <v>0</v>
      </c>
      <c r="CM28" s="34">
        <f t="shared" si="30"/>
        <v>0</v>
      </c>
      <c r="CN28" s="34">
        <f t="shared" si="30"/>
        <v>0</v>
      </c>
      <c r="CO28" s="34">
        <f t="shared" si="30"/>
        <v>0</v>
      </c>
      <c r="CP28" s="34">
        <f t="shared" si="30"/>
        <v>0</v>
      </c>
      <c r="CQ28" s="34">
        <f t="shared" si="30"/>
        <v>0</v>
      </c>
      <c r="CR28" s="34">
        <f t="shared" si="30"/>
        <v>0</v>
      </c>
      <c r="CS28" s="34">
        <f t="shared" si="30"/>
        <v>0</v>
      </c>
      <c r="CT28" s="34">
        <f t="shared" si="30"/>
        <v>0</v>
      </c>
      <c r="CU28" s="34">
        <f t="shared" si="30"/>
        <v>0</v>
      </c>
    </row>
    <row r="29" spans="1:99" x14ac:dyDescent="0.3">
      <c r="A29" s="7" t="s">
        <v>208</v>
      </c>
      <c r="B29" s="21">
        <f t="shared" si="15"/>
        <v>10516635</v>
      </c>
      <c r="C29" s="11"/>
      <c r="D29" s="34">
        <f t="shared" ref="D29:AI29" si="31">C_DevFee*D20/MAX(T_Con,1)</f>
        <v>0</v>
      </c>
      <c r="E29" s="34">
        <f t="shared" si="31"/>
        <v>0</v>
      </c>
      <c r="F29" s="34">
        <f t="shared" si="31"/>
        <v>0</v>
      </c>
      <c r="G29" s="34">
        <f t="shared" si="31"/>
        <v>0</v>
      </c>
      <c r="H29" s="34">
        <f t="shared" si="31"/>
        <v>0</v>
      </c>
      <c r="I29" s="34">
        <f t="shared" si="31"/>
        <v>0</v>
      </c>
      <c r="J29" s="34">
        <f t="shared" si="31"/>
        <v>0</v>
      </c>
      <c r="K29" s="34">
        <f t="shared" si="31"/>
        <v>0</v>
      </c>
      <c r="L29" s="34">
        <f t="shared" si="31"/>
        <v>0</v>
      </c>
      <c r="M29" s="34">
        <f t="shared" si="31"/>
        <v>438193.125</v>
      </c>
      <c r="N29" s="34">
        <f t="shared" si="31"/>
        <v>438193.125</v>
      </c>
      <c r="O29" s="34">
        <f t="shared" si="31"/>
        <v>438193.125</v>
      </c>
      <c r="P29" s="34">
        <f t="shared" si="31"/>
        <v>438193.125</v>
      </c>
      <c r="Q29" s="34">
        <f t="shared" si="31"/>
        <v>438193.125</v>
      </c>
      <c r="R29" s="34">
        <f t="shared" si="31"/>
        <v>438193.125</v>
      </c>
      <c r="S29" s="34">
        <f t="shared" si="31"/>
        <v>438193.125</v>
      </c>
      <c r="T29" s="34">
        <f t="shared" si="31"/>
        <v>438193.125</v>
      </c>
      <c r="U29" s="34">
        <f t="shared" si="31"/>
        <v>438193.125</v>
      </c>
      <c r="V29" s="34">
        <f t="shared" si="31"/>
        <v>438193.125</v>
      </c>
      <c r="W29" s="34">
        <f t="shared" si="31"/>
        <v>438193.125</v>
      </c>
      <c r="X29" s="34">
        <f t="shared" si="31"/>
        <v>438193.125</v>
      </c>
      <c r="Y29" s="34">
        <f t="shared" si="31"/>
        <v>438193.125</v>
      </c>
      <c r="Z29" s="34">
        <f t="shared" si="31"/>
        <v>438193.125</v>
      </c>
      <c r="AA29" s="34">
        <f t="shared" si="31"/>
        <v>438193.125</v>
      </c>
      <c r="AB29" s="34">
        <f t="shared" si="31"/>
        <v>438193.125</v>
      </c>
      <c r="AC29" s="34">
        <f t="shared" si="31"/>
        <v>438193.125</v>
      </c>
      <c r="AD29" s="34">
        <f t="shared" si="31"/>
        <v>438193.125</v>
      </c>
      <c r="AE29" s="34">
        <f t="shared" si="31"/>
        <v>438193.125</v>
      </c>
      <c r="AF29" s="34">
        <f t="shared" si="31"/>
        <v>438193.125</v>
      </c>
      <c r="AG29" s="34">
        <f t="shared" si="31"/>
        <v>438193.125</v>
      </c>
      <c r="AH29" s="34">
        <f t="shared" si="31"/>
        <v>438193.125</v>
      </c>
      <c r="AI29" s="34">
        <f t="shared" si="31"/>
        <v>438193.125</v>
      </c>
      <c r="AJ29" s="34">
        <f t="shared" ref="AJ29:BO29" si="32">C_DevFee*AJ20/MAX(T_Con,1)</f>
        <v>438193.125</v>
      </c>
      <c r="AK29" s="34">
        <f t="shared" si="32"/>
        <v>0</v>
      </c>
      <c r="AL29" s="34">
        <f t="shared" si="32"/>
        <v>0</v>
      </c>
      <c r="AM29" s="34">
        <f t="shared" si="32"/>
        <v>0</v>
      </c>
      <c r="AN29" s="34">
        <f t="shared" si="32"/>
        <v>0</v>
      </c>
      <c r="AO29" s="34">
        <f t="shared" si="32"/>
        <v>0</v>
      </c>
      <c r="AP29" s="34">
        <f t="shared" si="32"/>
        <v>0</v>
      </c>
      <c r="AQ29" s="34">
        <f t="shared" si="32"/>
        <v>0</v>
      </c>
      <c r="AR29" s="34">
        <f t="shared" si="32"/>
        <v>0</v>
      </c>
      <c r="AS29" s="34">
        <f t="shared" si="32"/>
        <v>0</v>
      </c>
      <c r="AT29" s="34">
        <f t="shared" si="32"/>
        <v>0</v>
      </c>
      <c r="AU29" s="34">
        <f t="shared" si="32"/>
        <v>0</v>
      </c>
      <c r="AV29" s="34">
        <f t="shared" si="32"/>
        <v>0</v>
      </c>
      <c r="AW29" s="34">
        <f t="shared" si="32"/>
        <v>0</v>
      </c>
      <c r="AX29" s="34">
        <f t="shared" si="32"/>
        <v>0</v>
      </c>
      <c r="AY29" s="34">
        <f t="shared" si="32"/>
        <v>0</v>
      </c>
      <c r="AZ29" s="34">
        <f t="shared" si="32"/>
        <v>0</v>
      </c>
      <c r="BA29" s="34">
        <f t="shared" si="32"/>
        <v>0</v>
      </c>
      <c r="BB29" s="34">
        <f t="shared" si="32"/>
        <v>0</v>
      </c>
      <c r="BC29" s="34">
        <f t="shared" si="32"/>
        <v>0</v>
      </c>
      <c r="BD29" s="34">
        <f t="shared" si="32"/>
        <v>0</v>
      </c>
      <c r="BE29" s="34">
        <f t="shared" si="32"/>
        <v>0</v>
      </c>
      <c r="BF29" s="34">
        <f t="shared" si="32"/>
        <v>0</v>
      </c>
      <c r="BG29" s="34">
        <f t="shared" si="32"/>
        <v>0</v>
      </c>
      <c r="BH29" s="34">
        <f t="shared" si="32"/>
        <v>0</v>
      </c>
      <c r="BI29" s="34">
        <f t="shared" si="32"/>
        <v>0</v>
      </c>
      <c r="BJ29" s="34">
        <f t="shared" si="32"/>
        <v>0</v>
      </c>
      <c r="BK29" s="34">
        <f t="shared" si="32"/>
        <v>0</v>
      </c>
      <c r="BL29" s="34">
        <f t="shared" si="32"/>
        <v>0</v>
      </c>
      <c r="BM29" s="34">
        <f t="shared" si="32"/>
        <v>0</v>
      </c>
      <c r="BN29" s="34">
        <f t="shared" si="32"/>
        <v>0</v>
      </c>
      <c r="BO29" s="34">
        <f t="shared" si="32"/>
        <v>0</v>
      </c>
      <c r="BP29" s="34">
        <f t="shared" ref="BP29:CU29" si="33">C_DevFee*BP20/MAX(T_Con,1)</f>
        <v>0</v>
      </c>
      <c r="BQ29" s="34">
        <f t="shared" si="33"/>
        <v>0</v>
      </c>
      <c r="BR29" s="34">
        <f t="shared" si="33"/>
        <v>0</v>
      </c>
      <c r="BS29" s="34">
        <f t="shared" si="33"/>
        <v>0</v>
      </c>
      <c r="BT29" s="34">
        <f t="shared" si="33"/>
        <v>0</v>
      </c>
      <c r="BU29" s="34">
        <f t="shared" si="33"/>
        <v>0</v>
      </c>
      <c r="BV29" s="34">
        <f t="shared" si="33"/>
        <v>0</v>
      </c>
      <c r="BW29" s="34">
        <f t="shared" si="33"/>
        <v>0</v>
      </c>
      <c r="BX29" s="34">
        <f t="shared" si="33"/>
        <v>0</v>
      </c>
      <c r="BY29" s="34">
        <f t="shared" si="33"/>
        <v>0</v>
      </c>
      <c r="BZ29" s="34">
        <f t="shared" si="33"/>
        <v>0</v>
      </c>
      <c r="CA29" s="34">
        <f t="shared" si="33"/>
        <v>0</v>
      </c>
      <c r="CB29" s="34">
        <f t="shared" si="33"/>
        <v>0</v>
      </c>
      <c r="CC29" s="34">
        <f t="shared" si="33"/>
        <v>0</v>
      </c>
      <c r="CD29" s="34">
        <f t="shared" si="33"/>
        <v>0</v>
      </c>
      <c r="CE29" s="34">
        <f t="shared" si="33"/>
        <v>0</v>
      </c>
      <c r="CF29" s="34">
        <f t="shared" si="33"/>
        <v>0</v>
      </c>
      <c r="CG29" s="34">
        <f t="shared" si="33"/>
        <v>0</v>
      </c>
      <c r="CH29" s="34">
        <f t="shared" si="33"/>
        <v>0</v>
      </c>
      <c r="CI29" s="34">
        <f t="shared" si="33"/>
        <v>0</v>
      </c>
      <c r="CJ29" s="34">
        <f t="shared" si="33"/>
        <v>0</v>
      </c>
      <c r="CK29" s="34">
        <f t="shared" si="33"/>
        <v>0</v>
      </c>
      <c r="CL29" s="34">
        <f t="shared" si="33"/>
        <v>0</v>
      </c>
      <c r="CM29" s="34">
        <f t="shared" si="33"/>
        <v>0</v>
      </c>
      <c r="CN29" s="34">
        <f t="shared" si="33"/>
        <v>0</v>
      </c>
      <c r="CO29" s="34">
        <f t="shared" si="33"/>
        <v>0</v>
      </c>
      <c r="CP29" s="34">
        <f t="shared" si="33"/>
        <v>0</v>
      </c>
      <c r="CQ29" s="34">
        <f t="shared" si="33"/>
        <v>0</v>
      </c>
      <c r="CR29" s="34">
        <f t="shared" si="33"/>
        <v>0</v>
      </c>
      <c r="CS29" s="34">
        <f t="shared" si="33"/>
        <v>0</v>
      </c>
      <c r="CT29" s="34">
        <f t="shared" si="33"/>
        <v>0</v>
      </c>
      <c r="CU29" s="34">
        <f t="shared" si="33"/>
        <v>0</v>
      </c>
    </row>
    <row r="30" spans="1:99" x14ac:dyDescent="0.3">
      <c r="A30" s="7" t="s">
        <v>343</v>
      </c>
      <c r="B30" s="21">
        <f t="shared" si="15"/>
        <v>0</v>
      </c>
      <c r="C30" s="11"/>
      <c r="D30" s="34">
        <f t="shared" ref="D30:AI30" si="34">C_CVSpread*D21+SUMPRODUCT((cv_effect="cost_fixed")*(cv_timing="anchor")*(cv_start=D$4)*cv_value)+SUMPRODUCT((cv_effect="cost_monthly")*(cv_start&lt;=D$4)*(cv_end&gt;D$4)*cv_value)</f>
        <v>0</v>
      </c>
      <c r="E30" s="34">
        <f t="shared" si="34"/>
        <v>0</v>
      </c>
      <c r="F30" s="34">
        <f t="shared" si="34"/>
        <v>0</v>
      </c>
      <c r="G30" s="34">
        <f t="shared" si="34"/>
        <v>0</v>
      </c>
      <c r="H30" s="34">
        <f t="shared" si="34"/>
        <v>0</v>
      </c>
      <c r="I30" s="34">
        <f t="shared" si="34"/>
        <v>0</v>
      </c>
      <c r="J30" s="34">
        <f t="shared" si="34"/>
        <v>0</v>
      </c>
      <c r="K30" s="34">
        <f t="shared" si="34"/>
        <v>0</v>
      </c>
      <c r="L30" s="34">
        <f t="shared" si="34"/>
        <v>0</v>
      </c>
      <c r="M30" s="34">
        <f t="shared" si="34"/>
        <v>0</v>
      </c>
      <c r="N30" s="34">
        <f t="shared" si="34"/>
        <v>0</v>
      </c>
      <c r="O30" s="34">
        <f t="shared" si="34"/>
        <v>0</v>
      </c>
      <c r="P30" s="34">
        <f t="shared" si="34"/>
        <v>0</v>
      </c>
      <c r="Q30" s="34">
        <f t="shared" si="34"/>
        <v>0</v>
      </c>
      <c r="R30" s="34">
        <f t="shared" si="34"/>
        <v>0</v>
      </c>
      <c r="S30" s="34">
        <f t="shared" si="34"/>
        <v>0</v>
      </c>
      <c r="T30" s="34">
        <f t="shared" si="34"/>
        <v>0</v>
      </c>
      <c r="U30" s="34">
        <f t="shared" si="34"/>
        <v>0</v>
      </c>
      <c r="V30" s="34">
        <f t="shared" si="34"/>
        <v>0</v>
      </c>
      <c r="W30" s="34">
        <f t="shared" si="34"/>
        <v>0</v>
      </c>
      <c r="X30" s="34">
        <f t="shared" si="34"/>
        <v>0</v>
      </c>
      <c r="Y30" s="34">
        <f t="shared" si="34"/>
        <v>0</v>
      </c>
      <c r="Z30" s="34">
        <f t="shared" si="34"/>
        <v>0</v>
      </c>
      <c r="AA30" s="34">
        <f t="shared" si="34"/>
        <v>0</v>
      </c>
      <c r="AB30" s="34">
        <f t="shared" si="34"/>
        <v>0</v>
      </c>
      <c r="AC30" s="34">
        <f t="shared" si="34"/>
        <v>0</v>
      </c>
      <c r="AD30" s="34">
        <f t="shared" si="34"/>
        <v>0</v>
      </c>
      <c r="AE30" s="34">
        <f t="shared" si="34"/>
        <v>0</v>
      </c>
      <c r="AF30" s="34">
        <f t="shared" si="34"/>
        <v>0</v>
      </c>
      <c r="AG30" s="34">
        <f t="shared" si="34"/>
        <v>0</v>
      </c>
      <c r="AH30" s="34">
        <f t="shared" si="34"/>
        <v>0</v>
      </c>
      <c r="AI30" s="34">
        <f t="shared" si="34"/>
        <v>0</v>
      </c>
      <c r="AJ30" s="34">
        <f t="shared" ref="AJ30:BO30" si="35">C_CVSpread*AJ21+SUMPRODUCT((cv_effect="cost_fixed")*(cv_timing="anchor")*(cv_start=AJ$4)*cv_value)+SUMPRODUCT((cv_effect="cost_monthly")*(cv_start&lt;=AJ$4)*(cv_end&gt;AJ$4)*cv_value)</f>
        <v>0</v>
      </c>
      <c r="AK30" s="34">
        <f t="shared" si="35"/>
        <v>0</v>
      </c>
      <c r="AL30" s="34">
        <f t="shared" si="35"/>
        <v>0</v>
      </c>
      <c r="AM30" s="34">
        <f t="shared" si="35"/>
        <v>0</v>
      </c>
      <c r="AN30" s="34">
        <f t="shared" si="35"/>
        <v>0</v>
      </c>
      <c r="AO30" s="34">
        <f t="shared" si="35"/>
        <v>0</v>
      </c>
      <c r="AP30" s="34">
        <f t="shared" si="35"/>
        <v>0</v>
      </c>
      <c r="AQ30" s="34">
        <f t="shared" si="35"/>
        <v>0</v>
      </c>
      <c r="AR30" s="34">
        <f t="shared" si="35"/>
        <v>0</v>
      </c>
      <c r="AS30" s="34">
        <f t="shared" si="35"/>
        <v>0</v>
      </c>
      <c r="AT30" s="34">
        <f t="shared" si="35"/>
        <v>0</v>
      </c>
      <c r="AU30" s="34">
        <f t="shared" si="35"/>
        <v>0</v>
      </c>
      <c r="AV30" s="34">
        <f t="shared" si="35"/>
        <v>0</v>
      </c>
      <c r="AW30" s="34">
        <f t="shared" si="35"/>
        <v>0</v>
      </c>
      <c r="AX30" s="34">
        <f t="shared" si="35"/>
        <v>0</v>
      </c>
      <c r="AY30" s="34">
        <f t="shared" si="35"/>
        <v>0</v>
      </c>
      <c r="AZ30" s="34">
        <f t="shared" si="35"/>
        <v>0</v>
      </c>
      <c r="BA30" s="34">
        <f t="shared" si="35"/>
        <v>0</v>
      </c>
      <c r="BB30" s="34">
        <f t="shared" si="35"/>
        <v>0</v>
      </c>
      <c r="BC30" s="34">
        <f t="shared" si="35"/>
        <v>0</v>
      </c>
      <c r="BD30" s="34">
        <f t="shared" si="35"/>
        <v>0</v>
      </c>
      <c r="BE30" s="34">
        <f t="shared" si="35"/>
        <v>0</v>
      </c>
      <c r="BF30" s="34">
        <f t="shared" si="35"/>
        <v>0</v>
      </c>
      <c r="BG30" s="34">
        <f t="shared" si="35"/>
        <v>0</v>
      </c>
      <c r="BH30" s="34">
        <f t="shared" si="35"/>
        <v>0</v>
      </c>
      <c r="BI30" s="34">
        <f t="shared" si="35"/>
        <v>0</v>
      </c>
      <c r="BJ30" s="34">
        <f t="shared" si="35"/>
        <v>0</v>
      </c>
      <c r="BK30" s="34">
        <f t="shared" si="35"/>
        <v>0</v>
      </c>
      <c r="BL30" s="34">
        <f t="shared" si="35"/>
        <v>0</v>
      </c>
      <c r="BM30" s="34">
        <f t="shared" si="35"/>
        <v>0</v>
      </c>
      <c r="BN30" s="34">
        <f t="shared" si="35"/>
        <v>0</v>
      </c>
      <c r="BO30" s="34">
        <f t="shared" si="35"/>
        <v>0</v>
      </c>
      <c r="BP30" s="34">
        <f t="shared" ref="BP30:CU30" si="36">C_CVSpread*BP21+SUMPRODUCT((cv_effect="cost_fixed")*(cv_timing="anchor")*(cv_start=BP$4)*cv_value)+SUMPRODUCT((cv_effect="cost_monthly")*(cv_start&lt;=BP$4)*(cv_end&gt;BP$4)*cv_value)</f>
        <v>0</v>
      </c>
      <c r="BQ30" s="34">
        <f t="shared" si="36"/>
        <v>0</v>
      </c>
      <c r="BR30" s="34">
        <f t="shared" si="36"/>
        <v>0</v>
      </c>
      <c r="BS30" s="34">
        <f t="shared" si="36"/>
        <v>0</v>
      </c>
      <c r="BT30" s="34">
        <f t="shared" si="36"/>
        <v>0</v>
      </c>
      <c r="BU30" s="34">
        <f t="shared" si="36"/>
        <v>0</v>
      </c>
      <c r="BV30" s="34">
        <f t="shared" si="36"/>
        <v>0</v>
      </c>
      <c r="BW30" s="34">
        <f t="shared" si="36"/>
        <v>0</v>
      </c>
      <c r="BX30" s="34">
        <f t="shared" si="36"/>
        <v>0</v>
      </c>
      <c r="BY30" s="34">
        <f t="shared" si="36"/>
        <v>0</v>
      </c>
      <c r="BZ30" s="34">
        <f t="shared" si="36"/>
        <v>0</v>
      </c>
      <c r="CA30" s="34">
        <f t="shared" si="36"/>
        <v>0</v>
      </c>
      <c r="CB30" s="34">
        <f t="shared" si="36"/>
        <v>0</v>
      </c>
      <c r="CC30" s="34">
        <f t="shared" si="36"/>
        <v>0</v>
      </c>
      <c r="CD30" s="34">
        <f t="shared" si="36"/>
        <v>0</v>
      </c>
      <c r="CE30" s="34">
        <f t="shared" si="36"/>
        <v>0</v>
      </c>
      <c r="CF30" s="34">
        <f t="shared" si="36"/>
        <v>0</v>
      </c>
      <c r="CG30" s="34">
        <f t="shared" si="36"/>
        <v>0</v>
      </c>
      <c r="CH30" s="34">
        <f t="shared" si="36"/>
        <v>0</v>
      </c>
      <c r="CI30" s="34">
        <f t="shared" si="36"/>
        <v>0</v>
      </c>
      <c r="CJ30" s="34">
        <f t="shared" si="36"/>
        <v>0</v>
      </c>
      <c r="CK30" s="34">
        <f t="shared" si="36"/>
        <v>0</v>
      </c>
      <c r="CL30" s="34">
        <f t="shared" si="36"/>
        <v>0</v>
      </c>
      <c r="CM30" s="34">
        <f t="shared" si="36"/>
        <v>0</v>
      </c>
      <c r="CN30" s="34">
        <f t="shared" si="36"/>
        <v>0</v>
      </c>
      <c r="CO30" s="34">
        <f t="shared" si="36"/>
        <v>0</v>
      </c>
      <c r="CP30" s="34">
        <f t="shared" si="36"/>
        <v>0</v>
      </c>
      <c r="CQ30" s="34">
        <f t="shared" si="36"/>
        <v>0</v>
      </c>
      <c r="CR30" s="34">
        <f t="shared" si="36"/>
        <v>0</v>
      </c>
      <c r="CS30" s="34">
        <f t="shared" si="36"/>
        <v>0</v>
      </c>
      <c r="CT30" s="34">
        <f t="shared" si="36"/>
        <v>0</v>
      </c>
      <c r="CU30" s="34">
        <f t="shared" si="36"/>
        <v>0</v>
      </c>
    </row>
    <row r="31" spans="1:99" x14ac:dyDescent="0.3">
      <c r="A31" s="7" t="s">
        <v>344</v>
      </c>
      <c r="B31" s="21">
        <f t="shared" si="15"/>
        <v>0</v>
      </c>
      <c r="C31" s="11"/>
      <c r="D31" s="34">
        <f t="shared" ref="D31:AI31" si="37">SUMPRODUCT((cf_type="cost")*(cf_month=D$4)*cf_amount)</f>
        <v>0</v>
      </c>
      <c r="E31" s="34">
        <f t="shared" si="37"/>
        <v>0</v>
      </c>
      <c r="F31" s="34">
        <f t="shared" si="37"/>
        <v>0</v>
      </c>
      <c r="G31" s="34">
        <f t="shared" si="37"/>
        <v>0</v>
      </c>
      <c r="H31" s="34">
        <f t="shared" si="37"/>
        <v>0</v>
      </c>
      <c r="I31" s="34">
        <f t="shared" si="37"/>
        <v>0</v>
      </c>
      <c r="J31" s="34">
        <f t="shared" si="37"/>
        <v>0</v>
      </c>
      <c r="K31" s="34">
        <f t="shared" si="37"/>
        <v>0</v>
      </c>
      <c r="L31" s="34">
        <f t="shared" si="37"/>
        <v>0</v>
      </c>
      <c r="M31" s="34">
        <f t="shared" si="37"/>
        <v>0</v>
      </c>
      <c r="N31" s="34">
        <f t="shared" si="37"/>
        <v>0</v>
      </c>
      <c r="O31" s="34">
        <f t="shared" si="37"/>
        <v>0</v>
      </c>
      <c r="P31" s="34">
        <f t="shared" si="37"/>
        <v>0</v>
      </c>
      <c r="Q31" s="34">
        <f t="shared" si="37"/>
        <v>0</v>
      </c>
      <c r="R31" s="34">
        <f t="shared" si="37"/>
        <v>0</v>
      </c>
      <c r="S31" s="34">
        <f t="shared" si="37"/>
        <v>0</v>
      </c>
      <c r="T31" s="34">
        <f t="shared" si="37"/>
        <v>0</v>
      </c>
      <c r="U31" s="34">
        <f t="shared" si="37"/>
        <v>0</v>
      </c>
      <c r="V31" s="34">
        <f t="shared" si="37"/>
        <v>0</v>
      </c>
      <c r="W31" s="34">
        <f t="shared" si="37"/>
        <v>0</v>
      </c>
      <c r="X31" s="34">
        <f t="shared" si="37"/>
        <v>0</v>
      </c>
      <c r="Y31" s="34">
        <f t="shared" si="37"/>
        <v>0</v>
      </c>
      <c r="Z31" s="34">
        <f t="shared" si="37"/>
        <v>0</v>
      </c>
      <c r="AA31" s="34">
        <f t="shared" si="37"/>
        <v>0</v>
      </c>
      <c r="AB31" s="34">
        <f t="shared" si="37"/>
        <v>0</v>
      </c>
      <c r="AC31" s="34">
        <f t="shared" si="37"/>
        <v>0</v>
      </c>
      <c r="AD31" s="34">
        <f t="shared" si="37"/>
        <v>0</v>
      </c>
      <c r="AE31" s="34">
        <f t="shared" si="37"/>
        <v>0</v>
      </c>
      <c r="AF31" s="34">
        <f t="shared" si="37"/>
        <v>0</v>
      </c>
      <c r="AG31" s="34">
        <f t="shared" si="37"/>
        <v>0</v>
      </c>
      <c r="AH31" s="34">
        <f t="shared" si="37"/>
        <v>0</v>
      </c>
      <c r="AI31" s="34">
        <f t="shared" si="37"/>
        <v>0</v>
      </c>
      <c r="AJ31" s="34">
        <f t="shared" ref="AJ31:BO31" si="38">SUMPRODUCT((cf_type="cost")*(cf_month=AJ$4)*cf_amount)</f>
        <v>0</v>
      </c>
      <c r="AK31" s="34">
        <f t="shared" si="38"/>
        <v>0</v>
      </c>
      <c r="AL31" s="34">
        <f t="shared" si="38"/>
        <v>0</v>
      </c>
      <c r="AM31" s="34">
        <f t="shared" si="38"/>
        <v>0</v>
      </c>
      <c r="AN31" s="34">
        <f t="shared" si="38"/>
        <v>0</v>
      </c>
      <c r="AO31" s="34">
        <f t="shared" si="38"/>
        <v>0</v>
      </c>
      <c r="AP31" s="34">
        <f t="shared" si="38"/>
        <v>0</v>
      </c>
      <c r="AQ31" s="34">
        <f t="shared" si="38"/>
        <v>0</v>
      </c>
      <c r="AR31" s="34">
        <f t="shared" si="38"/>
        <v>0</v>
      </c>
      <c r="AS31" s="34">
        <f t="shared" si="38"/>
        <v>0</v>
      </c>
      <c r="AT31" s="34">
        <f t="shared" si="38"/>
        <v>0</v>
      </c>
      <c r="AU31" s="34">
        <f t="shared" si="38"/>
        <v>0</v>
      </c>
      <c r="AV31" s="34">
        <f t="shared" si="38"/>
        <v>0</v>
      </c>
      <c r="AW31" s="34">
        <f t="shared" si="38"/>
        <v>0</v>
      </c>
      <c r="AX31" s="34">
        <f t="shared" si="38"/>
        <v>0</v>
      </c>
      <c r="AY31" s="34">
        <f t="shared" si="38"/>
        <v>0</v>
      </c>
      <c r="AZ31" s="34">
        <f t="shared" si="38"/>
        <v>0</v>
      </c>
      <c r="BA31" s="34">
        <f t="shared" si="38"/>
        <v>0</v>
      </c>
      <c r="BB31" s="34">
        <f t="shared" si="38"/>
        <v>0</v>
      </c>
      <c r="BC31" s="34">
        <f t="shared" si="38"/>
        <v>0</v>
      </c>
      <c r="BD31" s="34">
        <f t="shared" si="38"/>
        <v>0</v>
      </c>
      <c r="BE31" s="34">
        <f t="shared" si="38"/>
        <v>0</v>
      </c>
      <c r="BF31" s="34">
        <f t="shared" si="38"/>
        <v>0</v>
      </c>
      <c r="BG31" s="34">
        <f t="shared" si="38"/>
        <v>0</v>
      </c>
      <c r="BH31" s="34">
        <f t="shared" si="38"/>
        <v>0</v>
      </c>
      <c r="BI31" s="34">
        <f t="shared" si="38"/>
        <v>0</v>
      </c>
      <c r="BJ31" s="34">
        <f t="shared" si="38"/>
        <v>0</v>
      </c>
      <c r="BK31" s="34">
        <f t="shared" si="38"/>
        <v>0</v>
      </c>
      <c r="BL31" s="34">
        <f t="shared" si="38"/>
        <v>0</v>
      </c>
      <c r="BM31" s="34">
        <f t="shared" si="38"/>
        <v>0</v>
      </c>
      <c r="BN31" s="34">
        <f t="shared" si="38"/>
        <v>0</v>
      </c>
      <c r="BO31" s="34">
        <f t="shared" si="38"/>
        <v>0</v>
      </c>
      <c r="BP31" s="34">
        <f t="shared" ref="BP31:CU31" si="39">SUMPRODUCT((cf_type="cost")*(cf_month=BP$4)*cf_amount)</f>
        <v>0</v>
      </c>
      <c r="BQ31" s="34">
        <f t="shared" si="39"/>
        <v>0</v>
      </c>
      <c r="BR31" s="34">
        <f t="shared" si="39"/>
        <v>0</v>
      </c>
      <c r="BS31" s="34">
        <f t="shared" si="39"/>
        <v>0</v>
      </c>
      <c r="BT31" s="34">
        <f t="shared" si="39"/>
        <v>0</v>
      </c>
      <c r="BU31" s="34">
        <f t="shared" si="39"/>
        <v>0</v>
      </c>
      <c r="BV31" s="34">
        <f t="shared" si="39"/>
        <v>0</v>
      </c>
      <c r="BW31" s="34">
        <f t="shared" si="39"/>
        <v>0</v>
      </c>
      <c r="BX31" s="34">
        <f t="shared" si="39"/>
        <v>0</v>
      </c>
      <c r="BY31" s="34">
        <f t="shared" si="39"/>
        <v>0</v>
      </c>
      <c r="BZ31" s="34">
        <f t="shared" si="39"/>
        <v>0</v>
      </c>
      <c r="CA31" s="34">
        <f t="shared" si="39"/>
        <v>0</v>
      </c>
      <c r="CB31" s="34">
        <f t="shared" si="39"/>
        <v>0</v>
      </c>
      <c r="CC31" s="34">
        <f t="shared" si="39"/>
        <v>0</v>
      </c>
      <c r="CD31" s="34">
        <f t="shared" si="39"/>
        <v>0</v>
      </c>
      <c r="CE31" s="34">
        <f t="shared" si="39"/>
        <v>0</v>
      </c>
      <c r="CF31" s="34">
        <f t="shared" si="39"/>
        <v>0</v>
      </c>
      <c r="CG31" s="34">
        <f t="shared" si="39"/>
        <v>0</v>
      </c>
      <c r="CH31" s="34">
        <f t="shared" si="39"/>
        <v>0</v>
      </c>
      <c r="CI31" s="34">
        <f t="shared" si="39"/>
        <v>0</v>
      </c>
      <c r="CJ31" s="34">
        <f t="shared" si="39"/>
        <v>0</v>
      </c>
      <c r="CK31" s="34">
        <f t="shared" si="39"/>
        <v>0</v>
      </c>
      <c r="CL31" s="34">
        <f t="shared" si="39"/>
        <v>0</v>
      </c>
      <c r="CM31" s="34">
        <f t="shared" si="39"/>
        <v>0</v>
      </c>
      <c r="CN31" s="34">
        <f t="shared" si="39"/>
        <v>0</v>
      </c>
      <c r="CO31" s="34">
        <f t="shared" si="39"/>
        <v>0</v>
      </c>
      <c r="CP31" s="34">
        <f t="shared" si="39"/>
        <v>0</v>
      </c>
      <c r="CQ31" s="34">
        <f t="shared" si="39"/>
        <v>0</v>
      </c>
      <c r="CR31" s="34">
        <f t="shared" si="39"/>
        <v>0</v>
      </c>
      <c r="CS31" s="34">
        <f t="shared" si="39"/>
        <v>0</v>
      </c>
      <c r="CT31" s="34">
        <f t="shared" si="39"/>
        <v>0</v>
      </c>
      <c r="CU31" s="34">
        <f t="shared" si="39"/>
        <v>0</v>
      </c>
    </row>
    <row r="32" spans="1:99" x14ac:dyDescent="0.3">
      <c r="A32" s="38" t="s">
        <v>345</v>
      </c>
      <c r="B32" s="39">
        <f t="shared" si="15"/>
        <v>690069784.11769235</v>
      </c>
      <c r="C32" s="40"/>
      <c r="D32" s="39">
        <f t="shared" ref="D32:AI32" si="40">D24+D25+D26+D27+D28+D29+D30+D31</f>
        <v>285050000</v>
      </c>
      <c r="E32" s="39">
        <f t="shared" si="40"/>
        <v>1168515</v>
      </c>
      <c r="F32" s="39">
        <f t="shared" si="40"/>
        <v>1168515</v>
      </c>
      <c r="G32" s="39">
        <f t="shared" si="40"/>
        <v>1168515</v>
      </c>
      <c r="H32" s="39">
        <f t="shared" si="40"/>
        <v>1168515</v>
      </c>
      <c r="I32" s="39">
        <f t="shared" si="40"/>
        <v>1168515</v>
      </c>
      <c r="J32" s="39">
        <f t="shared" si="40"/>
        <v>1168515</v>
      </c>
      <c r="K32" s="39">
        <f t="shared" si="40"/>
        <v>1168515</v>
      </c>
      <c r="L32" s="39">
        <f t="shared" si="40"/>
        <v>8958615</v>
      </c>
      <c r="M32" s="39">
        <f t="shared" si="40"/>
        <v>11266885.396318972</v>
      </c>
      <c r="N32" s="39">
        <f t="shared" si="40"/>
        <v>5598629.7237212751</v>
      </c>
      <c r="O32" s="39">
        <f t="shared" si="40"/>
        <v>8379187.3915363485</v>
      </c>
      <c r="P32" s="39">
        <f t="shared" si="40"/>
        <v>11060368.116871232</v>
      </c>
      <c r="Q32" s="39">
        <f t="shared" si="40"/>
        <v>13595316.785394723</v>
      </c>
      <c r="R32" s="39">
        <f t="shared" si="40"/>
        <v>15939329.015342794</v>
      </c>
      <c r="S32" s="39">
        <f t="shared" si="40"/>
        <v>18050636.076880895</v>
      </c>
      <c r="T32" s="39">
        <f t="shared" si="40"/>
        <v>19891145.442698792</v>
      </c>
      <c r="U32" s="39">
        <f t="shared" si="40"/>
        <v>21427123.901688214</v>
      </c>
      <c r="V32" s="39">
        <f t="shared" si="40"/>
        <v>22629811.053109199</v>
      </c>
      <c r="W32" s="39">
        <f t="shared" si="40"/>
        <v>23475952.100366376</v>
      </c>
      <c r="X32" s="39">
        <f t="shared" si="40"/>
        <v>23948240.164133511</v>
      </c>
      <c r="Y32" s="39">
        <f t="shared" si="40"/>
        <v>24035659.813290831</v>
      </c>
      <c r="Z32" s="39">
        <f t="shared" si="40"/>
        <v>23733725.144954324</v>
      </c>
      <c r="AA32" s="39">
        <f t="shared" si="40"/>
        <v>23044607.504921697</v>
      </c>
      <c r="AB32" s="39">
        <f t="shared" si="40"/>
        <v>21977149.797896337</v>
      </c>
      <c r="AC32" s="39">
        <f t="shared" si="40"/>
        <v>20546766.261716682</v>
      </c>
      <c r="AD32" s="39">
        <f t="shared" si="40"/>
        <v>18775228.538967345</v>
      </c>
      <c r="AE32" s="39">
        <f t="shared" si="40"/>
        <v>16690340.839393651</v>
      </c>
      <c r="AF32" s="39">
        <f t="shared" si="40"/>
        <v>14325508.913815506</v>
      </c>
      <c r="AG32" s="39">
        <f t="shared" si="40"/>
        <v>11719209.421383554</v>
      </c>
      <c r="AH32" s="39">
        <f t="shared" si="40"/>
        <v>8914368.034547098</v>
      </c>
      <c r="AI32" s="39">
        <f t="shared" si="40"/>
        <v>5957656.2589692194</v>
      </c>
      <c r="AJ32" s="39">
        <f t="shared" ref="AJ32:BO32" si="41">AJ24+AJ25+AJ26+AJ27+AJ28+AJ29+AJ30+AJ31</f>
        <v>2898718.4197738017</v>
      </c>
      <c r="AK32" s="39">
        <f t="shared" si="41"/>
        <v>0</v>
      </c>
      <c r="AL32" s="39">
        <f t="shared" si="41"/>
        <v>0</v>
      </c>
      <c r="AM32" s="39">
        <f t="shared" si="41"/>
        <v>0</v>
      </c>
      <c r="AN32" s="39">
        <f t="shared" si="41"/>
        <v>0</v>
      </c>
      <c r="AO32" s="39">
        <f t="shared" si="41"/>
        <v>0</v>
      </c>
      <c r="AP32" s="39">
        <f t="shared" si="41"/>
        <v>0</v>
      </c>
      <c r="AQ32" s="39">
        <f t="shared" si="41"/>
        <v>0</v>
      </c>
      <c r="AR32" s="39">
        <f t="shared" si="41"/>
        <v>0</v>
      </c>
      <c r="AS32" s="39">
        <f t="shared" si="41"/>
        <v>0</v>
      </c>
      <c r="AT32" s="39">
        <f t="shared" si="41"/>
        <v>0</v>
      </c>
      <c r="AU32" s="39">
        <f t="shared" si="41"/>
        <v>0</v>
      </c>
      <c r="AV32" s="39">
        <f t="shared" si="41"/>
        <v>0</v>
      </c>
      <c r="AW32" s="39">
        <f t="shared" si="41"/>
        <v>0</v>
      </c>
      <c r="AX32" s="39">
        <f t="shared" si="41"/>
        <v>0</v>
      </c>
      <c r="AY32" s="39">
        <f t="shared" si="41"/>
        <v>0</v>
      </c>
      <c r="AZ32" s="39">
        <f t="shared" si="41"/>
        <v>0</v>
      </c>
      <c r="BA32" s="39">
        <f t="shared" si="41"/>
        <v>0</v>
      </c>
      <c r="BB32" s="39">
        <f t="shared" si="41"/>
        <v>0</v>
      </c>
      <c r="BC32" s="39">
        <f t="shared" si="41"/>
        <v>0</v>
      </c>
      <c r="BD32" s="39">
        <f t="shared" si="41"/>
        <v>0</v>
      </c>
      <c r="BE32" s="39">
        <f t="shared" si="41"/>
        <v>0</v>
      </c>
      <c r="BF32" s="39">
        <f t="shared" si="41"/>
        <v>0</v>
      </c>
      <c r="BG32" s="39">
        <f t="shared" si="41"/>
        <v>0</v>
      </c>
      <c r="BH32" s="39">
        <f t="shared" si="41"/>
        <v>0</v>
      </c>
      <c r="BI32" s="39">
        <f t="shared" si="41"/>
        <v>0</v>
      </c>
      <c r="BJ32" s="39">
        <f t="shared" si="41"/>
        <v>0</v>
      </c>
      <c r="BK32" s="39">
        <f t="shared" si="41"/>
        <v>0</v>
      </c>
      <c r="BL32" s="39">
        <f t="shared" si="41"/>
        <v>0</v>
      </c>
      <c r="BM32" s="39">
        <f t="shared" si="41"/>
        <v>0</v>
      </c>
      <c r="BN32" s="39">
        <f t="shared" si="41"/>
        <v>0</v>
      </c>
      <c r="BO32" s="39">
        <f t="shared" si="41"/>
        <v>0</v>
      </c>
      <c r="BP32" s="39">
        <f t="shared" ref="BP32:CU32" si="42">BP24+BP25+BP26+BP27+BP28+BP29+BP30+BP31</f>
        <v>0</v>
      </c>
      <c r="BQ32" s="39">
        <f t="shared" si="42"/>
        <v>0</v>
      </c>
      <c r="BR32" s="39">
        <f t="shared" si="42"/>
        <v>0</v>
      </c>
      <c r="BS32" s="39">
        <f t="shared" si="42"/>
        <v>0</v>
      </c>
      <c r="BT32" s="39">
        <f t="shared" si="42"/>
        <v>0</v>
      </c>
      <c r="BU32" s="39">
        <f t="shared" si="42"/>
        <v>0</v>
      </c>
      <c r="BV32" s="39">
        <f t="shared" si="42"/>
        <v>0</v>
      </c>
      <c r="BW32" s="39">
        <f t="shared" si="42"/>
        <v>0</v>
      </c>
      <c r="BX32" s="39">
        <f t="shared" si="42"/>
        <v>0</v>
      </c>
      <c r="BY32" s="39">
        <f t="shared" si="42"/>
        <v>0</v>
      </c>
      <c r="BZ32" s="39">
        <f t="shared" si="42"/>
        <v>0</v>
      </c>
      <c r="CA32" s="39">
        <f t="shared" si="42"/>
        <v>0</v>
      </c>
      <c r="CB32" s="39">
        <f t="shared" si="42"/>
        <v>0</v>
      </c>
      <c r="CC32" s="39">
        <f t="shared" si="42"/>
        <v>0</v>
      </c>
      <c r="CD32" s="39">
        <f t="shared" si="42"/>
        <v>0</v>
      </c>
      <c r="CE32" s="39">
        <f t="shared" si="42"/>
        <v>0</v>
      </c>
      <c r="CF32" s="39">
        <f t="shared" si="42"/>
        <v>0</v>
      </c>
      <c r="CG32" s="39">
        <f t="shared" si="42"/>
        <v>0</v>
      </c>
      <c r="CH32" s="39">
        <f t="shared" si="42"/>
        <v>0</v>
      </c>
      <c r="CI32" s="39">
        <f t="shared" si="42"/>
        <v>0</v>
      </c>
      <c r="CJ32" s="39">
        <f t="shared" si="42"/>
        <v>0</v>
      </c>
      <c r="CK32" s="39">
        <f t="shared" si="42"/>
        <v>0</v>
      </c>
      <c r="CL32" s="39">
        <f t="shared" si="42"/>
        <v>0</v>
      </c>
      <c r="CM32" s="39">
        <f t="shared" si="42"/>
        <v>0</v>
      </c>
      <c r="CN32" s="39">
        <f t="shared" si="42"/>
        <v>0</v>
      </c>
      <c r="CO32" s="39">
        <f t="shared" si="42"/>
        <v>0</v>
      </c>
      <c r="CP32" s="39">
        <f t="shared" si="42"/>
        <v>0</v>
      </c>
      <c r="CQ32" s="39">
        <f t="shared" si="42"/>
        <v>0</v>
      </c>
      <c r="CR32" s="39">
        <f t="shared" si="42"/>
        <v>0</v>
      </c>
      <c r="CS32" s="39">
        <f t="shared" si="42"/>
        <v>0</v>
      </c>
      <c r="CT32" s="39">
        <f t="shared" si="42"/>
        <v>0</v>
      </c>
      <c r="CU32" s="39">
        <f t="shared" si="42"/>
        <v>0</v>
      </c>
    </row>
    <row r="33" spans="1:99" x14ac:dyDescent="0.3">
      <c r="A33" s="7" t="s">
        <v>346</v>
      </c>
      <c r="B33" s="1"/>
      <c r="C33" s="11"/>
      <c r="D33" s="34">
        <f>D32</f>
        <v>285050000</v>
      </c>
      <c r="E33" s="34">
        <f t="shared" ref="E33:AJ33" si="43">E32+D33</f>
        <v>286218515</v>
      </c>
      <c r="F33" s="34">
        <f t="shared" si="43"/>
        <v>287387030</v>
      </c>
      <c r="G33" s="34">
        <f t="shared" si="43"/>
        <v>288555545</v>
      </c>
      <c r="H33" s="34">
        <f t="shared" si="43"/>
        <v>289724060</v>
      </c>
      <c r="I33" s="34">
        <f t="shared" si="43"/>
        <v>290892575</v>
      </c>
      <c r="J33" s="34">
        <f t="shared" si="43"/>
        <v>292061090</v>
      </c>
      <c r="K33" s="34">
        <f t="shared" si="43"/>
        <v>293229605</v>
      </c>
      <c r="L33" s="34">
        <f t="shared" si="43"/>
        <v>302188220</v>
      </c>
      <c r="M33" s="34">
        <f t="shared" si="43"/>
        <v>313455105.39631897</v>
      </c>
      <c r="N33" s="34">
        <f t="shared" si="43"/>
        <v>319053735.12004024</v>
      </c>
      <c r="O33" s="34">
        <f t="shared" si="43"/>
        <v>327432922.51157659</v>
      </c>
      <c r="P33" s="34">
        <f t="shared" si="43"/>
        <v>338493290.62844783</v>
      </c>
      <c r="Q33" s="34">
        <f t="shared" si="43"/>
        <v>352088607.41384256</v>
      </c>
      <c r="R33" s="34">
        <f t="shared" si="43"/>
        <v>368027936.42918533</v>
      </c>
      <c r="S33" s="34">
        <f t="shared" si="43"/>
        <v>386078572.5060662</v>
      </c>
      <c r="T33" s="34">
        <f t="shared" si="43"/>
        <v>405969717.94876498</v>
      </c>
      <c r="U33" s="34">
        <f t="shared" si="43"/>
        <v>427396841.8504532</v>
      </c>
      <c r="V33" s="34">
        <f t="shared" si="43"/>
        <v>450026652.90356243</v>
      </c>
      <c r="W33" s="34">
        <f t="shared" si="43"/>
        <v>473502605.00392878</v>
      </c>
      <c r="X33" s="34">
        <f t="shared" si="43"/>
        <v>497450845.16806227</v>
      </c>
      <c r="Y33" s="34">
        <f t="shared" si="43"/>
        <v>521486504.9813531</v>
      </c>
      <c r="Z33" s="34">
        <f t="shared" si="43"/>
        <v>545220230.12630749</v>
      </c>
      <c r="AA33" s="34">
        <f t="shared" si="43"/>
        <v>568264837.63122916</v>
      </c>
      <c r="AB33" s="34">
        <f t="shared" si="43"/>
        <v>590241987.42912555</v>
      </c>
      <c r="AC33" s="34">
        <f t="shared" si="43"/>
        <v>610788753.69084227</v>
      </c>
      <c r="AD33" s="34">
        <f t="shared" si="43"/>
        <v>629563982.22980964</v>
      </c>
      <c r="AE33" s="34">
        <f t="shared" si="43"/>
        <v>646254323.06920326</v>
      </c>
      <c r="AF33" s="34">
        <f t="shared" si="43"/>
        <v>660579831.98301876</v>
      </c>
      <c r="AG33" s="34">
        <f t="shared" si="43"/>
        <v>672299041.40440226</v>
      </c>
      <c r="AH33" s="34">
        <f t="shared" si="43"/>
        <v>681213409.43894935</v>
      </c>
      <c r="AI33" s="34">
        <f t="shared" si="43"/>
        <v>687171065.69791853</v>
      </c>
      <c r="AJ33" s="34">
        <f t="shared" si="43"/>
        <v>690069784.11769235</v>
      </c>
      <c r="AK33" s="34">
        <f t="shared" ref="AK33:BP33" si="44">AK32+AJ33</f>
        <v>690069784.11769235</v>
      </c>
      <c r="AL33" s="34">
        <f t="shared" si="44"/>
        <v>690069784.11769235</v>
      </c>
      <c r="AM33" s="34">
        <f t="shared" si="44"/>
        <v>690069784.11769235</v>
      </c>
      <c r="AN33" s="34">
        <f t="shared" si="44"/>
        <v>690069784.11769235</v>
      </c>
      <c r="AO33" s="34">
        <f t="shared" si="44"/>
        <v>690069784.11769235</v>
      </c>
      <c r="AP33" s="34">
        <f t="shared" si="44"/>
        <v>690069784.11769235</v>
      </c>
      <c r="AQ33" s="34">
        <f t="shared" si="44"/>
        <v>690069784.11769235</v>
      </c>
      <c r="AR33" s="34">
        <f t="shared" si="44"/>
        <v>690069784.11769235</v>
      </c>
      <c r="AS33" s="34">
        <f t="shared" si="44"/>
        <v>690069784.11769235</v>
      </c>
      <c r="AT33" s="34">
        <f t="shared" si="44"/>
        <v>690069784.11769235</v>
      </c>
      <c r="AU33" s="34">
        <f t="shared" si="44"/>
        <v>690069784.11769235</v>
      </c>
      <c r="AV33" s="34">
        <f t="shared" si="44"/>
        <v>690069784.11769235</v>
      </c>
      <c r="AW33" s="34">
        <f t="shared" si="44"/>
        <v>690069784.11769235</v>
      </c>
      <c r="AX33" s="34">
        <f t="shared" si="44"/>
        <v>690069784.11769235</v>
      </c>
      <c r="AY33" s="34">
        <f t="shared" si="44"/>
        <v>690069784.11769235</v>
      </c>
      <c r="AZ33" s="34">
        <f t="shared" si="44"/>
        <v>690069784.11769235</v>
      </c>
      <c r="BA33" s="34">
        <f t="shared" si="44"/>
        <v>690069784.11769235</v>
      </c>
      <c r="BB33" s="34">
        <f t="shared" si="44"/>
        <v>690069784.11769235</v>
      </c>
      <c r="BC33" s="34">
        <f t="shared" si="44"/>
        <v>690069784.11769235</v>
      </c>
      <c r="BD33" s="34">
        <f t="shared" si="44"/>
        <v>690069784.11769235</v>
      </c>
      <c r="BE33" s="34">
        <f t="shared" si="44"/>
        <v>690069784.11769235</v>
      </c>
      <c r="BF33" s="34">
        <f t="shared" si="44"/>
        <v>690069784.11769235</v>
      </c>
      <c r="BG33" s="34">
        <f t="shared" si="44"/>
        <v>690069784.11769235</v>
      </c>
      <c r="BH33" s="34">
        <f t="shared" si="44"/>
        <v>690069784.11769235</v>
      </c>
      <c r="BI33" s="34">
        <f t="shared" si="44"/>
        <v>690069784.11769235</v>
      </c>
      <c r="BJ33" s="34">
        <f t="shared" si="44"/>
        <v>690069784.11769235</v>
      </c>
      <c r="BK33" s="34">
        <f t="shared" si="44"/>
        <v>690069784.11769235</v>
      </c>
      <c r="BL33" s="34">
        <f t="shared" si="44"/>
        <v>690069784.11769235</v>
      </c>
      <c r="BM33" s="34">
        <f t="shared" si="44"/>
        <v>690069784.11769235</v>
      </c>
      <c r="BN33" s="34">
        <f t="shared" si="44"/>
        <v>690069784.11769235</v>
      </c>
      <c r="BO33" s="34">
        <f t="shared" si="44"/>
        <v>690069784.11769235</v>
      </c>
      <c r="BP33" s="34">
        <f t="shared" si="44"/>
        <v>690069784.11769235</v>
      </c>
      <c r="BQ33" s="34">
        <f t="shared" ref="BQ33:CV33" si="45">BQ32+BP33</f>
        <v>690069784.11769235</v>
      </c>
      <c r="BR33" s="34">
        <f t="shared" si="45"/>
        <v>690069784.11769235</v>
      </c>
      <c r="BS33" s="34">
        <f t="shared" si="45"/>
        <v>690069784.11769235</v>
      </c>
      <c r="BT33" s="34">
        <f t="shared" si="45"/>
        <v>690069784.11769235</v>
      </c>
      <c r="BU33" s="34">
        <f t="shared" si="45"/>
        <v>690069784.11769235</v>
      </c>
      <c r="BV33" s="34">
        <f t="shared" si="45"/>
        <v>690069784.11769235</v>
      </c>
      <c r="BW33" s="34">
        <f t="shared" si="45"/>
        <v>690069784.11769235</v>
      </c>
      <c r="BX33" s="34">
        <f t="shared" si="45"/>
        <v>690069784.11769235</v>
      </c>
      <c r="BY33" s="34">
        <f t="shared" si="45"/>
        <v>690069784.11769235</v>
      </c>
      <c r="BZ33" s="34">
        <f t="shared" si="45"/>
        <v>690069784.11769235</v>
      </c>
      <c r="CA33" s="34">
        <f t="shared" si="45"/>
        <v>690069784.11769235</v>
      </c>
      <c r="CB33" s="34">
        <f t="shared" si="45"/>
        <v>690069784.11769235</v>
      </c>
      <c r="CC33" s="34">
        <f t="shared" si="45"/>
        <v>690069784.11769235</v>
      </c>
      <c r="CD33" s="34">
        <f t="shared" si="45"/>
        <v>690069784.11769235</v>
      </c>
      <c r="CE33" s="34">
        <f t="shared" si="45"/>
        <v>690069784.11769235</v>
      </c>
      <c r="CF33" s="34">
        <f t="shared" si="45"/>
        <v>690069784.11769235</v>
      </c>
      <c r="CG33" s="34">
        <f t="shared" si="45"/>
        <v>690069784.11769235</v>
      </c>
      <c r="CH33" s="34">
        <f t="shared" si="45"/>
        <v>690069784.11769235</v>
      </c>
      <c r="CI33" s="34">
        <f t="shared" si="45"/>
        <v>690069784.11769235</v>
      </c>
      <c r="CJ33" s="34">
        <f t="shared" si="45"/>
        <v>690069784.11769235</v>
      </c>
      <c r="CK33" s="34">
        <f t="shared" si="45"/>
        <v>690069784.11769235</v>
      </c>
      <c r="CL33" s="34">
        <f t="shared" si="45"/>
        <v>690069784.11769235</v>
      </c>
      <c r="CM33" s="34">
        <f t="shared" si="45"/>
        <v>690069784.11769235</v>
      </c>
      <c r="CN33" s="34">
        <f t="shared" si="45"/>
        <v>690069784.11769235</v>
      </c>
      <c r="CO33" s="34">
        <f t="shared" si="45"/>
        <v>690069784.11769235</v>
      </c>
      <c r="CP33" s="34">
        <f t="shared" si="45"/>
        <v>690069784.11769235</v>
      </c>
      <c r="CQ33" s="34">
        <f t="shared" si="45"/>
        <v>690069784.11769235</v>
      </c>
      <c r="CR33" s="34">
        <f t="shared" si="45"/>
        <v>690069784.11769235</v>
      </c>
      <c r="CS33" s="34">
        <f t="shared" si="45"/>
        <v>690069784.11769235</v>
      </c>
      <c r="CT33" s="34">
        <f t="shared" si="45"/>
        <v>690069784.11769235</v>
      </c>
      <c r="CU33" s="34">
        <f t="shared" si="45"/>
        <v>690069784.11769235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7345E"/>
  </sheetPr>
  <dimension ref="A1:CU30"/>
  <sheetViews>
    <sheetView showGridLines="0" workbookViewId="0">
      <pane xSplit="3" ySplit="4" topLeftCell="D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46" customWidth="1"/>
    <col min="2" max="2" width="16" customWidth="1"/>
    <col min="3" max="3" width="22" customWidth="1"/>
    <col min="4" max="99" width="11" customWidth="1"/>
  </cols>
  <sheetData>
    <row r="1" spans="1:99" ht="21" x14ac:dyDescent="0.4">
      <c r="A1" s="10" t="s">
        <v>347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</row>
    <row r="2" spans="1:99" x14ac:dyDescent="0.3">
      <c r="A2" s="11" t="s">
        <v>348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</row>
    <row r="3" spans="1:99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</row>
    <row r="4" spans="1:99" x14ac:dyDescent="0.3">
      <c r="A4" s="12" t="s">
        <v>285</v>
      </c>
      <c r="B4" s="12" t="s">
        <v>309</v>
      </c>
      <c r="C4" s="12" t="s">
        <v>324</v>
      </c>
      <c r="D4" s="24">
        <v>0</v>
      </c>
      <c r="E4" s="24">
        <f t="shared" ref="E4:AJ4" si="0">D4+1</f>
        <v>1</v>
      </c>
      <c r="F4" s="24">
        <f t="shared" si="0"/>
        <v>2</v>
      </c>
      <c r="G4" s="24">
        <f t="shared" si="0"/>
        <v>3</v>
      </c>
      <c r="H4" s="24">
        <f t="shared" si="0"/>
        <v>4</v>
      </c>
      <c r="I4" s="24">
        <f t="shared" si="0"/>
        <v>5</v>
      </c>
      <c r="J4" s="24">
        <f t="shared" si="0"/>
        <v>6</v>
      </c>
      <c r="K4" s="24">
        <f t="shared" si="0"/>
        <v>7</v>
      </c>
      <c r="L4" s="24">
        <f t="shared" si="0"/>
        <v>8</v>
      </c>
      <c r="M4" s="24">
        <f t="shared" si="0"/>
        <v>9</v>
      </c>
      <c r="N4" s="24">
        <f t="shared" si="0"/>
        <v>10</v>
      </c>
      <c r="O4" s="24">
        <f t="shared" si="0"/>
        <v>11</v>
      </c>
      <c r="P4" s="24">
        <f t="shared" si="0"/>
        <v>12</v>
      </c>
      <c r="Q4" s="24">
        <f t="shared" si="0"/>
        <v>13</v>
      </c>
      <c r="R4" s="24">
        <f t="shared" si="0"/>
        <v>14</v>
      </c>
      <c r="S4" s="24">
        <f t="shared" si="0"/>
        <v>15</v>
      </c>
      <c r="T4" s="24">
        <f t="shared" si="0"/>
        <v>16</v>
      </c>
      <c r="U4" s="24">
        <f t="shared" si="0"/>
        <v>17</v>
      </c>
      <c r="V4" s="24">
        <f t="shared" si="0"/>
        <v>18</v>
      </c>
      <c r="W4" s="24">
        <f t="shared" si="0"/>
        <v>19</v>
      </c>
      <c r="X4" s="24">
        <f t="shared" si="0"/>
        <v>20</v>
      </c>
      <c r="Y4" s="24">
        <f t="shared" si="0"/>
        <v>21</v>
      </c>
      <c r="Z4" s="24">
        <f t="shared" si="0"/>
        <v>22</v>
      </c>
      <c r="AA4" s="24">
        <f t="shared" si="0"/>
        <v>23</v>
      </c>
      <c r="AB4" s="24">
        <f t="shared" si="0"/>
        <v>24</v>
      </c>
      <c r="AC4" s="24">
        <f t="shared" si="0"/>
        <v>25</v>
      </c>
      <c r="AD4" s="24">
        <f t="shared" si="0"/>
        <v>26</v>
      </c>
      <c r="AE4" s="24">
        <f t="shared" si="0"/>
        <v>27</v>
      </c>
      <c r="AF4" s="24">
        <f t="shared" si="0"/>
        <v>28</v>
      </c>
      <c r="AG4" s="24">
        <f t="shared" si="0"/>
        <v>29</v>
      </c>
      <c r="AH4" s="24">
        <f t="shared" si="0"/>
        <v>30</v>
      </c>
      <c r="AI4" s="24">
        <f t="shared" si="0"/>
        <v>31</v>
      </c>
      <c r="AJ4" s="24">
        <f t="shared" si="0"/>
        <v>32</v>
      </c>
      <c r="AK4" s="24">
        <f t="shared" ref="AK4:BP4" si="1">AJ4+1</f>
        <v>33</v>
      </c>
      <c r="AL4" s="24">
        <f t="shared" si="1"/>
        <v>34</v>
      </c>
      <c r="AM4" s="24">
        <f t="shared" si="1"/>
        <v>35</v>
      </c>
      <c r="AN4" s="24">
        <f t="shared" si="1"/>
        <v>36</v>
      </c>
      <c r="AO4" s="24">
        <f t="shared" si="1"/>
        <v>37</v>
      </c>
      <c r="AP4" s="24">
        <f t="shared" si="1"/>
        <v>38</v>
      </c>
      <c r="AQ4" s="24">
        <f t="shared" si="1"/>
        <v>39</v>
      </c>
      <c r="AR4" s="24">
        <f t="shared" si="1"/>
        <v>40</v>
      </c>
      <c r="AS4" s="24">
        <f t="shared" si="1"/>
        <v>41</v>
      </c>
      <c r="AT4" s="24">
        <f t="shared" si="1"/>
        <v>42</v>
      </c>
      <c r="AU4" s="24">
        <f t="shared" si="1"/>
        <v>43</v>
      </c>
      <c r="AV4" s="24">
        <f t="shared" si="1"/>
        <v>44</v>
      </c>
      <c r="AW4" s="24">
        <f t="shared" si="1"/>
        <v>45</v>
      </c>
      <c r="AX4" s="24">
        <f t="shared" si="1"/>
        <v>46</v>
      </c>
      <c r="AY4" s="24">
        <f t="shared" si="1"/>
        <v>47</v>
      </c>
      <c r="AZ4" s="24">
        <f t="shared" si="1"/>
        <v>48</v>
      </c>
      <c r="BA4" s="24">
        <f t="shared" si="1"/>
        <v>49</v>
      </c>
      <c r="BB4" s="24">
        <f t="shared" si="1"/>
        <v>50</v>
      </c>
      <c r="BC4" s="24">
        <f t="shared" si="1"/>
        <v>51</v>
      </c>
      <c r="BD4" s="24">
        <f t="shared" si="1"/>
        <v>52</v>
      </c>
      <c r="BE4" s="24">
        <f t="shared" si="1"/>
        <v>53</v>
      </c>
      <c r="BF4" s="24">
        <f t="shared" si="1"/>
        <v>54</v>
      </c>
      <c r="BG4" s="24">
        <f t="shared" si="1"/>
        <v>55</v>
      </c>
      <c r="BH4" s="24">
        <f t="shared" si="1"/>
        <v>56</v>
      </c>
      <c r="BI4" s="24">
        <f t="shared" si="1"/>
        <v>57</v>
      </c>
      <c r="BJ4" s="24">
        <f t="shared" si="1"/>
        <v>58</v>
      </c>
      <c r="BK4" s="24">
        <f t="shared" si="1"/>
        <v>59</v>
      </c>
      <c r="BL4" s="24">
        <f t="shared" si="1"/>
        <v>60</v>
      </c>
      <c r="BM4" s="24">
        <f t="shared" si="1"/>
        <v>61</v>
      </c>
      <c r="BN4" s="24">
        <f t="shared" si="1"/>
        <v>62</v>
      </c>
      <c r="BO4" s="24">
        <f t="shared" si="1"/>
        <v>63</v>
      </c>
      <c r="BP4" s="24">
        <f t="shared" si="1"/>
        <v>64</v>
      </c>
      <c r="BQ4" s="24">
        <f t="shared" ref="BQ4:CU4" si="2">BP4+1</f>
        <v>65</v>
      </c>
      <c r="BR4" s="24">
        <f t="shared" si="2"/>
        <v>66</v>
      </c>
      <c r="BS4" s="24">
        <f t="shared" si="2"/>
        <v>67</v>
      </c>
      <c r="BT4" s="24">
        <f t="shared" si="2"/>
        <v>68</v>
      </c>
      <c r="BU4" s="24">
        <f t="shared" si="2"/>
        <v>69</v>
      </c>
      <c r="BV4" s="24">
        <f t="shared" si="2"/>
        <v>70</v>
      </c>
      <c r="BW4" s="24">
        <f t="shared" si="2"/>
        <v>71</v>
      </c>
      <c r="BX4" s="24">
        <f t="shared" si="2"/>
        <v>72</v>
      </c>
      <c r="BY4" s="24">
        <f t="shared" si="2"/>
        <v>73</v>
      </c>
      <c r="BZ4" s="24">
        <f t="shared" si="2"/>
        <v>74</v>
      </c>
      <c r="CA4" s="24">
        <f t="shared" si="2"/>
        <v>75</v>
      </c>
      <c r="CB4" s="24">
        <f t="shared" si="2"/>
        <v>76</v>
      </c>
      <c r="CC4" s="24">
        <f t="shared" si="2"/>
        <v>77</v>
      </c>
      <c r="CD4" s="24">
        <f t="shared" si="2"/>
        <v>78</v>
      </c>
      <c r="CE4" s="24">
        <f t="shared" si="2"/>
        <v>79</v>
      </c>
      <c r="CF4" s="24">
        <f t="shared" si="2"/>
        <v>80</v>
      </c>
      <c r="CG4" s="24">
        <f t="shared" si="2"/>
        <v>81</v>
      </c>
      <c r="CH4" s="24">
        <f t="shared" si="2"/>
        <v>82</v>
      </c>
      <c r="CI4" s="24">
        <f t="shared" si="2"/>
        <v>83</v>
      </c>
      <c r="CJ4" s="24">
        <f t="shared" si="2"/>
        <v>84</v>
      </c>
      <c r="CK4" s="24">
        <f t="shared" si="2"/>
        <v>85</v>
      </c>
      <c r="CL4" s="24">
        <f t="shared" si="2"/>
        <v>86</v>
      </c>
      <c r="CM4" s="24">
        <f t="shared" si="2"/>
        <v>87</v>
      </c>
      <c r="CN4" s="24">
        <f t="shared" si="2"/>
        <v>88</v>
      </c>
      <c r="CO4" s="24">
        <f t="shared" si="2"/>
        <v>89</v>
      </c>
      <c r="CP4" s="24">
        <f t="shared" si="2"/>
        <v>90</v>
      </c>
      <c r="CQ4" s="24">
        <f t="shared" si="2"/>
        <v>91</v>
      </c>
      <c r="CR4" s="24">
        <f t="shared" si="2"/>
        <v>92</v>
      </c>
      <c r="CS4" s="24">
        <f t="shared" si="2"/>
        <v>93</v>
      </c>
      <c r="CT4" s="24">
        <f t="shared" si="2"/>
        <v>94</v>
      </c>
      <c r="CU4" s="24">
        <f t="shared" si="2"/>
        <v>95</v>
      </c>
    </row>
    <row r="5" spans="1:99" x14ac:dyDescent="0.3">
      <c r="A5" s="7" t="s">
        <v>349</v>
      </c>
      <c r="B5" s="34">
        <f>MAX(1,T_ConStart+in_rev_sales_start_offset)</f>
        <v>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</row>
    <row r="6" spans="1:99" x14ac:dyDescent="0.3">
      <c r="A6" s="7" t="s">
        <v>350</v>
      </c>
      <c r="B6" s="34">
        <f>MAX(1,MIN(Sales_BaseStart,IF(COUNT(sp_start)&gt;0,MIN(sp_start),Sales_BaseStart)))</f>
        <v>5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</row>
    <row r="7" spans="1:99" x14ac:dyDescent="0.3">
      <c r="A7" s="7" t="s">
        <v>351</v>
      </c>
      <c r="B7" s="34">
        <f>IF(in_mode_sale=1,D_Units,0)</f>
        <v>75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</row>
    <row r="8" spans="1:99" x14ac:dyDescent="0.3">
      <c r="A8" s="7" t="s">
        <v>352</v>
      </c>
      <c r="B8" s="34">
        <f>SUMPRODUCT(MAX(($D$13:$CU$13&gt;0.000000001)*$D$4:$CU$4))</f>
        <v>31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</row>
    <row r="9" spans="1:99" x14ac:dyDescent="0.3">
      <c r="A9" s="7" t="s">
        <v>353</v>
      </c>
      <c r="B9" s="34">
        <f>SUM($D$17:$CU$17)</f>
        <v>1036481351.8134278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</row>
    <row r="10" spans="1:99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</row>
    <row r="11" spans="1:99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</row>
    <row r="12" spans="1:99" x14ac:dyDescent="0.3">
      <c r="A12" s="7" t="s">
        <v>354</v>
      </c>
      <c r="B12" s="1"/>
      <c r="C12" s="11"/>
      <c r="D12" s="41">
        <f t="shared" ref="D12:AI12" si="3">IF(D$4&lt;Sales_Start,0,IF(SUMPRODUCT((sp_start&lt;=D$4)*(sp_end&gt;D$4)*1)&gt;0,SUMPRODUCT((sp_start&lt;=D$4)*(sp_end&gt;D$4)*sp_rate)/SUMPRODUCT((sp_start&lt;=D$4)*(sp_end&gt;D$4)*1),in_rev_absorption_per_month))</f>
        <v>0</v>
      </c>
      <c r="E12" s="41">
        <f t="shared" si="3"/>
        <v>0</v>
      </c>
      <c r="F12" s="41">
        <f t="shared" si="3"/>
        <v>0</v>
      </c>
      <c r="G12" s="41">
        <f t="shared" si="3"/>
        <v>0</v>
      </c>
      <c r="H12" s="41">
        <f t="shared" si="3"/>
        <v>0</v>
      </c>
      <c r="I12" s="41">
        <f t="shared" si="3"/>
        <v>3</v>
      </c>
      <c r="J12" s="41">
        <f t="shared" si="3"/>
        <v>3</v>
      </c>
      <c r="K12" s="41">
        <f t="shared" si="3"/>
        <v>3</v>
      </c>
      <c r="L12" s="41">
        <f t="shared" si="3"/>
        <v>3</v>
      </c>
      <c r="M12" s="41">
        <f t="shared" si="3"/>
        <v>3</v>
      </c>
      <c r="N12" s="41">
        <f t="shared" si="3"/>
        <v>3</v>
      </c>
      <c r="O12" s="41">
        <f t="shared" si="3"/>
        <v>3</v>
      </c>
      <c r="P12" s="41">
        <f t="shared" si="3"/>
        <v>3</v>
      </c>
      <c r="Q12" s="41">
        <f t="shared" si="3"/>
        <v>3</v>
      </c>
      <c r="R12" s="41">
        <f t="shared" si="3"/>
        <v>3</v>
      </c>
      <c r="S12" s="41">
        <f t="shared" si="3"/>
        <v>3</v>
      </c>
      <c r="T12" s="41">
        <f t="shared" si="3"/>
        <v>3</v>
      </c>
      <c r="U12" s="41">
        <f t="shared" si="3"/>
        <v>3</v>
      </c>
      <c r="V12" s="41">
        <f t="shared" si="3"/>
        <v>3</v>
      </c>
      <c r="W12" s="41">
        <f t="shared" si="3"/>
        <v>3</v>
      </c>
      <c r="X12" s="41">
        <f t="shared" si="3"/>
        <v>3</v>
      </c>
      <c r="Y12" s="41">
        <f t="shared" si="3"/>
        <v>3</v>
      </c>
      <c r="Z12" s="41">
        <f t="shared" si="3"/>
        <v>3</v>
      </c>
      <c r="AA12" s="41">
        <f t="shared" si="3"/>
        <v>3</v>
      </c>
      <c r="AB12" s="41">
        <f t="shared" si="3"/>
        <v>3</v>
      </c>
      <c r="AC12" s="41">
        <f t="shared" si="3"/>
        <v>3</v>
      </c>
      <c r="AD12" s="41">
        <f t="shared" si="3"/>
        <v>3</v>
      </c>
      <c r="AE12" s="41">
        <f t="shared" si="3"/>
        <v>3</v>
      </c>
      <c r="AF12" s="41">
        <f t="shared" si="3"/>
        <v>3</v>
      </c>
      <c r="AG12" s="41">
        <f t="shared" si="3"/>
        <v>3</v>
      </c>
      <c r="AH12" s="41">
        <f t="shared" si="3"/>
        <v>3</v>
      </c>
      <c r="AI12" s="41">
        <f t="shared" si="3"/>
        <v>3</v>
      </c>
      <c r="AJ12" s="41">
        <f t="shared" ref="AJ12:BO12" si="4">IF(AJ$4&lt;Sales_Start,0,IF(SUMPRODUCT((sp_start&lt;=AJ$4)*(sp_end&gt;AJ$4)*1)&gt;0,SUMPRODUCT((sp_start&lt;=AJ$4)*(sp_end&gt;AJ$4)*sp_rate)/SUMPRODUCT((sp_start&lt;=AJ$4)*(sp_end&gt;AJ$4)*1),in_rev_absorption_per_month))</f>
        <v>3</v>
      </c>
      <c r="AK12" s="41">
        <f t="shared" si="4"/>
        <v>3</v>
      </c>
      <c r="AL12" s="41">
        <f t="shared" si="4"/>
        <v>3</v>
      </c>
      <c r="AM12" s="41">
        <f t="shared" si="4"/>
        <v>3</v>
      </c>
      <c r="AN12" s="41">
        <f t="shared" si="4"/>
        <v>3</v>
      </c>
      <c r="AO12" s="41">
        <f t="shared" si="4"/>
        <v>3</v>
      </c>
      <c r="AP12" s="41">
        <f t="shared" si="4"/>
        <v>3</v>
      </c>
      <c r="AQ12" s="41">
        <f t="shared" si="4"/>
        <v>3</v>
      </c>
      <c r="AR12" s="41">
        <f t="shared" si="4"/>
        <v>3</v>
      </c>
      <c r="AS12" s="41">
        <f t="shared" si="4"/>
        <v>3</v>
      </c>
      <c r="AT12" s="41">
        <f t="shared" si="4"/>
        <v>3</v>
      </c>
      <c r="AU12" s="41">
        <f t="shared" si="4"/>
        <v>3</v>
      </c>
      <c r="AV12" s="41">
        <f t="shared" si="4"/>
        <v>3</v>
      </c>
      <c r="AW12" s="41">
        <f t="shared" si="4"/>
        <v>3</v>
      </c>
      <c r="AX12" s="41">
        <f t="shared" si="4"/>
        <v>3</v>
      </c>
      <c r="AY12" s="41">
        <f t="shared" si="4"/>
        <v>3</v>
      </c>
      <c r="AZ12" s="41">
        <f t="shared" si="4"/>
        <v>3</v>
      </c>
      <c r="BA12" s="41">
        <f t="shared" si="4"/>
        <v>3</v>
      </c>
      <c r="BB12" s="41">
        <f t="shared" si="4"/>
        <v>3</v>
      </c>
      <c r="BC12" s="41">
        <f t="shared" si="4"/>
        <v>3</v>
      </c>
      <c r="BD12" s="41">
        <f t="shared" si="4"/>
        <v>3</v>
      </c>
      <c r="BE12" s="41">
        <f t="shared" si="4"/>
        <v>3</v>
      </c>
      <c r="BF12" s="41">
        <f t="shared" si="4"/>
        <v>3</v>
      </c>
      <c r="BG12" s="41">
        <f t="shared" si="4"/>
        <v>3</v>
      </c>
      <c r="BH12" s="41">
        <f t="shared" si="4"/>
        <v>3</v>
      </c>
      <c r="BI12" s="41">
        <f t="shared" si="4"/>
        <v>3</v>
      </c>
      <c r="BJ12" s="41">
        <f t="shared" si="4"/>
        <v>3</v>
      </c>
      <c r="BK12" s="41">
        <f t="shared" si="4"/>
        <v>3</v>
      </c>
      <c r="BL12" s="41">
        <f t="shared" si="4"/>
        <v>3</v>
      </c>
      <c r="BM12" s="41">
        <f t="shared" si="4"/>
        <v>3</v>
      </c>
      <c r="BN12" s="41">
        <f t="shared" si="4"/>
        <v>3</v>
      </c>
      <c r="BO12" s="41">
        <f t="shared" si="4"/>
        <v>3</v>
      </c>
      <c r="BP12" s="41">
        <f t="shared" ref="BP12:CU12" si="5">IF(BP$4&lt;Sales_Start,0,IF(SUMPRODUCT((sp_start&lt;=BP$4)*(sp_end&gt;BP$4)*1)&gt;0,SUMPRODUCT((sp_start&lt;=BP$4)*(sp_end&gt;BP$4)*sp_rate)/SUMPRODUCT((sp_start&lt;=BP$4)*(sp_end&gt;BP$4)*1),in_rev_absorption_per_month))</f>
        <v>3</v>
      </c>
      <c r="BQ12" s="41">
        <f t="shared" si="5"/>
        <v>3</v>
      </c>
      <c r="BR12" s="41">
        <f t="shared" si="5"/>
        <v>3</v>
      </c>
      <c r="BS12" s="41">
        <f t="shared" si="5"/>
        <v>3</v>
      </c>
      <c r="BT12" s="41">
        <f t="shared" si="5"/>
        <v>3</v>
      </c>
      <c r="BU12" s="41">
        <f t="shared" si="5"/>
        <v>3</v>
      </c>
      <c r="BV12" s="41">
        <f t="shared" si="5"/>
        <v>3</v>
      </c>
      <c r="BW12" s="41">
        <f t="shared" si="5"/>
        <v>3</v>
      </c>
      <c r="BX12" s="41">
        <f t="shared" si="5"/>
        <v>3</v>
      </c>
      <c r="BY12" s="41">
        <f t="shared" si="5"/>
        <v>3</v>
      </c>
      <c r="BZ12" s="41">
        <f t="shared" si="5"/>
        <v>3</v>
      </c>
      <c r="CA12" s="41">
        <f t="shared" si="5"/>
        <v>3</v>
      </c>
      <c r="CB12" s="41">
        <f t="shared" si="5"/>
        <v>3</v>
      </c>
      <c r="CC12" s="41">
        <f t="shared" si="5"/>
        <v>3</v>
      </c>
      <c r="CD12" s="41">
        <f t="shared" si="5"/>
        <v>3</v>
      </c>
      <c r="CE12" s="41">
        <f t="shared" si="5"/>
        <v>3</v>
      </c>
      <c r="CF12" s="41">
        <f t="shared" si="5"/>
        <v>3</v>
      </c>
      <c r="CG12" s="41">
        <f t="shared" si="5"/>
        <v>3</v>
      </c>
      <c r="CH12" s="41">
        <f t="shared" si="5"/>
        <v>3</v>
      </c>
      <c r="CI12" s="41">
        <f t="shared" si="5"/>
        <v>3</v>
      </c>
      <c r="CJ12" s="41">
        <f t="shared" si="5"/>
        <v>3</v>
      </c>
      <c r="CK12" s="41">
        <f t="shared" si="5"/>
        <v>3</v>
      </c>
      <c r="CL12" s="41">
        <f t="shared" si="5"/>
        <v>3</v>
      </c>
      <c r="CM12" s="41">
        <f t="shared" si="5"/>
        <v>3</v>
      </c>
      <c r="CN12" s="41">
        <f t="shared" si="5"/>
        <v>3</v>
      </c>
      <c r="CO12" s="41">
        <f t="shared" si="5"/>
        <v>3</v>
      </c>
      <c r="CP12" s="41">
        <f t="shared" si="5"/>
        <v>3</v>
      </c>
      <c r="CQ12" s="41">
        <f t="shared" si="5"/>
        <v>3</v>
      </c>
      <c r="CR12" s="41">
        <f t="shared" si="5"/>
        <v>3</v>
      </c>
      <c r="CS12" s="41">
        <f t="shared" si="5"/>
        <v>3</v>
      </c>
      <c r="CT12" s="41">
        <f t="shared" si="5"/>
        <v>3</v>
      </c>
      <c r="CU12" s="41">
        <f t="shared" si="5"/>
        <v>3</v>
      </c>
    </row>
    <row r="13" spans="1:99" x14ac:dyDescent="0.3">
      <c r="A13" s="7" t="s">
        <v>355</v>
      </c>
      <c r="B13" s="42">
        <f>SUM(D13:CU13)</f>
        <v>74.999999999999986</v>
      </c>
      <c r="C13" s="11"/>
      <c r="D13" s="41">
        <f>IF(in_mode_sale=1,MIN(D12*(1-in_rev_cancellation_pct),S_Units),0)</f>
        <v>0</v>
      </c>
      <c r="E13" s="41">
        <f t="shared" ref="E13:AJ13" si="6">IF(in_mode_sale=1,MIN(E12*(1-in_rev_cancellation_pct),D14),0)</f>
        <v>0</v>
      </c>
      <c r="F13" s="41">
        <f t="shared" si="6"/>
        <v>0</v>
      </c>
      <c r="G13" s="41">
        <f t="shared" si="6"/>
        <v>0</v>
      </c>
      <c r="H13" s="41">
        <f t="shared" si="6"/>
        <v>0</v>
      </c>
      <c r="I13" s="41">
        <f t="shared" si="6"/>
        <v>2.8499999999999996</v>
      </c>
      <c r="J13" s="41">
        <f t="shared" si="6"/>
        <v>2.8499999999999996</v>
      </c>
      <c r="K13" s="41">
        <f t="shared" si="6"/>
        <v>2.8499999999999996</v>
      </c>
      <c r="L13" s="41">
        <f t="shared" si="6"/>
        <v>2.8499999999999996</v>
      </c>
      <c r="M13" s="41">
        <f t="shared" si="6"/>
        <v>2.8499999999999996</v>
      </c>
      <c r="N13" s="41">
        <f t="shared" si="6"/>
        <v>2.8499999999999996</v>
      </c>
      <c r="O13" s="41">
        <f t="shared" si="6"/>
        <v>2.8499999999999996</v>
      </c>
      <c r="P13" s="41">
        <f t="shared" si="6"/>
        <v>2.8499999999999996</v>
      </c>
      <c r="Q13" s="41">
        <f t="shared" si="6"/>
        <v>2.8499999999999996</v>
      </c>
      <c r="R13" s="41">
        <f t="shared" si="6"/>
        <v>2.8499999999999996</v>
      </c>
      <c r="S13" s="41">
        <f t="shared" si="6"/>
        <v>2.8499999999999996</v>
      </c>
      <c r="T13" s="41">
        <f t="shared" si="6"/>
        <v>2.8499999999999996</v>
      </c>
      <c r="U13" s="41">
        <f t="shared" si="6"/>
        <v>2.8499999999999996</v>
      </c>
      <c r="V13" s="41">
        <f t="shared" si="6"/>
        <v>2.8499999999999996</v>
      </c>
      <c r="W13" s="41">
        <f t="shared" si="6"/>
        <v>2.8499999999999996</v>
      </c>
      <c r="X13" s="41">
        <f t="shared" si="6"/>
        <v>2.8499999999999996</v>
      </c>
      <c r="Y13" s="41">
        <f t="shared" si="6"/>
        <v>2.8499999999999996</v>
      </c>
      <c r="Z13" s="41">
        <f t="shared" si="6"/>
        <v>2.8499999999999996</v>
      </c>
      <c r="AA13" s="41">
        <f t="shared" si="6"/>
        <v>2.8499999999999996</v>
      </c>
      <c r="AB13" s="41">
        <f t="shared" si="6"/>
        <v>2.8499999999999996</v>
      </c>
      <c r="AC13" s="41">
        <f t="shared" si="6"/>
        <v>2.8499999999999996</v>
      </c>
      <c r="AD13" s="41">
        <f t="shared" si="6"/>
        <v>2.8499999999999996</v>
      </c>
      <c r="AE13" s="41">
        <f t="shared" si="6"/>
        <v>2.8499999999999996</v>
      </c>
      <c r="AF13" s="41">
        <f t="shared" si="6"/>
        <v>2.8499999999999996</v>
      </c>
      <c r="AG13" s="41">
        <f t="shared" si="6"/>
        <v>2.8499999999999996</v>
      </c>
      <c r="AH13" s="41">
        <f t="shared" si="6"/>
        <v>2.8499999999999996</v>
      </c>
      <c r="AI13" s="41">
        <f t="shared" si="6"/>
        <v>0.89999999999999503</v>
      </c>
      <c r="AJ13" s="41">
        <f t="shared" si="6"/>
        <v>0</v>
      </c>
      <c r="AK13" s="41">
        <f t="shared" ref="AK13:BP13" si="7">IF(in_mode_sale=1,MIN(AK12*(1-in_rev_cancellation_pct),AJ14),0)</f>
        <v>0</v>
      </c>
      <c r="AL13" s="41">
        <f t="shared" si="7"/>
        <v>0</v>
      </c>
      <c r="AM13" s="41">
        <f t="shared" si="7"/>
        <v>0</v>
      </c>
      <c r="AN13" s="41">
        <f t="shared" si="7"/>
        <v>0</v>
      </c>
      <c r="AO13" s="41">
        <f t="shared" si="7"/>
        <v>0</v>
      </c>
      <c r="AP13" s="41">
        <f t="shared" si="7"/>
        <v>0</v>
      </c>
      <c r="AQ13" s="41">
        <f t="shared" si="7"/>
        <v>0</v>
      </c>
      <c r="AR13" s="41">
        <f t="shared" si="7"/>
        <v>0</v>
      </c>
      <c r="AS13" s="41">
        <f t="shared" si="7"/>
        <v>0</v>
      </c>
      <c r="AT13" s="41">
        <f t="shared" si="7"/>
        <v>0</v>
      </c>
      <c r="AU13" s="41">
        <f t="shared" si="7"/>
        <v>0</v>
      </c>
      <c r="AV13" s="41">
        <f t="shared" si="7"/>
        <v>0</v>
      </c>
      <c r="AW13" s="41">
        <f t="shared" si="7"/>
        <v>0</v>
      </c>
      <c r="AX13" s="41">
        <f t="shared" si="7"/>
        <v>0</v>
      </c>
      <c r="AY13" s="41">
        <f t="shared" si="7"/>
        <v>0</v>
      </c>
      <c r="AZ13" s="41">
        <f t="shared" si="7"/>
        <v>0</v>
      </c>
      <c r="BA13" s="41">
        <f t="shared" si="7"/>
        <v>0</v>
      </c>
      <c r="BB13" s="41">
        <f t="shared" si="7"/>
        <v>0</v>
      </c>
      <c r="BC13" s="41">
        <f t="shared" si="7"/>
        <v>0</v>
      </c>
      <c r="BD13" s="41">
        <f t="shared" si="7"/>
        <v>0</v>
      </c>
      <c r="BE13" s="41">
        <f t="shared" si="7"/>
        <v>0</v>
      </c>
      <c r="BF13" s="41">
        <f t="shared" si="7"/>
        <v>0</v>
      </c>
      <c r="BG13" s="41">
        <f t="shared" si="7"/>
        <v>0</v>
      </c>
      <c r="BH13" s="41">
        <f t="shared" si="7"/>
        <v>0</v>
      </c>
      <c r="BI13" s="41">
        <f t="shared" si="7"/>
        <v>0</v>
      </c>
      <c r="BJ13" s="41">
        <f t="shared" si="7"/>
        <v>0</v>
      </c>
      <c r="BK13" s="41">
        <f t="shared" si="7"/>
        <v>0</v>
      </c>
      <c r="BL13" s="41">
        <f t="shared" si="7"/>
        <v>0</v>
      </c>
      <c r="BM13" s="41">
        <f t="shared" si="7"/>
        <v>0</v>
      </c>
      <c r="BN13" s="41">
        <f t="shared" si="7"/>
        <v>0</v>
      </c>
      <c r="BO13" s="41">
        <f t="shared" si="7"/>
        <v>0</v>
      </c>
      <c r="BP13" s="41">
        <f t="shared" si="7"/>
        <v>0</v>
      </c>
      <c r="BQ13" s="41">
        <f t="shared" ref="BQ13:CV13" si="8">IF(in_mode_sale=1,MIN(BQ12*(1-in_rev_cancellation_pct),BP14),0)</f>
        <v>0</v>
      </c>
      <c r="BR13" s="41">
        <f t="shared" si="8"/>
        <v>0</v>
      </c>
      <c r="BS13" s="41">
        <f t="shared" si="8"/>
        <v>0</v>
      </c>
      <c r="BT13" s="41">
        <f t="shared" si="8"/>
        <v>0</v>
      </c>
      <c r="BU13" s="41">
        <f t="shared" si="8"/>
        <v>0</v>
      </c>
      <c r="BV13" s="41">
        <f t="shared" si="8"/>
        <v>0</v>
      </c>
      <c r="BW13" s="41">
        <f t="shared" si="8"/>
        <v>0</v>
      </c>
      <c r="BX13" s="41">
        <f t="shared" si="8"/>
        <v>0</v>
      </c>
      <c r="BY13" s="41">
        <f t="shared" si="8"/>
        <v>0</v>
      </c>
      <c r="BZ13" s="41">
        <f t="shared" si="8"/>
        <v>0</v>
      </c>
      <c r="CA13" s="41">
        <f t="shared" si="8"/>
        <v>0</v>
      </c>
      <c r="CB13" s="41">
        <f t="shared" si="8"/>
        <v>0</v>
      </c>
      <c r="CC13" s="41">
        <f t="shared" si="8"/>
        <v>0</v>
      </c>
      <c r="CD13" s="41">
        <f t="shared" si="8"/>
        <v>0</v>
      </c>
      <c r="CE13" s="41">
        <f t="shared" si="8"/>
        <v>0</v>
      </c>
      <c r="CF13" s="41">
        <f t="shared" si="8"/>
        <v>0</v>
      </c>
      <c r="CG13" s="41">
        <f t="shared" si="8"/>
        <v>0</v>
      </c>
      <c r="CH13" s="41">
        <f t="shared" si="8"/>
        <v>0</v>
      </c>
      <c r="CI13" s="41">
        <f t="shared" si="8"/>
        <v>0</v>
      </c>
      <c r="CJ13" s="41">
        <f t="shared" si="8"/>
        <v>0</v>
      </c>
      <c r="CK13" s="41">
        <f t="shared" si="8"/>
        <v>0</v>
      </c>
      <c r="CL13" s="41">
        <f t="shared" si="8"/>
        <v>0</v>
      </c>
      <c r="CM13" s="41">
        <f t="shared" si="8"/>
        <v>0</v>
      </c>
      <c r="CN13" s="41">
        <f t="shared" si="8"/>
        <v>0</v>
      </c>
      <c r="CO13" s="41">
        <f t="shared" si="8"/>
        <v>0</v>
      </c>
      <c r="CP13" s="41">
        <f t="shared" si="8"/>
        <v>0</v>
      </c>
      <c r="CQ13" s="41">
        <f t="shared" si="8"/>
        <v>0</v>
      </c>
      <c r="CR13" s="41">
        <f t="shared" si="8"/>
        <v>0</v>
      </c>
      <c r="CS13" s="41">
        <f t="shared" si="8"/>
        <v>0</v>
      </c>
      <c r="CT13" s="41">
        <f t="shared" si="8"/>
        <v>0</v>
      </c>
      <c r="CU13" s="41">
        <f t="shared" si="8"/>
        <v>0</v>
      </c>
    </row>
    <row r="14" spans="1:99" x14ac:dyDescent="0.3">
      <c r="A14" s="7" t="s">
        <v>356</v>
      </c>
      <c r="B14" s="1"/>
      <c r="C14" s="11"/>
      <c r="D14" s="41">
        <f>S_Units-D13</f>
        <v>75</v>
      </c>
      <c r="E14" s="41">
        <f t="shared" ref="E14:AJ14" si="9">D14-E13</f>
        <v>75</v>
      </c>
      <c r="F14" s="41">
        <f t="shared" si="9"/>
        <v>75</v>
      </c>
      <c r="G14" s="41">
        <f t="shared" si="9"/>
        <v>75</v>
      </c>
      <c r="H14" s="41">
        <f t="shared" si="9"/>
        <v>75</v>
      </c>
      <c r="I14" s="41">
        <f t="shared" si="9"/>
        <v>72.150000000000006</v>
      </c>
      <c r="J14" s="41">
        <f t="shared" si="9"/>
        <v>69.300000000000011</v>
      </c>
      <c r="K14" s="41">
        <f t="shared" si="9"/>
        <v>66.450000000000017</v>
      </c>
      <c r="L14" s="41">
        <f t="shared" si="9"/>
        <v>63.600000000000016</v>
      </c>
      <c r="M14" s="41">
        <f t="shared" si="9"/>
        <v>60.750000000000014</v>
      </c>
      <c r="N14" s="41">
        <f t="shared" si="9"/>
        <v>57.900000000000013</v>
      </c>
      <c r="O14" s="41">
        <f t="shared" si="9"/>
        <v>55.050000000000011</v>
      </c>
      <c r="P14" s="41">
        <f t="shared" si="9"/>
        <v>52.20000000000001</v>
      </c>
      <c r="Q14" s="41">
        <f t="shared" si="9"/>
        <v>49.350000000000009</v>
      </c>
      <c r="R14" s="41">
        <f t="shared" si="9"/>
        <v>46.500000000000007</v>
      </c>
      <c r="S14" s="41">
        <f t="shared" si="9"/>
        <v>43.650000000000006</v>
      </c>
      <c r="T14" s="41">
        <f t="shared" si="9"/>
        <v>40.800000000000004</v>
      </c>
      <c r="U14" s="41">
        <f t="shared" si="9"/>
        <v>37.950000000000003</v>
      </c>
      <c r="V14" s="41">
        <f t="shared" si="9"/>
        <v>35.1</v>
      </c>
      <c r="W14" s="41">
        <f t="shared" si="9"/>
        <v>32.25</v>
      </c>
      <c r="X14" s="41">
        <f t="shared" si="9"/>
        <v>29.4</v>
      </c>
      <c r="Y14" s="41">
        <f t="shared" si="9"/>
        <v>26.549999999999997</v>
      </c>
      <c r="Z14" s="41">
        <f t="shared" si="9"/>
        <v>23.699999999999996</v>
      </c>
      <c r="AA14" s="41">
        <f t="shared" si="9"/>
        <v>20.849999999999994</v>
      </c>
      <c r="AB14" s="41">
        <f t="shared" si="9"/>
        <v>17.999999999999993</v>
      </c>
      <c r="AC14" s="41">
        <f t="shared" si="9"/>
        <v>15.149999999999993</v>
      </c>
      <c r="AD14" s="41">
        <f t="shared" si="9"/>
        <v>12.299999999999994</v>
      </c>
      <c r="AE14" s="41">
        <f t="shared" si="9"/>
        <v>9.449999999999994</v>
      </c>
      <c r="AF14" s="41">
        <f t="shared" si="9"/>
        <v>6.5999999999999943</v>
      </c>
      <c r="AG14" s="41">
        <f t="shared" si="9"/>
        <v>3.7499999999999947</v>
      </c>
      <c r="AH14" s="41">
        <f t="shared" si="9"/>
        <v>0.89999999999999503</v>
      </c>
      <c r="AI14" s="41">
        <f t="shared" si="9"/>
        <v>0</v>
      </c>
      <c r="AJ14" s="41">
        <f t="shared" si="9"/>
        <v>0</v>
      </c>
      <c r="AK14" s="41">
        <f t="shared" ref="AK14:BP14" si="10">AJ14-AK13</f>
        <v>0</v>
      </c>
      <c r="AL14" s="41">
        <f t="shared" si="10"/>
        <v>0</v>
      </c>
      <c r="AM14" s="41">
        <f t="shared" si="10"/>
        <v>0</v>
      </c>
      <c r="AN14" s="41">
        <f t="shared" si="10"/>
        <v>0</v>
      </c>
      <c r="AO14" s="41">
        <f t="shared" si="10"/>
        <v>0</v>
      </c>
      <c r="AP14" s="41">
        <f t="shared" si="10"/>
        <v>0</v>
      </c>
      <c r="AQ14" s="41">
        <f t="shared" si="10"/>
        <v>0</v>
      </c>
      <c r="AR14" s="41">
        <f t="shared" si="10"/>
        <v>0</v>
      </c>
      <c r="AS14" s="41">
        <f t="shared" si="10"/>
        <v>0</v>
      </c>
      <c r="AT14" s="41">
        <f t="shared" si="10"/>
        <v>0</v>
      </c>
      <c r="AU14" s="41">
        <f t="shared" si="10"/>
        <v>0</v>
      </c>
      <c r="AV14" s="41">
        <f t="shared" si="10"/>
        <v>0</v>
      </c>
      <c r="AW14" s="41">
        <f t="shared" si="10"/>
        <v>0</v>
      </c>
      <c r="AX14" s="41">
        <f t="shared" si="10"/>
        <v>0</v>
      </c>
      <c r="AY14" s="41">
        <f t="shared" si="10"/>
        <v>0</v>
      </c>
      <c r="AZ14" s="41">
        <f t="shared" si="10"/>
        <v>0</v>
      </c>
      <c r="BA14" s="41">
        <f t="shared" si="10"/>
        <v>0</v>
      </c>
      <c r="BB14" s="41">
        <f t="shared" si="10"/>
        <v>0</v>
      </c>
      <c r="BC14" s="41">
        <f t="shared" si="10"/>
        <v>0</v>
      </c>
      <c r="BD14" s="41">
        <f t="shared" si="10"/>
        <v>0</v>
      </c>
      <c r="BE14" s="41">
        <f t="shared" si="10"/>
        <v>0</v>
      </c>
      <c r="BF14" s="41">
        <f t="shared" si="10"/>
        <v>0</v>
      </c>
      <c r="BG14" s="41">
        <f t="shared" si="10"/>
        <v>0</v>
      </c>
      <c r="BH14" s="41">
        <f t="shared" si="10"/>
        <v>0</v>
      </c>
      <c r="BI14" s="41">
        <f t="shared" si="10"/>
        <v>0</v>
      </c>
      <c r="BJ14" s="41">
        <f t="shared" si="10"/>
        <v>0</v>
      </c>
      <c r="BK14" s="41">
        <f t="shared" si="10"/>
        <v>0</v>
      </c>
      <c r="BL14" s="41">
        <f t="shared" si="10"/>
        <v>0</v>
      </c>
      <c r="BM14" s="41">
        <f t="shared" si="10"/>
        <v>0</v>
      </c>
      <c r="BN14" s="41">
        <f t="shared" si="10"/>
        <v>0</v>
      </c>
      <c r="BO14" s="41">
        <f t="shared" si="10"/>
        <v>0</v>
      </c>
      <c r="BP14" s="41">
        <f t="shared" si="10"/>
        <v>0</v>
      </c>
      <c r="BQ14" s="41">
        <f t="shared" ref="BQ14:CV14" si="11">BP14-BQ13</f>
        <v>0</v>
      </c>
      <c r="BR14" s="41">
        <f t="shared" si="11"/>
        <v>0</v>
      </c>
      <c r="BS14" s="41">
        <f t="shared" si="11"/>
        <v>0</v>
      </c>
      <c r="BT14" s="41">
        <f t="shared" si="11"/>
        <v>0</v>
      </c>
      <c r="BU14" s="41">
        <f t="shared" si="11"/>
        <v>0</v>
      </c>
      <c r="BV14" s="41">
        <f t="shared" si="11"/>
        <v>0</v>
      </c>
      <c r="BW14" s="41">
        <f t="shared" si="11"/>
        <v>0</v>
      </c>
      <c r="BX14" s="41">
        <f t="shared" si="11"/>
        <v>0</v>
      </c>
      <c r="BY14" s="41">
        <f t="shared" si="11"/>
        <v>0</v>
      </c>
      <c r="BZ14" s="41">
        <f t="shared" si="11"/>
        <v>0</v>
      </c>
      <c r="CA14" s="41">
        <f t="shared" si="11"/>
        <v>0</v>
      </c>
      <c r="CB14" s="41">
        <f t="shared" si="11"/>
        <v>0</v>
      </c>
      <c r="CC14" s="41">
        <f t="shared" si="11"/>
        <v>0</v>
      </c>
      <c r="CD14" s="41">
        <f t="shared" si="11"/>
        <v>0</v>
      </c>
      <c r="CE14" s="41">
        <f t="shared" si="11"/>
        <v>0</v>
      </c>
      <c r="CF14" s="41">
        <f t="shared" si="11"/>
        <v>0</v>
      </c>
      <c r="CG14" s="41">
        <f t="shared" si="11"/>
        <v>0</v>
      </c>
      <c r="CH14" s="41">
        <f t="shared" si="11"/>
        <v>0</v>
      </c>
      <c r="CI14" s="41">
        <f t="shared" si="11"/>
        <v>0</v>
      </c>
      <c r="CJ14" s="41">
        <f t="shared" si="11"/>
        <v>0</v>
      </c>
      <c r="CK14" s="41">
        <f t="shared" si="11"/>
        <v>0</v>
      </c>
      <c r="CL14" s="41">
        <f t="shared" si="11"/>
        <v>0</v>
      </c>
      <c r="CM14" s="41">
        <f t="shared" si="11"/>
        <v>0</v>
      </c>
      <c r="CN14" s="41">
        <f t="shared" si="11"/>
        <v>0</v>
      </c>
      <c r="CO14" s="41">
        <f t="shared" si="11"/>
        <v>0</v>
      </c>
      <c r="CP14" s="41">
        <f t="shared" si="11"/>
        <v>0</v>
      </c>
      <c r="CQ14" s="41">
        <f t="shared" si="11"/>
        <v>0</v>
      </c>
      <c r="CR14" s="41">
        <f t="shared" si="11"/>
        <v>0</v>
      </c>
      <c r="CS14" s="41">
        <f t="shared" si="11"/>
        <v>0</v>
      </c>
      <c r="CT14" s="41">
        <f t="shared" si="11"/>
        <v>0</v>
      </c>
      <c r="CU14" s="41">
        <f t="shared" si="11"/>
        <v>0</v>
      </c>
    </row>
    <row r="15" spans="1:99" x14ac:dyDescent="0.3">
      <c r="A15" s="7" t="s">
        <v>357</v>
      </c>
      <c r="B15" s="1"/>
      <c r="C15" s="11"/>
      <c r="D15" s="41">
        <f>S_Units-D14</f>
        <v>0</v>
      </c>
      <c r="E15" s="41">
        <f t="shared" ref="E15:AJ15" si="12">S_Units-E14</f>
        <v>0</v>
      </c>
      <c r="F15" s="41">
        <f t="shared" si="12"/>
        <v>0</v>
      </c>
      <c r="G15" s="41">
        <f t="shared" si="12"/>
        <v>0</v>
      </c>
      <c r="H15" s="41">
        <f t="shared" si="12"/>
        <v>0</v>
      </c>
      <c r="I15" s="41">
        <f t="shared" si="12"/>
        <v>2.8499999999999943</v>
      </c>
      <c r="J15" s="41">
        <f t="shared" si="12"/>
        <v>5.6999999999999886</v>
      </c>
      <c r="K15" s="41">
        <f t="shared" si="12"/>
        <v>8.5499999999999829</v>
      </c>
      <c r="L15" s="41">
        <f t="shared" si="12"/>
        <v>11.399999999999984</v>
      </c>
      <c r="M15" s="41">
        <f t="shared" si="12"/>
        <v>14.249999999999986</v>
      </c>
      <c r="N15" s="41">
        <f t="shared" si="12"/>
        <v>17.099999999999987</v>
      </c>
      <c r="O15" s="41">
        <f t="shared" si="12"/>
        <v>19.949999999999989</v>
      </c>
      <c r="P15" s="41">
        <f t="shared" si="12"/>
        <v>22.79999999999999</v>
      </c>
      <c r="Q15" s="41">
        <f t="shared" si="12"/>
        <v>25.649999999999991</v>
      </c>
      <c r="R15" s="41">
        <f t="shared" si="12"/>
        <v>28.499999999999993</v>
      </c>
      <c r="S15" s="41">
        <f t="shared" si="12"/>
        <v>31.349999999999994</v>
      </c>
      <c r="T15" s="41">
        <f t="shared" si="12"/>
        <v>34.199999999999996</v>
      </c>
      <c r="U15" s="41">
        <f t="shared" si="12"/>
        <v>37.049999999999997</v>
      </c>
      <c r="V15" s="41">
        <f t="shared" si="12"/>
        <v>39.9</v>
      </c>
      <c r="W15" s="41">
        <f t="shared" si="12"/>
        <v>42.75</v>
      </c>
      <c r="X15" s="41">
        <f t="shared" si="12"/>
        <v>45.6</v>
      </c>
      <c r="Y15" s="41">
        <f t="shared" si="12"/>
        <v>48.45</v>
      </c>
      <c r="Z15" s="41">
        <f t="shared" si="12"/>
        <v>51.300000000000004</v>
      </c>
      <c r="AA15" s="41">
        <f t="shared" si="12"/>
        <v>54.150000000000006</v>
      </c>
      <c r="AB15" s="41">
        <f t="shared" si="12"/>
        <v>57.000000000000007</v>
      </c>
      <c r="AC15" s="41">
        <f t="shared" si="12"/>
        <v>59.850000000000009</v>
      </c>
      <c r="AD15" s="41">
        <f t="shared" si="12"/>
        <v>62.7</v>
      </c>
      <c r="AE15" s="41">
        <f t="shared" si="12"/>
        <v>65.550000000000011</v>
      </c>
      <c r="AF15" s="41">
        <f t="shared" si="12"/>
        <v>68.400000000000006</v>
      </c>
      <c r="AG15" s="41">
        <f t="shared" si="12"/>
        <v>71.25</v>
      </c>
      <c r="AH15" s="41">
        <f t="shared" si="12"/>
        <v>74.100000000000009</v>
      </c>
      <c r="AI15" s="41">
        <f t="shared" si="12"/>
        <v>75</v>
      </c>
      <c r="AJ15" s="41">
        <f t="shared" si="12"/>
        <v>75</v>
      </c>
      <c r="AK15" s="41">
        <f t="shared" ref="AK15:BP15" si="13">S_Units-AK14</f>
        <v>75</v>
      </c>
      <c r="AL15" s="41">
        <f t="shared" si="13"/>
        <v>75</v>
      </c>
      <c r="AM15" s="41">
        <f t="shared" si="13"/>
        <v>75</v>
      </c>
      <c r="AN15" s="41">
        <f t="shared" si="13"/>
        <v>75</v>
      </c>
      <c r="AO15" s="41">
        <f t="shared" si="13"/>
        <v>75</v>
      </c>
      <c r="AP15" s="41">
        <f t="shared" si="13"/>
        <v>75</v>
      </c>
      <c r="AQ15" s="41">
        <f t="shared" si="13"/>
        <v>75</v>
      </c>
      <c r="AR15" s="41">
        <f t="shared" si="13"/>
        <v>75</v>
      </c>
      <c r="AS15" s="41">
        <f t="shared" si="13"/>
        <v>75</v>
      </c>
      <c r="AT15" s="41">
        <f t="shared" si="13"/>
        <v>75</v>
      </c>
      <c r="AU15" s="41">
        <f t="shared" si="13"/>
        <v>75</v>
      </c>
      <c r="AV15" s="41">
        <f t="shared" si="13"/>
        <v>75</v>
      </c>
      <c r="AW15" s="41">
        <f t="shared" si="13"/>
        <v>75</v>
      </c>
      <c r="AX15" s="41">
        <f t="shared" si="13"/>
        <v>75</v>
      </c>
      <c r="AY15" s="41">
        <f t="shared" si="13"/>
        <v>75</v>
      </c>
      <c r="AZ15" s="41">
        <f t="shared" si="13"/>
        <v>75</v>
      </c>
      <c r="BA15" s="41">
        <f t="shared" si="13"/>
        <v>75</v>
      </c>
      <c r="BB15" s="41">
        <f t="shared" si="13"/>
        <v>75</v>
      </c>
      <c r="BC15" s="41">
        <f t="shared" si="13"/>
        <v>75</v>
      </c>
      <c r="BD15" s="41">
        <f t="shared" si="13"/>
        <v>75</v>
      </c>
      <c r="BE15" s="41">
        <f t="shared" si="13"/>
        <v>75</v>
      </c>
      <c r="BF15" s="41">
        <f t="shared" si="13"/>
        <v>75</v>
      </c>
      <c r="BG15" s="41">
        <f t="shared" si="13"/>
        <v>75</v>
      </c>
      <c r="BH15" s="41">
        <f t="shared" si="13"/>
        <v>75</v>
      </c>
      <c r="BI15" s="41">
        <f t="shared" si="13"/>
        <v>75</v>
      </c>
      <c r="BJ15" s="41">
        <f t="shared" si="13"/>
        <v>75</v>
      </c>
      <c r="BK15" s="41">
        <f t="shared" si="13"/>
        <v>75</v>
      </c>
      <c r="BL15" s="41">
        <f t="shared" si="13"/>
        <v>75</v>
      </c>
      <c r="BM15" s="41">
        <f t="shared" si="13"/>
        <v>75</v>
      </c>
      <c r="BN15" s="41">
        <f t="shared" si="13"/>
        <v>75</v>
      </c>
      <c r="BO15" s="41">
        <f t="shared" si="13"/>
        <v>75</v>
      </c>
      <c r="BP15" s="41">
        <f t="shared" si="13"/>
        <v>75</v>
      </c>
      <c r="BQ15" s="41">
        <f t="shared" ref="BQ15:CV15" si="14">S_Units-BQ14</f>
        <v>75</v>
      </c>
      <c r="BR15" s="41">
        <f t="shared" si="14"/>
        <v>75</v>
      </c>
      <c r="BS15" s="41">
        <f t="shared" si="14"/>
        <v>75</v>
      </c>
      <c r="BT15" s="41">
        <f t="shared" si="14"/>
        <v>75</v>
      </c>
      <c r="BU15" s="41">
        <f t="shared" si="14"/>
        <v>75</v>
      </c>
      <c r="BV15" s="41">
        <f t="shared" si="14"/>
        <v>75</v>
      </c>
      <c r="BW15" s="41">
        <f t="shared" si="14"/>
        <v>75</v>
      </c>
      <c r="BX15" s="41">
        <f t="shared" si="14"/>
        <v>75</v>
      </c>
      <c r="BY15" s="41">
        <f t="shared" si="14"/>
        <v>75</v>
      </c>
      <c r="BZ15" s="41">
        <f t="shared" si="14"/>
        <v>75</v>
      </c>
      <c r="CA15" s="41">
        <f t="shared" si="14"/>
        <v>75</v>
      </c>
      <c r="CB15" s="41">
        <f t="shared" si="14"/>
        <v>75</v>
      </c>
      <c r="CC15" s="41">
        <f t="shared" si="14"/>
        <v>75</v>
      </c>
      <c r="CD15" s="41">
        <f t="shared" si="14"/>
        <v>75</v>
      </c>
      <c r="CE15" s="41">
        <f t="shared" si="14"/>
        <v>75</v>
      </c>
      <c r="CF15" s="41">
        <f t="shared" si="14"/>
        <v>75</v>
      </c>
      <c r="CG15" s="41">
        <f t="shared" si="14"/>
        <v>75</v>
      </c>
      <c r="CH15" s="41">
        <f t="shared" si="14"/>
        <v>75</v>
      </c>
      <c r="CI15" s="41">
        <f t="shared" si="14"/>
        <v>75</v>
      </c>
      <c r="CJ15" s="41">
        <f t="shared" si="14"/>
        <v>75</v>
      </c>
      <c r="CK15" s="41">
        <f t="shared" si="14"/>
        <v>75</v>
      </c>
      <c r="CL15" s="41">
        <f t="shared" si="14"/>
        <v>75</v>
      </c>
      <c r="CM15" s="41">
        <f t="shared" si="14"/>
        <v>75</v>
      </c>
      <c r="CN15" s="41">
        <f t="shared" si="14"/>
        <v>75</v>
      </c>
      <c r="CO15" s="41">
        <f t="shared" si="14"/>
        <v>75</v>
      </c>
      <c r="CP15" s="41">
        <f t="shared" si="14"/>
        <v>75</v>
      </c>
      <c r="CQ15" s="41">
        <f t="shared" si="14"/>
        <v>75</v>
      </c>
      <c r="CR15" s="41">
        <f t="shared" si="14"/>
        <v>75</v>
      </c>
      <c r="CS15" s="41">
        <f t="shared" si="14"/>
        <v>75</v>
      </c>
      <c r="CT15" s="41">
        <f t="shared" si="14"/>
        <v>75</v>
      </c>
      <c r="CU15" s="41">
        <f t="shared" si="14"/>
        <v>75</v>
      </c>
    </row>
    <row r="16" spans="1:99" x14ac:dyDescent="0.3">
      <c r="A16" s="7" t="s">
        <v>358</v>
      </c>
      <c r="B16" s="1"/>
      <c r="C16" s="11"/>
      <c r="D16" s="36">
        <f t="shared" ref="D16:AI16" si="15">EXP(SUMPRODUCT((pp_start&lt;=D$4)*(pp_end&gt;D$4)*LN(1+pp_pct)))</f>
        <v>1</v>
      </c>
      <c r="E16" s="36">
        <f t="shared" si="15"/>
        <v>1</v>
      </c>
      <c r="F16" s="36">
        <f t="shared" si="15"/>
        <v>1</v>
      </c>
      <c r="G16" s="36">
        <f t="shared" si="15"/>
        <v>1</v>
      </c>
      <c r="H16" s="36">
        <f t="shared" si="15"/>
        <v>1</v>
      </c>
      <c r="I16" s="36">
        <f t="shared" si="15"/>
        <v>1</v>
      </c>
      <c r="J16" s="36">
        <f t="shared" si="15"/>
        <v>1</v>
      </c>
      <c r="K16" s="36">
        <f t="shared" si="15"/>
        <v>1</v>
      </c>
      <c r="L16" s="36">
        <f t="shared" si="15"/>
        <v>1</v>
      </c>
      <c r="M16" s="36">
        <f t="shared" si="15"/>
        <v>1</v>
      </c>
      <c r="N16" s="36">
        <f t="shared" si="15"/>
        <v>1</v>
      </c>
      <c r="O16" s="36">
        <f t="shared" si="15"/>
        <v>1</v>
      </c>
      <c r="P16" s="36">
        <f t="shared" si="15"/>
        <v>1</v>
      </c>
      <c r="Q16" s="36">
        <f t="shared" si="15"/>
        <v>1</v>
      </c>
      <c r="R16" s="36">
        <f t="shared" si="15"/>
        <v>1</v>
      </c>
      <c r="S16" s="36">
        <f t="shared" si="15"/>
        <v>1</v>
      </c>
      <c r="T16" s="36">
        <f t="shared" si="15"/>
        <v>1</v>
      </c>
      <c r="U16" s="36">
        <f t="shared" si="15"/>
        <v>1</v>
      </c>
      <c r="V16" s="36">
        <f t="shared" si="15"/>
        <v>1</v>
      </c>
      <c r="W16" s="36">
        <f t="shared" si="15"/>
        <v>1</v>
      </c>
      <c r="X16" s="36">
        <f t="shared" si="15"/>
        <v>1</v>
      </c>
      <c r="Y16" s="36">
        <f t="shared" si="15"/>
        <v>1</v>
      </c>
      <c r="Z16" s="36">
        <f t="shared" si="15"/>
        <v>1</v>
      </c>
      <c r="AA16" s="36">
        <f t="shared" si="15"/>
        <v>1</v>
      </c>
      <c r="AB16" s="36">
        <f t="shared" si="15"/>
        <v>1</v>
      </c>
      <c r="AC16" s="36">
        <f t="shared" si="15"/>
        <v>1</v>
      </c>
      <c r="AD16" s="36">
        <f t="shared" si="15"/>
        <v>1</v>
      </c>
      <c r="AE16" s="36">
        <f t="shared" si="15"/>
        <v>1</v>
      </c>
      <c r="AF16" s="36">
        <f t="shared" si="15"/>
        <v>1</v>
      </c>
      <c r="AG16" s="36">
        <f t="shared" si="15"/>
        <v>1</v>
      </c>
      <c r="AH16" s="36">
        <f t="shared" si="15"/>
        <v>1</v>
      </c>
      <c r="AI16" s="36">
        <f t="shared" si="15"/>
        <v>1</v>
      </c>
      <c r="AJ16" s="36">
        <f t="shared" ref="AJ16:BO16" si="16">EXP(SUMPRODUCT((pp_start&lt;=AJ$4)*(pp_end&gt;AJ$4)*LN(1+pp_pct)))</f>
        <v>1</v>
      </c>
      <c r="AK16" s="36">
        <f t="shared" si="16"/>
        <v>1</v>
      </c>
      <c r="AL16" s="36">
        <f t="shared" si="16"/>
        <v>1</v>
      </c>
      <c r="AM16" s="36">
        <f t="shared" si="16"/>
        <v>1</v>
      </c>
      <c r="AN16" s="36">
        <f t="shared" si="16"/>
        <v>1</v>
      </c>
      <c r="AO16" s="36">
        <f t="shared" si="16"/>
        <v>1</v>
      </c>
      <c r="AP16" s="36">
        <f t="shared" si="16"/>
        <v>1</v>
      </c>
      <c r="AQ16" s="36">
        <f t="shared" si="16"/>
        <v>1</v>
      </c>
      <c r="AR16" s="36">
        <f t="shared" si="16"/>
        <v>1</v>
      </c>
      <c r="AS16" s="36">
        <f t="shared" si="16"/>
        <v>1</v>
      </c>
      <c r="AT16" s="36">
        <f t="shared" si="16"/>
        <v>1</v>
      </c>
      <c r="AU16" s="36">
        <f t="shared" si="16"/>
        <v>1</v>
      </c>
      <c r="AV16" s="36">
        <f t="shared" si="16"/>
        <v>1</v>
      </c>
      <c r="AW16" s="36">
        <f t="shared" si="16"/>
        <v>1</v>
      </c>
      <c r="AX16" s="36">
        <f t="shared" si="16"/>
        <v>1</v>
      </c>
      <c r="AY16" s="36">
        <f t="shared" si="16"/>
        <v>1</v>
      </c>
      <c r="AZ16" s="36">
        <f t="shared" si="16"/>
        <v>1</v>
      </c>
      <c r="BA16" s="36">
        <f t="shared" si="16"/>
        <v>1</v>
      </c>
      <c r="BB16" s="36">
        <f t="shared" si="16"/>
        <v>1</v>
      </c>
      <c r="BC16" s="36">
        <f t="shared" si="16"/>
        <v>1</v>
      </c>
      <c r="BD16" s="36">
        <f t="shared" si="16"/>
        <v>1</v>
      </c>
      <c r="BE16" s="36">
        <f t="shared" si="16"/>
        <v>1</v>
      </c>
      <c r="BF16" s="36">
        <f t="shared" si="16"/>
        <v>1</v>
      </c>
      <c r="BG16" s="36">
        <f t="shared" si="16"/>
        <v>1</v>
      </c>
      <c r="BH16" s="36">
        <f t="shared" si="16"/>
        <v>1</v>
      </c>
      <c r="BI16" s="36">
        <f t="shared" si="16"/>
        <v>1</v>
      </c>
      <c r="BJ16" s="36">
        <f t="shared" si="16"/>
        <v>1</v>
      </c>
      <c r="BK16" s="36">
        <f t="shared" si="16"/>
        <v>1</v>
      </c>
      <c r="BL16" s="36">
        <f t="shared" si="16"/>
        <v>1</v>
      </c>
      <c r="BM16" s="36">
        <f t="shared" si="16"/>
        <v>1</v>
      </c>
      <c r="BN16" s="36">
        <f t="shared" si="16"/>
        <v>1</v>
      </c>
      <c r="BO16" s="36">
        <f t="shared" si="16"/>
        <v>1</v>
      </c>
      <c r="BP16" s="36">
        <f t="shared" ref="BP16:CU16" si="17">EXP(SUMPRODUCT((pp_start&lt;=BP$4)*(pp_end&gt;BP$4)*LN(1+pp_pct)))</f>
        <v>1</v>
      </c>
      <c r="BQ16" s="36">
        <f t="shared" si="17"/>
        <v>1</v>
      </c>
      <c r="BR16" s="36">
        <f t="shared" si="17"/>
        <v>1</v>
      </c>
      <c r="BS16" s="36">
        <f t="shared" si="17"/>
        <v>1</v>
      </c>
      <c r="BT16" s="36">
        <f t="shared" si="17"/>
        <v>1</v>
      </c>
      <c r="BU16" s="36">
        <f t="shared" si="17"/>
        <v>1</v>
      </c>
      <c r="BV16" s="36">
        <f t="shared" si="17"/>
        <v>1</v>
      </c>
      <c r="BW16" s="36">
        <f t="shared" si="17"/>
        <v>1</v>
      </c>
      <c r="BX16" s="36">
        <f t="shared" si="17"/>
        <v>1</v>
      </c>
      <c r="BY16" s="36">
        <f t="shared" si="17"/>
        <v>1</v>
      </c>
      <c r="BZ16" s="36">
        <f t="shared" si="17"/>
        <v>1</v>
      </c>
      <c r="CA16" s="36">
        <f t="shared" si="17"/>
        <v>1</v>
      </c>
      <c r="CB16" s="36">
        <f t="shared" si="17"/>
        <v>1</v>
      </c>
      <c r="CC16" s="36">
        <f t="shared" si="17"/>
        <v>1</v>
      </c>
      <c r="CD16" s="36">
        <f t="shared" si="17"/>
        <v>1</v>
      </c>
      <c r="CE16" s="36">
        <f t="shared" si="17"/>
        <v>1</v>
      </c>
      <c r="CF16" s="36">
        <f t="shared" si="17"/>
        <v>1</v>
      </c>
      <c r="CG16" s="36">
        <f t="shared" si="17"/>
        <v>1</v>
      </c>
      <c r="CH16" s="36">
        <f t="shared" si="17"/>
        <v>1</v>
      </c>
      <c r="CI16" s="36">
        <f t="shared" si="17"/>
        <v>1</v>
      </c>
      <c r="CJ16" s="36">
        <f t="shared" si="17"/>
        <v>1</v>
      </c>
      <c r="CK16" s="36">
        <f t="shared" si="17"/>
        <v>1</v>
      </c>
      <c r="CL16" s="36">
        <f t="shared" si="17"/>
        <v>1</v>
      </c>
      <c r="CM16" s="36">
        <f t="shared" si="17"/>
        <v>1</v>
      </c>
      <c r="CN16" s="36">
        <f t="shared" si="17"/>
        <v>1</v>
      </c>
      <c r="CO16" s="36">
        <f t="shared" si="17"/>
        <v>1</v>
      </c>
      <c r="CP16" s="36">
        <f t="shared" si="17"/>
        <v>1</v>
      </c>
      <c r="CQ16" s="36">
        <f t="shared" si="17"/>
        <v>1</v>
      </c>
      <c r="CR16" s="36">
        <f t="shared" si="17"/>
        <v>1</v>
      </c>
      <c r="CS16" s="36">
        <f t="shared" si="17"/>
        <v>1</v>
      </c>
      <c r="CT16" s="36">
        <f t="shared" si="17"/>
        <v>1</v>
      </c>
      <c r="CU16" s="36">
        <f t="shared" si="17"/>
        <v>1</v>
      </c>
    </row>
    <row r="17" spans="1:99" x14ac:dyDescent="0.3">
      <c r="A17" s="7" t="s">
        <v>359</v>
      </c>
      <c r="B17" s="21">
        <f>SUM(D17:CU17)</f>
        <v>1036481351.8134278</v>
      </c>
      <c r="C17" s="11"/>
      <c r="D17" s="34">
        <f t="shared" ref="D17:AI17" si="18">D13*D_AvgPrice*(1+in_rev_escalation_pct)^(D$4/12)*(1-in_rev_discount_pct)*D16</f>
        <v>0</v>
      </c>
      <c r="E17" s="34">
        <f t="shared" si="18"/>
        <v>0</v>
      </c>
      <c r="F17" s="34">
        <f t="shared" si="18"/>
        <v>0</v>
      </c>
      <c r="G17" s="34">
        <f t="shared" si="18"/>
        <v>0</v>
      </c>
      <c r="H17" s="34">
        <f t="shared" si="18"/>
        <v>0</v>
      </c>
      <c r="I17" s="34">
        <f t="shared" si="18"/>
        <v>37392078.496377669</v>
      </c>
      <c r="J17" s="34">
        <f t="shared" si="18"/>
        <v>37544418.45269981</v>
      </c>
      <c r="K17" s="34">
        <f t="shared" si="18"/>
        <v>37697379.0608612</v>
      </c>
      <c r="L17" s="34">
        <f t="shared" si="18"/>
        <v>37850962.849474259</v>
      </c>
      <c r="M17" s="34">
        <f t="shared" si="18"/>
        <v>38005172.357453287</v>
      </c>
      <c r="N17" s="34">
        <f t="shared" si="18"/>
        <v>38160010.134056441</v>
      </c>
      <c r="O17" s="34">
        <f t="shared" si="18"/>
        <v>38315478.738927864</v>
      </c>
      <c r="P17" s="34">
        <f t="shared" si="18"/>
        <v>38471580.742139995</v>
      </c>
      <c r="Q17" s="34">
        <f t="shared" si="18"/>
        <v>38628318.724236093</v>
      </c>
      <c r="R17" s="34">
        <f t="shared" si="18"/>
        <v>38785695.276272856</v>
      </c>
      <c r="S17" s="34">
        <f t="shared" si="18"/>
        <v>38943712.999863252</v>
      </c>
      <c r="T17" s="34">
        <f t="shared" si="18"/>
        <v>39102374.507219568</v>
      </c>
      <c r="U17" s="34">
        <f t="shared" si="18"/>
        <v>39261682.42119655</v>
      </c>
      <c r="V17" s="34">
        <f t="shared" si="18"/>
        <v>39421639.375334799</v>
      </c>
      <c r="W17" s="34">
        <f t="shared" si="18"/>
        <v>39582248.013904266</v>
      </c>
      <c r="X17" s="34">
        <f t="shared" si="18"/>
        <v>39743510.991947979</v>
      </c>
      <c r="Y17" s="34">
        <f t="shared" si="18"/>
        <v>39905430.975325949</v>
      </c>
      <c r="Z17" s="34">
        <f t="shared" si="18"/>
        <v>40068010.640759267</v>
      </c>
      <c r="AA17" s="34">
        <f t="shared" si="18"/>
        <v>40231252.675874256</v>
      </c>
      <c r="AB17" s="34">
        <f t="shared" si="18"/>
        <v>40395159.779246993</v>
      </c>
      <c r="AC17" s="34">
        <f t="shared" si="18"/>
        <v>40559734.660447903</v>
      </c>
      <c r="AD17" s="34">
        <f t="shared" si="18"/>
        <v>40724980.0400865</v>
      </c>
      <c r="AE17" s="34">
        <f t="shared" si="18"/>
        <v>40890898.649856418</v>
      </c>
      <c r="AF17" s="34">
        <f t="shared" si="18"/>
        <v>41057493.232580557</v>
      </c>
      <c r="AG17" s="34">
        <f t="shared" si="18"/>
        <v>41224766.542256385</v>
      </c>
      <c r="AH17" s="34">
        <f t="shared" si="18"/>
        <v>41392721.344101541</v>
      </c>
      <c r="AI17" s="34">
        <f t="shared" si="18"/>
        <v>13124640.130926078</v>
      </c>
      <c r="AJ17" s="34">
        <f t="shared" ref="AJ17:BO17" si="19">AJ13*D_AvgPrice*(1+in_rev_escalation_pct)^(AJ$4/12)*(1-in_rev_discount_pct)*AJ16</f>
        <v>0</v>
      </c>
      <c r="AK17" s="34">
        <f t="shared" si="19"/>
        <v>0</v>
      </c>
      <c r="AL17" s="34">
        <f t="shared" si="19"/>
        <v>0</v>
      </c>
      <c r="AM17" s="34">
        <f t="shared" si="19"/>
        <v>0</v>
      </c>
      <c r="AN17" s="34">
        <f t="shared" si="19"/>
        <v>0</v>
      </c>
      <c r="AO17" s="34">
        <f t="shared" si="19"/>
        <v>0</v>
      </c>
      <c r="AP17" s="34">
        <f t="shared" si="19"/>
        <v>0</v>
      </c>
      <c r="AQ17" s="34">
        <f t="shared" si="19"/>
        <v>0</v>
      </c>
      <c r="AR17" s="34">
        <f t="shared" si="19"/>
        <v>0</v>
      </c>
      <c r="AS17" s="34">
        <f t="shared" si="19"/>
        <v>0</v>
      </c>
      <c r="AT17" s="34">
        <f t="shared" si="19"/>
        <v>0</v>
      </c>
      <c r="AU17" s="34">
        <f t="shared" si="19"/>
        <v>0</v>
      </c>
      <c r="AV17" s="34">
        <f t="shared" si="19"/>
        <v>0</v>
      </c>
      <c r="AW17" s="34">
        <f t="shared" si="19"/>
        <v>0</v>
      </c>
      <c r="AX17" s="34">
        <f t="shared" si="19"/>
        <v>0</v>
      </c>
      <c r="AY17" s="34">
        <f t="shared" si="19"/>
        <v>0</v>
      </c>
      <c r="AZ17" s="34">
        <f t="shared" si="19"/>
        <v>0</v>
      </c>
      <c r="BA17" s="34">
        <f t="shared" si="19"/>
        <v>0</v>
      </c>
      <c r="BB17" s="34">
        <f t="shared" si="19"/>
        <v>0</v>
      </c>
      <c r="BC17" s="34">
        <f t="shared" si="19"/>
        <v>0</v>
      </c>
      <c r="BD17" s="34">
        <f t="shared" si="19"/>
        <v>0</v>
      </c>
      <c r="BE17" s="34">
        <f t="shared" si="19"/>
        <v>0</v>
      </c>
      <c r="BF17" s="34">
        <f t="shared" si="19"/>
        <v>0</v>
      </c>
      <c r="BG17" s="34">
        <f t="shared" si="19"/>
        <v>0</v>
      </c>
      <c r="BH17" s="34">
        <f t="shared" si="19"/>
        <v>0</v>
      </c>
      <c r="BI17" s="34">
        <f t="shared" si="19"/>
        <v>0</v>
      </c>
      <c r="BJ17" s="34">
        <f t="shared" si="19"/>
        <v>0</v>
      </c>
      <c r="BK17" s="34">
        <f t="shared" si="19"/>
        <v>0</v>
      </c>
      <c r="BL17" s="34">
        <f t="shared" si="19"/>
        <v>0</v>
      </c>
      <c r="BM17" s="34">
        <f t="shared" si="19"/>
        <v>0</v>
      </c>
      <c r="BN17" s="34">
        <f t="shared" si="19"/>
        <v>0</v>
      </c>
      <c r="BO17" s="34">
        <f t="shared" si="19"/>
        <v>0</v>
      </c>
      <c r="BP17" s="34">
        <f t="shared" ref="BP17:CU17" si="20">BP13*D_AvgPrice*(1+in_rev_escalation_pct)^(BP$4/12)*(1-in_rev_discount_pct)*BP16</f>
        <v>0</v>
      </c>
      <c r="BQ17" s="34">
        <f t="shared" si="20"/>
        <v>0</v>
      </c>
      <c r="BR17" s="34">
        <f t="shared" si="20"/>
        <v>0</v>
      </c>
      <c r="BS17" s="34">
        <f t="shared" si="20"/>
        <v>0</v>
      </c>
      <c r="BT17" s="34">
        <f t="shared" si="20"/>
        <v>0</v>
      </c>
      <c r="BU17" s="34">
        <f t="shared" si="20"/>
        <v>0</v>
      </c>
      <c r="BV17" s="34">
        <f t="shared" si="20"/>
        <v>0</v>
      </c>
      <c r="BW17" s="34">
        <f t="shared" si="20"/>
        <v>0</v>
      </c>
      <c r="BX17" s="34">
        <f t="shared" si="20"/>
        <v>0</v>
      </c>
      <c r="BY17" s="34">
        <f t="shared" si="20"/>
        <v>0</v>
      </c>
      <c r="BZ17" s="34">
        <f t="shared" si="20"/>
        <v>0</v>
      </c>
      <c r="CA17" s="34">
        <f t="shared" si="20"/>
        <v>0</v>
      </c>
      <c r="CB17" s="34">
        <f t="shared" si="20"/>
        <v>0</v>
      </c>
      <c r="CC17" s="34">
        <f t="shared" si="20"/>
        <v>0</v>
      </c>
      <c r="CD17" s="34">
        <f t="shared" si="20"/>
        <v>0</v>
      </c>
      <c r="CE17" s="34">
        <f t="shared" si="20"/>
        <v>0</v>
      </c>
      <c r="CF17" s="34">
        <f t="shared" si="20"/>
        <v>0</v>
      </c>
      <c r="CG17" s="34">
        <f t="shared" si="20"/>
        <v>0</v>
      </c>
      <c r="CH17" s="34">
        <f t="shared" si="20"/>
        <v>0</v>
      </c>
      <c r="CI17" s="34">
        <f t="shared" si="20"/>
        <v>0</v>
      </c>
      <c r="CJ17" s="34">
        <f t="shared" si="20"/>
        <v>0</v>
      </c>
      <c r="CK17" s="34">
        <f t="shared" si="20"/>
        <v>0</v>
      </c>
      <c r="CL17" s="34">
        <f t="shared" si="20"/>
        <v>0</v>
      </c>
      <c r="CM17" s="34">
        <f t="shared" si="20"/>
        <v>0</v>
      </c>
      <c r="CN17" s="34">
        <f t="shared" si="20"/>
        <v>0</v>
      </c>
      <c r="CO17" s="34">
        <f t="shared" si="20"/>
        <v>0</v>
      </c>
      <c r="CP17" s="34">
        <f t="shared" si="20"/>
        <v>0</v>
      </c>
      <c r="CQ17" s="34">
        <f t="shared" si="20"/>
        <v>0</v>
      </c>
      <c r="CR17" s="34">
        <f t="shared" si="20"/>
        <v>0</v>
      </c>
      <c r="CS17" s="34">
        <f t="shared" si="20"/>
        <v>0</v>
      </c>
      <c r="CT17" s="34">
        <f t="shared" si="20"/>
        <v>0</v>
      </c>
      <c r="CU17" s="34">
        <f t="shared" si="20"/>
        <v>0</v>
      </c>
    </row>
    <row r="18" spans="1:99" x14ac:dyDescent="0.3">
      <c r="A18" s="13" t="s">
        <v>360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  <c r="BP18" s="14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/>
      <c r="CS18" s="14"/>
      <c r="CT18" s="14"/>
      <c r="CU18" s="14"/>
    </row>
    <row r="19" spans="1:99" x14ac:dyDescent="0.3">
      <c r="A19" s="7" t="s">
        <v>361</v>
      </c>
      <c r="B19" s="21">
        <f>SUM(D19:CU19)</f>
        <v>103648135.18134277</v>
      </c>
      <c r="C19" s="11"/>
      <c r="D19" s="34">
        <f t="shared" ref="D19:AI19" si="21">IF(D$4&lt;T_Delivery,D17*in_rev_deposit_pct,0)</f>
        <v>0</v>
      </c>
      <c r="E19" s="34">
        <f t="shared" si="21"/>
        <v>0</v>
      </c>
      <c r="F19" s="34">
        <f t="shared" si="21"/>
        <v>0</v>
      </c>
      <c r="G19" s="34">
        <f t="shared" si="21"/>
        <v>0</v>
      </c>
      <c r="H19" s="34">
        <f t="shared" si="21"/>
        <v>0</v>
      </c>
      <c r="I19" s="34">
        <f t="shared" si="21"/>
        <v>3739207.8496377673</v>
      </c>
      <c r="J19" s="34">
        <f t="shared" si="21"/>
        <v>3754441.8452699813</v>
      </c>
      <c r="K19" s="34">
        <f t="shared" si="21"/>
        <v>3769737.9060861203</v>
      </c>
      <c r="L19" s="34">
        <f t="shared" si="21"/>
        <v>3785096.2849474261</v>
      </c>
      <c r="M19" s="34">
        <f t="shared" si="21"/>
        <v>3800517.2357453289</v>
      </c>
      <c r="N19" s="34">
        <f t="shared" si="21"/>
        <v>3816001.0134056443</v>
      </c>
      <c r="O19" s="34">
        <f t="shared" si="21"/>
        <v>3831547.8738927864</v>
      </c>
      <c r="P19" s="34">
        <f t="shared" si="21"/>
        <v>3847158.0742139998</v>
      </c>
      <c r="Q19" s="34">
        <f t="shared" si="21"/>
        <v>3862831.8724236097</v>
      </c>
      <c r="R19" s="34">
        <f t="shared" si="21"/>
        <v>3878569.5276272856</v>
      </c>
      <c r="S19" s="34">
        <f t="shared" si="21"/>
        <v>3894371.2999863252</v>
      </c>
      <c r="T19" s="34">
        <f t="shared" si="21"/>
        <v>3910237.4507219568</v>
      </c>
      <c r="U19" s="34">
        <f t="shared" si="21"/>
        <v>3926168.242119655</v>
      </c>
      <c r="V19" s="34">
        <f t="shared" si="21"/>
        <v>3942163.9375334801</v>
      </c>
      <c r="W19" s="34">
        <f t="shared" si="21"/>
        <v>3958224.8013904267</v>
      </c>
      <c r="X19" s="34">
        <f t="shared" si="21"/>
        <v>3974351.0991947982</v>
      </c>
      <c r="Y19" s="34">
        <f t="shared" si="21"/>
        <v>3990543.097532595</v>
      </c>
      <c r="Z19" s="34">
        <f t="shared" si="21"/>
        <v>4006801.0640759268</v>
      </c>
      <c r="AA19" s="34">
        <f t="shared" si="21"/>
        <v>4023125.2675874257</v>
      </c>
      <c r="AB19" s="34">
        <f t="shared" si="21"/>
        <v>4039515.9779246994</v>
      </c>
      <c r="AC19" s="34">
        <f t="shared" si="21"/>
        <v>4055973.4660447906</v>
      </c>
      <c r="AD19" s="34">
        <f t="shared" si="21"/>
        <v>4072498.0040086503</v>
      </c>
      <c r="AE19" s="34">
        <f t="shared" si="21"/>
        <v>4089089.864985642</v>
      </c>
      <c r="AF19" s="34">
        <f t="shared" si="21"/>
        <v>4105749.3232580558</v>
      </c>
      <c r="AG19" s="34">
        <f t="shared" si="21"/>
        <v>4122476.6542256386</v>
      </c>
      <c r="AH19" s="34">
        <f t="shared" si="21"/>
        <v>4139272.1344101541</v>
      </c>
      <c r="AI19" s="34">
        <f t="shared" si="21"/>
        <v>1312464.013092608</v>
      </c>
      <c r="AJ19" s="34">
        <f t="shared" ref="AJ19:BO19" si="22">IF(AJ$4&lt;T_Delivery,AJ17*in_rev_deposit_pct,0)</f>
        <v>0</v>
      </c>
      <c r="AK19" s="34">
        <f t="shared" si="22"/>
        <v>0</v>
      </c>
      <c r="AL19" s="34">
        <f t="shared" si="22"/>
        <v>0</v>
      </c>
      <c r="AM19" s="34">
        <f t="shared" si="22"/>
        <v>0</v>
      </c>
      <c r="AN19" s="34">
        <f t="shared" si="22"/>
        <v>0</v>
      </c>
      <c r="AO19" s="34">
        <f t="shared" si="22"/>
        <v>0</v>
      </c>
      <c r="AP19" s="34">
        <f t="shared" si="22"/>
        <v>0</v>
      </c>
      <c r="AQ19" s="34">
        <f t="shared" si="22"/>
        <v>0</v>
      </c>
      <c r="AR19" s="34">
        <f t="shared" si="22"/>
        <v>0</v>
      </c>
      <c r="AS19" s="34">
        <f t="shared" si="22"/>
        <v>0</v>
      </c>
      <c r="AT19" s="34">
        <f t="shared" si="22"/>
        <v>0</v>
      </c>
      <c r="AU19" s="34">
        <f t="shared" si="22"/>
        <v>0</v>
      </c>
      <c r="AV19" s="34">
        <f t="shared" si="22"/>
        <v>0</v>
      </c>
      <c r="AW19" s="34">
        <f t="shared" si="22"/>
        <v>0</v>
      </c>
      <c r="AX19" s="34">
        <f t="shared" si="22"/>
        <v>0</v>
      </c>
      <c r="AY19" s="34">
        <f t="shared" si="22"/>
        <v>0</v>
      </c>
      <c r="AZ19" s="34">
        <f t="shared" si="22"/>
        <v>0</v>
      </c>
      <c r="BA19" s="34">
        <f t="shared" si="22"/>
        <v>0</v>
      </c>
      <c r="BB19" s="34">
        <f t="shared" si="22"/>
        <v>0</v>
      </c>
      <c r="BC19" s="34">
        <f t="shared" si="22"/>
        <v>0</v>
      </c>
      <c r="BD19" s="34">
        <f t="shared" si="22"/>
        <v>0</v>
      </c>
      <c r="BE19" s="34">
        <f t="shared" si="22"/>
        <v>0</v>
      </c>
      <c r="BF19" s="34">
        <f t="shared" si="22"/>
        <v>0</v>
      </c>
      <c r="BG19" s="34">
        <f t="shared" si="22"/>
        <v>0</v>
      </c>
      <c r="BH19" s="34">
        <f t="shared" si="22"/>
        <v>0</v>
      </c>
      <c r="BI19" s="34">
        <f t="shared" si="22"/>
        <v>0</v>
      </c>
      <c r="BJ19" s="34">
        <f t="shared" si="22"/>
        <v>0</v>
      </c>
      <c r="BK19" s="34">
        <f t="shared" si="22"/>
        <v>0</v>
      </c>
      <c r="BL19" s="34">
        <f t="shared" si="22"/>
        <v>0</v>
      </c>
      <c r="BM19" s="34">
        <f t="shared" si="22"/>
        <v>0</v>
      </c>
      <c r="BN19" s="34">
        <f t="shared" si="22"/>
        <v>0</v>
      </c>
      <c r="BO19" s="34">
        <f t="shared" si="22"/>
        <v>0</v>
      </c>
      <c r="BP19" s="34">
        <f t="shared" ref="BP19:CU19" si="23">IF(BP$4&lt;T_Delivery,BP17*in_rev_deposit_pct,0)</f>
        <v>0</v>
      </c>
      <c r="BQ19" s="34">
        <f t="shared" si="23"/>
        <v>0</v>
      </c>
      <c r="BR19" s="34">
        <f t="shared" si="23"/>
        <v>0</v>
      </c>
      <c r="BS19" s="34">
        <f t="shared" si="23"/>
        <v>0</v>
      </c>
      <c r="BT19" s="34">
        <f t="shared" si="23"/>
        <v>0</v>
      </c>
      <c r="BU19" s="34">
        <f t="shared" si="23"/>
        <v>0</v>
      </c>
      <c r="BV19" s="34">
        <f t="shared" si="23"/>
        <v>0</v>
      </c>
      <c r="BW19" s="34">
        <f t="shared" si="23"/>
        <v>0</v>
      </c>
      <c r="BX19" s="34">
        <f t="shared" si="23"/>
        <v>0</v>
      </c>
      <c r="BY19" s="34">
        <f t="shared" si="23"/>
        <v>0</v>
      </c>
      <c r="BZ19" s="34">
        <f t="shared" si="23"/>
        <v>0</v>
      </c>
      <c r="CA19" s="34">
        <f t="shared" si="23"/>
        <v>0</v>
      </c>
      <c r="CB19" s="34">
        <f t="shared" si="23"/>
        <v>0</v>
      </c>
      <c r="CC19" s="34">
        <f t="shared" si="23"/>
        <v>0</v>
      </c>
      <c r="CD19" s="34">
        <f t="shared" si="23"/>
        <v>0</v>
      </c>
      <c r="CE19" s="34">
        <f t="shared" si="23"/>
        <v>0</v>
      </c>
      <c r="CF19" s="34">
        <f t="shared" si="23"/>
        <v>0</v>
      </c>
      <c r="CG19" s="34">
        <f t="shared" si="23"/>
        <v>0</v>
      </c>
      <c r="CH19" s="34">
        <f t="shared" si="23"/>
        <v>0</v>
      </c>
      <c r="CI19" s="34">
        <f t="shared" si="23"/>
        <v>0</v>
      </c>
      <c r="CJ19" s="34">
        <f t="shared" si="23"/>
        <v>0</v>
      </c>
      <c r="CK19" s="34">
        <f t="shared" si="23"/>
        <v>0</v>
      </c>
      <c r="CL19" s="34">
        <f t="shared" si="23"/>
        <v>0</v>
      </c>
      <c r="CM19" s="34">
        <f t="shared" si="23"/>
        <v>0</v>
      </c>
      <c r="CN19" s="34">
        <f t="shared" si="23"/>
        <v>0</v>
      </c>
      <c r="CO19" s="34">
        <f t="shared" si="23"/>
        <v>0</v>
      </c>
      <c r="CP19" s="34">
        <f t="shared" si="23"/>
        <v>0</v>
      </c>
      <c r="CQ19" s="34">
        <f t="shared" si="23"/>
        <v>0</v>
      </c>
      <c r="CR19" s="34">
        <f t="shared" si="23"/>
        <v>0</v>
      </c>
      <c r="CS19" s="34">
        <f t="shared" si="23"/>
        <v>0</v>
      </c>
      <c r="CT19" s="34">
        <f t="shared" si="23"/>
        <v>0</v>
      </c>
      <c r="CU19" s="34">
        <f t="shared" si="23"/>
        <v>0</v>
      </c>
    </row>
    <row r="20" spans="1:99" x14ac:dyDescent="0.3">
      <c r="A20" s="7" t="s">
        <v>362</v>
      </c>
      <c r="B20" s="1"/>
      <c r="C20" s="11"/>
      <c r="D20" s="34">
        <f t="shared" ref="D20:AI20" si="24">IF(AND(D$4&lt;T_Delivery,T_Delivery-D$4-1&gt;0),D17*in_rev_installments_pct/(T_Delivery-D$4-1),0)</f>
        <v>0</v>
      </c>
      <c r="E20" s="34">
        <f t="shared" si="24"/>
        <v>0</v>
      </c>
      <c r="F20" s="34">
        <f t="shared" si="24"/>
        <v>0</v>
      </c>
      <c r="G20" s="34">
        <f t="shared" si="24"/>
        <v>0</v>
      </c>
      <c r="H20" s="34">
        <f t="shared" si="24"/>
        <v>0</v>
      </c>
      <c r="I20" s="34">
        <f t="shared" si="24"/>
        <v>287631.37304905901</v>
      </c>
      <c r="J20" s="34">
        <f t="shared" si="24"/>
        <v>300355.34762159851</v>
      </c>
      <c r="K20" s="34">
        <f t="shared" si="24"/>
        <v>314144.82550717669</v>
      </c>
      <c r="L20" s="34">
        <f t="shared" si="24"/>
        <v>329138.80738673272</v>
      </c>
      <c r="M20" s="34">
        <f t="shared" si="24"/>
        <v>345501.56688593898</v>
      </c>
      <c r="N20" s="34">
        <f t="shared" si="24"/>
        <v>363428.66794339468</v>
      </c>
      <c r="O20" s="34">
        <f t="shared" si="24"/>
        <v>383154.78738927864</v>
      </c>
      <c r="P20" s="34">
        <f t="shared" si="24"/>
        <v>404964.007812</v>
      </c>
      <c r="Q20" s="34">
        <f t="shared" si="24"/>
        <v>429203.54138040106</v>
      </c>
      <c r="R20" s="34">
        <f t="shared" si="24"/>
        <v>456302.29736791598</v>
      </c>
      <c r="S20" s="34">
        <f t="shared" si="24"/>
        <v>486796.41249829065</v>
      </c>
      <c r="T20" s="34">
        <f t="shared" si="24"/>
        <v>521364.99342959427</v>
      </c>
      <c r="U20" s="34">
        <f t="shared" si="24"/>
        <v>560881.177445665</v>
      </c>
      <c r="V20" s="34">
        <f t="shared" si="24"/>
        <v>606486.75962053542</v>
      </c>
      <c r="W20" s="34">
        <f t="shared" si="24"/>
        <v>659704.13356507116</v>
      </c>
      <c r="X20" s="34">
        <f t="shared" si="24"/>
        <v>722609.29076269059</v>
      </c>
      <c r="Y20" s="34">
        <f t="shared" si="24"/>
        <v>798108.61950651905</v>
      </c>
      <c r="Z20" s="34">
        <f t="shared" si="24"/>
        <v>890400.23646131705</v>
      </c>
      <c r="AA20" s="34">
        <f t="shared" si="24"/>
        <v>1005781.3168968564</v>
      </c>
      <c r="AB20" s="34">
        <f t="shared" si="24"/>
        <v>1154147.4222641999</v>
      </c>
      <c r="AC20" s="34">
        <f t="shared" si="24"/>
        <v>1351991.1553482634</v>
      </c>
      <c r="AD20" s="34">
        <f t="shared" si="24"/>
        <v>1628999.2016034601</v>
      </c>
      <c r="AE20" s="34">
        <f t="shared" si="24"/>
        <v>2044544.932492821</v>
      </c>
      <c r="AF20" s="34">
        <f t="shared" si="24"/>
        <v>2737166.2155053704</v>
      </c>
      <c r="AG20" s="34">
        <f t="shared" si="24"/>
        <v>4122476.6542256386</v>
      </c>
      <c r="AH20" s="34">
        <f t="shared" si="24"/>
        <v>8278544.2688203081</v>
      </c>
      <c r="AI20" s="34">
        <f t="shared" si="24"/>
        <v>0</v>
      </c>
      <c r="AJ20" s="34">
        <f t="shared" ref="AJ20:BO20" si="25">IF(AND(AJ$4&lt;T_Delivery,T_Delivery-AJ$4-1&gt;0),AJ17*in_rev_installments_pct/(T_Delivery-AJ$4-1),0)</f>
        <v>0</v>
      </c>
      <c r="AK20" s="34">
        <f t="shared" si="25"/>
        <v>0</v>
      </c>
      <c r="AL20" s="34">
        <f t="shared" si="25"/>
        <v>0</v>
      </c>
      <c r="AM20" s="34">
        <f t="shared" si="25"/>
        <v>0</v>
      </c>
      <c r="AN20" s="34">
        <f t="shared" si="25"/>
        <v>0</v>
      </c>
      <c r="AO20" s="34">
        <f t="shared" si="25"/>
        <v>0</v>
      </c>
      <c r="AP20" s="34">
        <f t="shared" si="25"/>
        <v>0</v>
      </c>
      <c r="AQ20" s="34">
        <f t="shared" si="25"/>
        <v>0</v>
      </c>
      <c r="AR20" s="34">
        <f t="shared" si="25"/>
        <v>0</v>
      </c>
      <c r="AS20" s="34">
        <f t="shared" si="25"/>
        <v>0</v>
      </c>
      <c r="AT20" s="34">
        <f t="shared" si="25"/>
        <v>0</v>
      </c>
      <c r="AU20" s="34">
        <f t="shared" si="25"/>
        <v>0</v>
      </c>
      <c r="AV20" s="34">
        <f t="shared" si="25"/>
        <v>0</v>
      </c>
      <c r="AW20" s="34">
        <f t="shared" si="25"/>
        <v>0</v>
      </c>
      <c r="AX20" s="34">
        <f t="shared" si="25"/>
        <v>0</v>
      </c>
      <c r="AY20" s="34">
        <f t="shared" si="25"/>
        <v>0</v>
      </c>
      <c r="AZ20" s="34">
        <f t="shared" si="25"/>
        <v>0</v>
      </c>
      <c r="BA20" s="34">
        <f t="shared" si="25"/>
        <v>0</v>
      </c>
      <c r="BB20" s="34">
        <f t="shared" si="25"/>
        <v>0</v>
      </c>
      <c r="BC20" s="34">
        <f t="shared" si="25"/>
        <v>0</v>
      </c>
      <c r="BD20" s="34">
        <f t="shared" si="25"/>
        <v>0</v>
      </c>
      <c r="BE20" s="34">
        <f t="shared" si="25"/>
        <v>0</v>
      </c>
      <c r="BF20" s="34">
        <f t="shared" si="25"/>
        <v>0</v>
      </c>
      <c r="BG20" s="34">
        <f t="shared" si="25"/>
        <v>0</v>
      </c>
      <c r="BH20" s="34">
        <f t="shared" si="25"/>
        <v>0</v>
      </c>
      <c r="BI20" s="34">
        <f t="shared" si="25"/>
        <v>0</v>
      </c>
      <c r="BJ20" s="34">
        <f t="shared" si="25"/>
        <v>0</v>
      </c>
      <c r="BK20" s="34">
        <f t="shared" si="25"/>
        <v>0</v>
      </c>
      <c r="BL20" s="34">
        <f t="shared" si="25"/>
        <v>0</v>
      </c>
      <c r="BM20" s="34">
        <f t="shared" si="25"/>
        <v>0</v>
      </c>
      <c r="BN20" s="34">
        <f t="shared" si="25"/>
        <v>0</v>
      </c>
      <c r="BO20" s="34">
        <f t="shared" si="25"/>
        <v>0</v>
      </c>
      <c r="BP20" s="34">
        <f t="shared" ref="BP20:CU20" si="26">IF(AND(BP$4&lt;T_Delivery,T_Delivery-BP$4-1&gt;0),BP17*in_rev_installments_pct/(T_Delivery-BP$4-1),0)</f>
        <v>0</v>
      </c>
      <c r="BQ20" s="34">
        <f t="shared" si="26"/>
        <v>0</v>
      </c>
      <c r="BR20" s="34">
        <f t="shared" si="26"/>
        <v>0</v>
      </c>
      <c r="BS20" s="34">
        <f t="shared" si="26"/>
        <v>0</v>
      </c>
      <c r="BT20" s="34">
        <f t="shared" si="26"/>
        <v>0</v>
      </c>
      <c r="BU20" s="34">
        <f t="shared" si="26"/>
        <v>0</v>
      </c>
      <c r="BV20" s="34">
        <f t="shared" si="26"/>
        <v>0</v>
      </c>
      <c r="BW20" s="34">
        <f t="shared" si="26"/>
        <v>0</v>
      </c>
      <c r="BX20" s="34">
        <f t="shared" si="26"/>
        <v>0</v>
      </c>
      <c r="BY20" s="34">
        <f t="shared" si="26"/>
        <v>0</v>
      </c>
      <c r="BZ20" s="34">
        <f t="shared" si="26"/>
        <v>0</v>
      </c>
      <c r="CA20" s="34">
        <f t="shared" si="26"/>
        <v>0</v>
      </c>
      <c r="CB20" s="34">
        <f t="shared" si="26"/>
        <v>0</v>
      </c>
      <c r="CC20" s="34">
        <f t="shared" si="26"/>
        <v>0</v>
      </c>
      <c r="CD20" s="34">
        <f t="shared" si="26"/>
        <v>0</v>
      </c>
      <c r="CE20" s="34">
        <f t="shared" si="26"/>
        <v>0</v>
      </c>
      <c r="CF20" s="34">
        <f t="shared" si="26"/>
        <v>0</v>
      </c>
      <c r="CG20" s="34">
        <f t="shared" si="26"/>
        <v>0</v>
      </c>
      <c r="CH20" s="34">
        <f t="shared" si="26"/>
        <v>0</v>
      </c>
      <c r="CI20" s="34">
        <f t="shared" si="26"/>
        <v>0</v>
      </c>
      <c r="CJ20" s="34">
        <f t="shared" si="26"/>
        <v>0</v>
      </c>
      <c r="CK20" s="34">
        <f t="shared" si="26"/>
        <v>0</v>
      </c>
      <c r="CL20" s="34">
        <f t="shared" si="26"/>
        <v>0</v>
      </c>
      <c r="CM20" s="34">
        <f t="shared" si="26"/>
        <v>0</v>
      </c>
      <c r="CN20" s="34">
        <f t="shared" si="26"/>
        <v>0</v>
      </c>
      <c r="CO20" s="34">
        <f t="shared" si="26"/>
        <v>0</v>
      </c>
      <c r="CP20" s="34">
        <f t="shared" si="26"/>
        <v>0</v>
      </c>
      <c r="CQ20" s="34">
        <f t="shared" si="26"/>
        <v>0</v>
      </c>
      <c r="CR20" s="34">
        <f t="shared" si="26"/>
        <v>0</v>
      </c>
      <c r="CS20" s="34">
        <f t="shared" si="26"/>
        <v>0</v>
      </c>
      <c r="CT20" s="34">
        <f t="shared" si="26"/>
        <v>0</v>
      </c>
      <c r="CU20" s="34">
        <f t="shared" si="26"/>
        <v>0</v>
      </c>
    </row>
    <row r="21" spans="1:99" x14ac:dyDescent="0.3">
      <c r="A21" s="7" t="s">
        <v>363</v>
      </c>
      <c r="B21" s="21">
        <f>SUM(D21:CU21)</f>
        <v>204671342.33650035</v>
      </c>
      <c r="C21" s="11"/>
      <c r="D21" s="34">
        <f t="shared" ref="D21:AI21" si="27">IF(D$4&lt;T_Delivery,SUMPRODUCT(($D$4:$CU$4&lt;D$4)*$D$20:$CU$20),0)</f>
        <v>0</v>
      </c>
      <c r="E21" s="34">
        <f t="shared" si="27"/>
        <v>0</v>
      </c>
      <c r="F21" s="34">
        <f t="shared" si="27"/>
        <v>0</v>
      </c>
      <c r="G21" s="34">
        <f t="shared" si="27"/>
        <v>0</v>
      </c>
      <c r="H21" s="34">
        <f t="shared" si="27"/>
        <v>0</v>
      </c>
      <c r="I21" s="34">
        <f t="shared" si="27"/>
        <v>0</v>
      </c>
      <c r="J21" s="34">
        <f t="shared" si="27"/>
        <v>287631.37304905901</v>
      </c>
      <c r="K21" s="34">
        <f t="shared" si="27"/>
        <v>587986.72067065747</v>
      </c>
      <c r="L21" s="34">
        <f t="shared" si="27"/>
        <v>902131.54617783416</v>
      </c>
      <c r="M21" s="34">
        <f t="shared" si="27"/>
        <v>1231270.3535645669</v>
      </c>
      <c r="N21" s="34">
        <f t="shared" si="27"/>
        <v>1576771.9204505058</v>
      </c>
      <c r="O21" s="34">
        <f t="shared" si="27"/>
        <v>1940200.5883939005</v>
      </c>
      <c r="P21" s="34">
        <f t="shared" si="27"/>
        <v>2323355.375783179</v>
      </c>
      <c r="Q21" s="34">
        <f t="shared" si="27"/>
        <v>2728319.3835951788</v>
      </c>
      <c r="R21" s="34">
        <f t="shared" si="27"/>
        <v>3157522.9249755801</v>
      </c>
      <c r="S21" s="34">
        <f t="shared" si="27"/>
        <v>3613825.222343496</v>
      </c>
      <c r="T21" s="34">
        <f t="shared" si="27"/>
        <v>4100621.6348417867</v>
      </c>
      <c r="U21" s="34">
        <f t="shared" si="27"/>
        <v>4621986.6282713814</v>
      </c>
      <c r="V21" s="34">
        <f t="shared" si="27"/>
        <v>5182867.8057170464</v>
      </c>
      <c r="W21" s="34">
        <f t="shared" si="27"/>
        <v>5789354.5653375816</v>
      </c>
      <c r="X21" s="34">
        <f t="shared" si="27"/>
        <v>6449058.6989026526</v>
      </c>
      <c r="Y21" s="34">
        <f t="shared" si="27"/>
        <v>7171667.9896653434</v>
      </c>
      <c r="Z21" s="34">
        <f t="shared" si="27"/>
        <v>7969776.6091718627</v>
      </c>
      <c r="AA21" s="34">
        <f t="shared" si="27"/>
        <v>8860176.8456331789</v>
      </c>
      <c r="AB21" s="34">
        <f t="shared" si="27"/>
        <v>9865958.1625300348</v>
      </c>
      <c r="AC21" s="34">
        <f t="shared" si="27"/>
        <v>11020105.584794234</v>
      </c>
      <c r="AD21" s="34">
        <f t="shared" si="27"/>
        <v>12372096.740142498</v>
      </c>
      <c r="AE21" s="34">
        <f t="shared" si="27"/>
        <v>14001095.941745959</v>
      </c>
      <c r="AF21" s="34">
        <f t="shared" si="27"/>
        <v>16045640.87423878</v>
      </c>
      <c r="AG21" s="34">
        <f t="shared" si="27"/>
        <v>18782807.089744151</v>
      </c>
      <c r="AH21" s="34">
        <f t="shared" si="27"/>
        <v>22905283.743969791</v>
      </c>
      <c r="AI21" s="34">
        <f t="shared" si="27"/>
        <v>31183828.012790099</v>
      </c>
      <c r="AJ21" s="34">
        <f t="shared" ref="AJ21:BO21" si="28">IF(AJ$4&lt;T_Delivery,SUMPRODUCT(($D$4:$CU$4&lt;AJ$4)*$D$20:$CU$20),0)</f>
        <v>0</v>
      </c>
      <c r="AK21" s="34">
        <f t="shared" si="28"/>
        <v>0</v>
      </c>
      <c r="AL21" s="34">
        <f t="shared" si="28"/>
        <v>0</v>
      </c>
      <c r="AM21" s="34">
        <f t="shared" si="28"/>
        <v>0</v>
      </c>
      <c r="AN21" s="34">
        <f t="shared" si="28"/>
        <v>0</v>
      </c>
      <c r="AO21" s="34">
        <f t="shared" si="28"/>
        <v>0</v>
      </c>
      <c r="AP21" s="34">
        <f t="shared" si="28"/>
        <v>0</v>
      </c>
      <c r="AQ21" s="34">
        <f t="shared" si="28"/>
        <v>0</v>
      </c>
      <c r="AR21" s="34">
        <f t="shared" si="28"/>
        <v>0</v>
      </c>
      <c r="AS21" s="34">
        <f t="shared" si="28"/>
        <v>0</v>
      </c>
      <c r="AT21" s="34">
        <f t="shared" si="28"/>
        <v>0</v>
      </c>
      <c r="AU21" s="34">
        <f t="shared" si="28"/>
        <v>0</v>
      </c>
      <c r="AV21" s="34">
        <f t="shared" si="28"/>
        <v>0</v>
      </c>
      <c r="AW21" s="34">
        <f t="shared" si="28"/>
        <v>0</v>
      </c>
      <c r="AX21" s="34">
        <f t="shared" si="28"/>
        <v>0</v>
      </c>
      <c r="AY21" s="34">
        <f t="shared" si="28"/>
        <v>0</v>
      </c>
      <c r="AZ21" s="34">
        <f t="shared" si="28"/>
        <v>0</v>
      </c>
      <c r="BA21" s="34">
        <f t="shared" si="28"/>
        <v>0</v>
      </c>
      <c r="BB21" s="34">
        <f t="shared" si="28"/>
        <v>0</v>
      </c>
      <c r="BC21" s="34">
        <f t="shared" si="28"/>
        <v>0</v>
      </c>
      <c r="BD21" s="34">
        <f t="shared" si="28"/>
        <v>0</v>
      </c>
      <c r="BE21" s="34">
        <f t="shared" si="28"/>
        <v>0</v>
      </c>
      <c r="BF21" s="34">
        <f t="shared" si="28"/>
        <v>0</v>
      </c>
      <c r="BG21" s="34">
        <f t="shared" si="28"/>
        <v>0</v>
      </c>
      <c r="BH21" s="34">
        <f t="shared" si="28"/>
        <v>0</v>
      </c>
      <c r="BI21" s="34">
        <f t="shared" si="28"/>
        <v>0</v>
      </c>
      <c r="BJ21" s="34">
        <f t="shared" si="28"/>
        <v>0</v>
      </c>
      <c r="BK21" s="34">
        <f t="shared" si="28"/>
        <v>0</v>
      </c>
      <c r="BL21" s="34">
        <f t="shared" si="28"/>
        <v>0</v>
      </c>
      <c r="BM21" s="34">
        <f t="shared" si="28"/>
        <v>0</v>
      </c>
      <c r="BN21" s="34">
        <f t="shared" si="28"/>
        <v>0</v>
      </c>
      <c r="BO21" s="34">
        <f t="shared" si="28"/>
        <v>0</v>
      </c>
      <c r="BP21" s="34">
        <f t="shared" ref="BP21:CU21" si="29">IF(BP$4&lt;T_Delivery,SUMPRODUCT(($D$4:$CU$4&lt;BP$4)*$D$20:$CU$20),0)</f>
        <v>0</v>
      </c>
      <c r="BQ21" s="34">
        <f t="shared" si="29"/>
        <v>0</v>
      </c>
      <c r="BR21" s="34">
        <f t="shared" si="29"/>
        <v>0</v>
      </c>
      <c r="BS21" s="34">
        <f t="shared" si="29"/>
        <v>0</v>
      </c>
      <c r="BT21" s="34">
        <f t="shared" si="29"/>
        <v>0</v>
      </c>
      <c r="BU21" s="34">
        <f t="shared" si="29"/>
        <v>0</v>
      </c>
      <c r="BV21" s="34">
        <f t="shared" si="29"/>
        <v>0</v>
      </c>
      <c r="BW21" s="34">
        <f t="shared" si="29"/>
        <v>0</v>
      </c>
      <c r="BX21" s="34">
        <f t="shared" si="29"/>
        <v>0</v>
      </c>
      <c r="BY21" s="34">
        <f t="shared" si="29"/>
        <v>0</v>
      </c>
      <c r="BZ21" s="34">
        <f t="shared" si="29"/>
        <v>0</v>
      </c>
      <c r="CA21" s="34">
        <f t="shared" si="29"/>
        <v>0</v>
      </c>
      <c r="CB21" s="34">
        <f t="shared" si="29"/>
        <v>0</v>
      </c>
      <c r="CC21" s="34">
        <f t="shared" si="29"/>
        <v>0</v>
      </c>
      <c r="CD21" s="34">
        <f t="shared" si="29"/>
        <v>0</v>
      </c>
      <c r="CE21" s="34">
        <f t="shared" si="29"/>
        <v>0</v>
      </c>
      <c r="CF21" s="34">
        <f t="shared" si="29"/>
        <v>0</v>
      </c>
      <c r="CG21" s="34">
        <f t="shared" si="29"/>
        <v>0</v>
      </c>
      <c r="CH21" s="34">
        <f t="shared" si="29"/>
        <v>0</v>
      </c>
      <c r="CI21" s="34">
        <f t="shared" si="29"/>
        <v>0</v>
      </c>
      <c r="CJ21" s="34">
        <f t="shared" si="29"/>
        <v>0</v>
      </c>
      <c r="CK21" s="34">
        <f t="shared" si="29"/>
        <v>0</v>
      </c>
      <c r="CL21" s="34">
        <f t="shared" si="29"/>
        <v>0</v>
      </c>
      <c r="CM21" s="34">
        <f t="shared" si="29"/>
        <v>0</v>
      </c>
      <c r="CN21" s="34">
        <f t="shared" si="29"/>
        <v>0</v>
      </c>
      <c r="CO21" s="34">
        <f t="shared" si="29"/>
        <v>0</v>
      </c>
      <c r="CP21" s="34">
        <f t="shared" si="29"/>
        <v>0</v>
      </c>
      <c r="CQ21" s="34">
        <f t="shared" si="29"/>
        <v>0</v>
      </c>
      <c r="CR21" s="34">
        <f t="shared" si="29"/>
        <v>0</v>
      </c>
      <c r="CS21" s="34">
        <f t="shared" si="29"/>
        <v>0</v>
      </c>
      <c r="CT21" s="34">
        <f t="shared" si="29"/>
        <v>0</v>
      </c>
      <c r="CU21" s="34">
        <f t="shared" si="29"/>
        <v>0</v>
      </c>
    </row>
    <row r="22" spans="1:99" x14ac:dyDescent="0.3">
      <c r="A22" s="7" t="s">
        <v>364</v>
      </c>
      <c r="B22" s="21">
        <f>SUM(D22:CU22)</f>
        <v>728161874.29558468</v>
      </c>
      <c r="C22" s="11"/>
      <c r="D22" s="34">
        <f t="shared" ref="D22:AI22" si="30">IF(D$4=T_Delivery,in_rev_closing_pct*SUMPRODUCT(($D$4:$CU$4&lt;T_Delivery)*$D$17:$CU$17)+in_rev_installments_pct*SUMPRODUCT(($D$4:$CU$4=T_Delivery-1)*$D$17:$CU$17),0)</f>
        <v>0</v>
      </c>
      <c r="E22" s="34">
        <f t="shared" si="30"/>
        <v>0</v>
      </c>
      <c r="F22" s="34">
        <f t="shared" si="30"/>
        <v>0</v>
      </c>
      <c r="G22" s="34">
        <f t="shared" si="30"/>
        <v>0</v>
      </c>
      <c r="H22" s="34">
        <f t="shared" si="30"/>
        <v>0</v>
      </c>
      <c r="I22" s="34">
        <f t="shared" si="30"/>
        <v>0</v>
      </c>
      <c r="J22" s="34">
        <f t="shared" si="30"/>
        <v>0</v>
      </c>
      <c r="K22" s="34">
        <f t="shared" si="30"/>
        <v>0</v>
      </c>
      <c r="L22" s="34">
        <f t="shared" si="30"/>
        <v>0</v>
      </c>
      <c r="M22" s="34">
        <f t="shared" si="30"/>
        <v>0</v>
      </c>
      <c r="N22" s="34">
        <f t="shared" si="30"/>
        <v>0</v>
      </c>
      <c r="O22" s="34">
        <f t="shared" si="30"/>
        <v>0</v>
      </c>
      <c r="P22" s="34">
        <f t="shared" si="30"/>
        <v>0</v>
      </c>
      <c r="Q22" s="34">
        <f t="shared" si="30"/>
        <v>0</v>
      </c>
      <c r="R22" s="34">
        <f t="shared" si="30"/>
        <v>0</v>
      </c>
      <c r="S22" s="34">
        <f t="shared" si="30"/>
        <v>0</v>
      </c>
      <c r="T22" s="34">
        <f t="shared" si="30"/>
        <v>0</v>
      </c>
      <c r="U22" s="34">
        <f t="shared" si="30"/>
        <v>0</v>
      </c>
      <c r="V22" s="34">
        <f t="shared" si="30"/>
        <v>0</v>
      </c>
      <c r="W22" s="34">
        <f t="shared" si="30"/>
        <v>0</v>
      </c>
      <c r="X22" s="34">
        <f t="shared" si="30"/>
        <v>0</v>
      </c>
      <c r="Y22" s="34">
        <f t="shared" si="30"/>
        <v>0</v>
      </c>
      <c r="Z22" s="34">
        <f t="shared" si="30"/>
        <v>0</v>
      </c>
      <c r="AA22" s="34">
        <f t="shared" si="30"/>
        <v>0</v>
      </c>
      <c r="AB22" s="34">
        <f t="shared" si="30"/>
        <v>0</v>
      </c>
      <c r="AC22" s="34">
        <f t="shared" si="30"/>
        <v>0</v>
      </c>
      <c r="AD22" s="34">
        <f t="shared" si="30"/>
        <v>0</v>
      </c>
      <c r="AE22" s="34">
        <f t="shared" si="30"/>
        <v>0</v>
      </c>
      <c r="AF22" s="34">
        <f t="shared" si="30"/>
        <v>0</v>
      </c>
      <c r="AG22" s="34">
        <f t="shared" si="30"/>
        <v>0</v>
      </c>
      <c r="AH22" s="34">
        <f t="shared" si="30"/>
        <v>0</v>
      </c>
      <c r="AI22" s="34">
        <f t="shared" si="30"/>
        <v>0</v>
      </c>
      <c r="AJ22" s="34">
        <f t="shared" ref="AJ22:BO22" si="31">IF(AJ$4=T_Delivery,in_rev_closing_pct*SUMPRODUCT(($D$4:$CU$4&lt;T_Delivery)*$D$17:$CU$17)+in_rev_installments_pct*SUMPRODUCT(($D$4:$CU$4=T_Delivery-1)*$D$17:$CU$17),0)</f>
        <v>728161874.29558468</v>
      </c>
      <c r="AK22" s="34">
        <f t="shared" si="31"/>
        <v>0</v>
      </c>
      <c r="AL22" s="34">
        <f t="shared" si="31"/>
        <v>0</v>
      </c>
      <c r="AM22" s="34">
        <f t="shared" si="31"/>
        <v>0</v>
      </c>
      <c r="AN22" s="34">
        <f t="shared" si="31"/>
        <v>0</v>
      </c>
      <c r="AO22" s="34">
        <f t="shared" si="31"/>
        <v>0</v>
      </c>
      <c r="AP22" s="34">
        <f t="shared" si="31"/>
        <v>0</v>
      </c>
      <c r="AQ22" s="34">
        <f t="shared" si="31"/>
        <v>0</v>
      </c>
      <c r="AR22" s="34">
        <f t="shared" si="31"/>
        <v>0</v>
      </c>
      <c r="AS22" s="34">
        <f t="shared" si="31"/>
        <v>0</v>
      </c>
      <c r="AT22" s="34">
        <f t="shared" si="31"/>
        <v>0</v>
      </c>
      <c r="AU22" s="34">
        <f t="shared" si="31"/>
        <v>0</v>
      </c>
      <c r="AV22" s="34">
        <f t="shared" si="31"/>
        <v>0</v>
      </c>
      <c r="AW22" s="34">
        <f t="shared" si="31"/>
        <v>0</v>
      </c>
      <c r="AX22" s="34">
        <f t="shared" si="31"/>
        <v>0</v>
      </c>
      <c r="AY22" s="34">
        <f t="shared" si="31"/>
        <v>0</v>
      </c>
      <c r="AZ22" s="34">
        <f t="shared" si="31"/>
        <v>0</v>
      </c>
      <c r="BA22" s="34">
        <f t="shared" si="31"/>
        <v>0</v>
      </c>
      <c r="BB22" s="34">
        <f t="shared" si="31"/>
        <v>0</v>
      </c>
      <c r="BC22" s="34">
        <f t="shared" si="31"/>
        <v>0</v>
      </c>
      <c r="BD22" s="34">
        <f t="shared" si="31"/>
        <v>0</v>
      </c>
      <c r="BE22" s="34">
        <f t="shared" si="31"/>
        <v>0</v>
      </c>
      <c r="BF22" s="34">
        <f t="shared" si="31"/>
        <v>0</v>
      </c>
      <c r="BG22" s="34">
        <f t="shared" si="31"/>
        <v>0</v>
      </c>
      <c r="BH22" s="34">
        <f t="shared" si="31"/>
        <v>0</v>
      </c>
      <c r="BI22" s="34">
        <f t="shared" si="31"/>
        <v>0</v>
      </c>
      <c r="BJ22" s="34">
        <f t="shared" si="31"/>
        <v>0</v>
      </c>
      <c r="BK22" s="34">
        <f t="shared" si="31"/>
        <v>0</v>
      </c>
      <c r="BL22" s="34">
        <f t="shared" si="31"/>
        <v>0</v>
      </c>
      <c r="BM22" s="34">
        <f t="shared" si="31"/>
        <v>0</v>
      </c>
      <c r="BN22" s="34">
        <f t="shared" si="31"/>
        <v>0</v>
      </c>
      <c r="BO22" s="34">
        <f t="shared" si="31"/>
        <v>0</v>
      </c>
      <c r="BP22" s="34">
        <f t="shared" ref="BP22:CU22" si="32">IF(BP$4=T_Delivery,in_rev_closing_pct*SUMPRODUCT(($D$4:$CU$4&lt;T_Delivery)*$D$17:$CU$17)+in_rev_installments_pct*SUMPRODUCT(($D$4:$CU$4=T_Delivery-1)*$D$17:$CU$17),0)</f>
        <v>0</v>
      </c>
      <c r="BQ22" s="34">
        <f t="shared" si="32"/>
        <v>0</v>
      </c>
      <c r="BR22" s="34">
        <f t="shared" si="32"/>
        <v>0</v>
      </c>
      <c r="BS22" s="34">
        <f t="shared" si="32"/>
        <v>0</v>
      </c>
      <c r="BT22" s="34">
        <f t="shared" si="32"/>
        <v>0</v>
      </c>
      <c r="BU22" s="34">
        <f t="shared" si="32"/>
        <v>0</v>
      </c>
      <c r="BV22" s="34">
        <f t="shared" si="32"/>
        <v>0</v>
      </c>
      <c r="BW22" s="34">
        <f t="shared" si="32"/>
        <v>0</v>
      </c>
      <c r="BX22" s="34">
        <f t="shared" si="32"/>
        <v>0</v>
      </c>
      <c r="BY22" s="34">
        <f t="shared" si="32"/>
        <v>0</v>
      </c>
      <c r="BZ22" s="34">
        <f t="shared" si="32"/>
        <v>0</v>
      </c>
      <c r="CA22" s="34">
        <f t="shared" si="32"/>
        <v>0</v>
      </c>
      <c r="CB22" s="34">
        <f t="shared" si="32"/>
        <v>0</v>
      </c>
      <c r="CC22" s="34">
        <f t="shared" si="32"/>
        <v>0</v>
      </c>
      <c r="CD22" s="34">
        <f t="shared" si="32"/>
        <v>0</v>
      </c>
      <c r="CE22" s="34">
        <f t="shared" si="32"/>
        <v>0</v>
      </c>
      <c r="CF22" s="34">
        <f t="shared" si="32"/>
        <v>0</v>
      </c>
      <c r="CG22" s="34">
        <f t="shared" si="32"/>
        <v>0</v>
      </c>
      <c r="CH22" s="34">
        <f t="shared" si="32"/>
        <v>0</v>
      </c>
      <c r="CI22" s="34">
        <f t="shared" si="32"/>
        <v>0</v>
      </c>
      <c r="CJ22" s="34">
        <f t="shared" si="32"/>
        <v>0</v>
      </c>
      <c r="CK22" s="34">
        <f t="shared" si="32"/>
        <v>0</v>
      </c>
      <c r="CL22" s="34">
        <f t="shared" si="32"/>
        <v>0</v>
      </c>
      <c r="CM22" s="34">
        <f t="shared" si="32"/>
        <v>0</v>
      </c>
      <c r="CN22" s="34">
        <f t="shared" si="32"/>
        <v>0</v>
      </c>
      <c r="CO22" s="34">
        <f t="shared" si="32"/>
        <v>0</v>
      </c>
      <c r="CP22" s="34">
        <f t="shared" si="32"/>
        <v>0</v>
      </c>
      <c r="CQ22" s="34">
        <f t="shared" si="32"/>
        <v>0</v>
      </c>
      <c r="CR22" s="34">
        <f t="shared" si="32"/>
        <v>0</v>
      </c>
      <c r="CS22" s="34">
        <f t="shared" si="32"/>
        <v>0</v>
      </c>
      <c r="CT22" s="34">
        <f t="shared" si="32"/>
        <v>0</v>
      </c>
      <c r="CU22" s="34">
        <f t="shared" si="32"/>
        <v>0</v>
      </c>
    </row>
    <row r="23" spans="1:99" x14ac:dyDescent="0.3">
      <c r="A23" s="7" t="s">
        <v>365</v>
      </c>
      <c r="B23" s="21">
        <f>SUM(D23:CU23)</f>
        <v>0</v>
      </c>
      <c r="C23" s="11"/>
      <c r="D23" s="34">
        <f t="shared" ref="D23:AI23" si="33">IF(D$4&gt;=T_Delivery,D17,0)</f>
        <v>0</v>
      </c>
      <c r="E23" s="34">
        <f t="shared" si="33"/>
        <v>0</v>
      </c>
      <c r="F23" s="34">
        <f t="shared" si="33"/>
        <v>0</v>
      </c>
      <c r="G23" s="34">
        <f t="shared" si="33"/>
        <v>0</v>
      </c>
      <c r="H23" s="34">
        <f t="shared" si="33"/>
        <v>0</v>
      </c>
      <c r="I23" s="34">
        <f t="shared" si="33"/>
        <v>0</v>
      </c>
      <c r="J23" s="34">
        <f t="shared" si="33"/>
        <v>0</v>
      </c>
      <c r="K23" s="34">
        <f t="shared" si="33"/>
        <v>0</v>
      </c>
      <c r="L23" s="34">
        <f t="shared" si="33"/>
        <v>0</v>
      </c>
      <c r="M23" s="34">
        <f t="shared" si="33"/>
        <v>0</v>
      </c>
      <c r="N23" s="34">
        <f t="shared" si="33"/>
        <v>0</v>
      </c>
      <c r="O23" s="34">
        <f t="shared" si="33"/>
        <v>0</v>
      </c>
      <c r="P23" s="34">
        <f t="shared" si="33"/>
        <v>0</v>
      </c>
      <c r="Q23" s="34">
        <f t="shared" si="33"/>
        <v>0</v>
      </c>
      <c r="R23" s="34">
        <f t="shared" si="33"/>
        <v>0</v>
      </c>
      <c r="S23" s="34">
        <f t="shared" si="33"/>
        <v>0</v>
      </c>
      <c r="T23" s="34">
        <f t="shared" si="33"/>
        <v>0</v>
      </c>
      <c r="U23" s="34">
        <f t="shared" si="33"/>
        <v>0</v>
      </c>
      <c r="V23" s="34">
        <f t="shared" si="33"/>
        <v>0</v>
      </c>
      <c r="W23" s="34">
        <f t="shared" si="33"/>
        <v>0</v>
      </c>
      <c r="X23" s="34">
        <f t="shared" si="33"/>
        <v>0</v>
      </c>
      <c r="Y23" s="34">
        <f t="shared" si="33"/>
        <v>0</v>
      </c>
      <c r="Z23" s="34">
        <f t="shared" si="33"/>
        <v>0</v>
      </c>
      <c r="AA23" s="34">
        <f t="shared" si="33"/>
        <v>0</v>
      </c>
      <c r="AB23" s="34">
        <f t="shared" si="33"/>
        <v>0</v>
      </c>
      <c r="AC23" s="34">
        <f t="shared" si="33"/>
        <v>0</v>
      </c>
      <c r="AD23" s="34">
        <f t="shared" si="33"/>
        <v>0</v>
      </c>
      <c r="AE23" s="34">
        <f t="shared" si="33"/>
        <v>0</v>
      </c>
      <c r="AF23" s="34">
        <f t="shared" si="33"/>
        <v>0</v>
      </c>
      <c r="AG23" s="34">
        <f t="shared" si="33"/>
        <v>0</v>
      </c>
      <c r="AH23" s="34">
        <f t="shared" si="33"/>
        <v>0</v>
      </c>
      <c r="AI23" s="34">
        <f t="shared" si="33"/>
        <v>0</v>
      </c>
      <c r="AJ23" s="34">
        <f t="shared" ref="AJ23:BO23" si="34">IF(AJ$4&gt;=T_Delivery,AJ17,0)</f>
        <v>0</v>
      </c>
      <c r="AK23" s="34">
        <f t="shared" si="34"/>
        <v>0</v>
      </c>
      <c r="AL23" s="34">
        <f t="shared" si="34"/>
        <v>0</v>
      </c>
      <c r="AM23" s="34">
        <f t="shared" si="34"/>
        <v>0</v>
      </c>
      <c r="AN23" s="34">
        <f t="shared" si="34"/>
        <v>0</v>
      </c>
      <c r="AO23" s="34">
        <f t="shared" si="34"/>
        <v>0</v>
      </c>
      <c r="AP23" s="34">
        <f t="shared" si="34"/>
        <v>0</v>
      </c>
      <c r="AQ23" s="34">
        <f t="shared" si="34"/>
        <v>0</v>
      </c>
      <c r="AR23" s="34">
        <f t="shared" si="34"/>
        <v>0</v>
      </c>
      <c r="AS23" s="34">
        <f t="shared" si="34"/>
        <v>0</v>
      </c>
      <c r="AT23" s="34">
        <f t="shared" si="34"/>
        <v>0</v>
      </c>
      <c r="AU23" s="34">
        <f t="shared" si="34"/>
        <v>0</v>
      </c>
      <c r="AV23" s="34">
        <f t="shared" si="34"/>
        <v>0</v>
      </c>
      <c r="AW23" s="34">
        <f t="shared" si="34"/>
        <v>0</v>
      </c>
      <c r="AX23" s="34">
        <f t="shared" si="34"/>
        <v>0</v>
      </c>
      <c r="AY23" s="34">
        <f t="shared" si="34"/>
        <v>0</v>
      </c>
      <c r="AZ23" s="34">
        <f t="shared" si="34"/>
        <v>0</v>
      </c>
      <c r="BA23" s="34">
        <f t="shared" si="34"/>
        <v>0</v>
      </c>
      <c r="BB23" s="34">
        <f t="shared" si="34"/>
        <v>0</v>
      </c>
      <c r="BC23" s="34">
        <f t="shared" si="34"/>
        <v>0</v>
      </c>
      <c r="BD23" s="34">
        <f t="shared" si="34"/>
        <v>0</v>
      </c>
      <c r="BE23" s="34">
        <f t="shared" si="34"/>
        <v>0</v>
      </c>
      <c r="BF23" s="34">
        <f t="shared" si="34"/>
        <v>0</v>
      </c>
      <c r="BG23" s="34">
        <f t="shared" si="34"/>
        <v>0</v>
      </c>
      <c r="BH23" s="34">
        <f t="shared" si="34"/>
        <v>0</v>
      </c>
      <c r="BI23" s="34">
        <f t="shared" si="34"/>
        <v>0</v>
      </c>
      <c r="BJ23" s="34">
        <f t="shared" si="34"/>
        <v>0</v>
      </c>
      <c r="BK23" s="34">
        <f t="shared" si="34"/>
        <v>0</v>
      </c>
      <c r="BL23" s="34">
        <f t="shared" si="34"/>
        <v>0</v>
      </c>
      <c r="BM23" s="34">
        <f t="shared" si="34"/>
        <v>0</v>
      </c>
      <c r="BN23" s="34">
        <f t="shared" si="34"/>
        <v>0</v>
      </c>
      <c r="BO23" s="34">
        <f t="shared" si="34"/>
        <v>0</v>
      </c>
      <c r="BP23" s="34">
        <f t="shared" ref="BP23:CU23" si="35">IF(BP$4&gt;=T_Delivery,BP17,0)</f>
        <v>0</v>
      </c>
      <c r="BQ23" s="34">
        <f t="shared" si="35"/>
        <v>0</v>
      </c>
      <c r="BR23" s="34">
        <f t="shared" si="35"/>
        <v>0</v>
      </c>
      <c r="BS23" s="34">
        <f t="shared" si="35"/>
        <v>0</v>
      </c>
      <c r="BT23" s="34">
        <f t="shared" si="35"/>
        <v>0</v>
      </c>
      <c r="BU23" s="34">
        <f t="shared" si="35"/>
        <v>0</v>
      </c>
      <c r="BV23" s="34">
        <f t="shared" si="35"/>
        <v>0</v>
      </c>
      <c r="BW23" s="34">
        <f t="shared" si="35"/>
        <v>0</v>
      </c>
      <c r="BX23" s="34">
        <f t="shared" si="35"/>
        <v>0</v>
      </c>
      <c r="BY23" s="34">
        <f t="shared" si="35"/>
        <v>0</v>
      </c>
      <c r="BZ23" s="34">
        <f t="shared" si="35"/>
        <v>0</v>
      </c>
      <c r="CA23" s="34">
        <f t="shared" si="35"/>
        <v>0</v>
      </c>
      <c r="CB23" s="34">
        <f t="shared" si="35"/>
        <v>0</v>
      </c>
      <c r="CC23" s="34">
        <f t="shared" si="35"/>
        <v>0</v>
      </c>
      <c r="CD23" s="34">
        <f t="shared" si="35"/>
        <v>0</v>
      </c>
      <c r="CE23" s="34">
        <f t="shared" si="35"/>
        <v>0</v>
      </c>
      <c r="CF23" s="34">
        <f t="shared" si="35"/>
        <v>0</v>
      </c>
      <c r="CG23" s="34">
        <f t="shared" si="35"/>
        <v>0</v>
      </c>
      <c r="CH23" s="34">
        <f t="shared" si="35"/>
        <v>0</v>
      </c>
      <c r="CI23" s="34">
        <f t="shared" si="35"/>
        <v>0</v>
      </c>
      <c r="CJ23" s="34">
        <f t="shared" si="35"/>
        <v>0</v>
      </c>
      <c r="CK23" s="34">
        <f t="shared" si="35"/>
        <v>0</v>
      </c>
      <c r="CL23" s="34">
        <f t="shared" si="35"/>
        <v>0</v>
      </c>
      <c r="CM23" s="34">
        <f t="shared" si="35"/>
        <v>0</v>
      </c>
      <c r="CN23" s="34">
        <f t="shared" si="35"/>
        <v>0</v>
      </c>
      <c r="CO23" s="34">
        <f t="shared" si="35"/>
        <v>0</v>
      </c>
      <c r="CP23" s="34">
        <f t="shared" si="35"/>
        <v>0</v>
      </c>
      <c r="CQ23" s="34">
        <f t="shared" si="35"/>
        <v>0</v>
      </c>
      <c r="CR23" s="34">
        <f t="shared" si="35"/>
        <v>0</v>
      </c>
      <c r="CS23" s="34">
        <f t="shared" si="35"/>
        <v>0</v>
      </c>
      <c r="CT23" s="34">
        <f t="shared" si="35"/>
        <v>0</v>
      </c>
      <c r="CU23" s="34">
        <f t="shared" si="35"/>
        <v>0</v>
      </c>
    </row>
    <row r="24" spans="1:99" x14ac:dyDescent="0.3">
      <c r="A24" s="7" t="s">
        <v>366</v>
      </c>
      <c r="B24" s="21">
        <f>SUM(D24:CU24)</f>
        <v>0</v>
      </c>
      <c r="C24" s="11"/>
      <c r="D24" s="34">
        <f t="shared" ref="D24:AI24" si="36">D13*SUMPRODUCT((cv_effect="revenue_per_unit")*cv_value)</f>
        <v>0</v>
      </c>
      <c r="E24" s="34">
        <f t="shared" si="36"/>
        <v>0</v>
      </c>
      <c r="F24" s="34">
        <f t="shared" si="36"/>
        <v>0</v>
      </c>
      <c r="G24" s="34">
        <f t="shared" si="36"/>
        <v>0</v>
      </c>
      <c r="H24" s="34">
        <f t="shared" si="36"/>
        <v>0</v>
      </c>
      <c r="I24" s="34">
        <f t="shared" si="36"/>
        <v>0</v>
      </c>
      <c r="J24" s="34">
        <f t="shared" si="36"/>
        <v>0</v>
      </c>
      <c r="K24" s="34">
        <f t="shared" si="36"/>
        <v>0</v>
      </c>
      <c r="L24" s="34">
        <f t="shared" si="36"/>
        <v>0</v>
      </c>
      <c r="M24" s="34">
        <f t="shared" si="36"/>
        <v>0</v>
      </c>
      <c r="N24" s="34">
        <f t="shared" si="36"/>
        <v>0</v>
      </c>
      <c r="O24" s="34">
        <f t="shared" si="36"/>
        <v>0</v>
      </c>
      <c r="P24" s="34">
        <f t="shared" si="36"/>
        <v>0</v>
      </c>
      <c r="Q24" s="34">
        <f t="shared" si="36"/>
        <v>0</v>
      </c>
      <c r="R24" s="34">
        <f t="shared" si="36"/>
        <v>0</v>
      </c>
      <c r="S24" s="34">
        <f t="shared" si="36"/>
        <v>0</v>
      </c>
      <c r="T24" s="34">
        <f t="shared" si="36"/>
        <v>0</v>
      </c>
      <c r="U24" s="34">
        <f t="shared" si="36"/>
        <v>0</v>
      </c>
      <c r="V24" s="34">
        <f t="shared" si="36"/>
        <v>0</v>
      </c>
      <c r="W24" s="34">
        <f t="shared" si="36"/>
        <v>0</v>
      </c>
      <c r="X24" s="34">
        <f t="shared" si="36"/>
        <v>0</v>
      </c>
      <c r="Y24" s="34">
        <f t="shared" si="36"/>
        <v>0</v>
      </c>
      <c r="Z24" s="34">
        <f t="shared" si="36"/>
        <v>0</v>
      </c>
      <c r="AA24" s="34">
        <f t="shared" si="36"/>
        <v>0</v>
      </c>
      <c r="AB24" s="34">
        <f t="shared" si="36"/>
        <v>0</v>
      </c>
      <c r="AC24" s="34">
        <f t="shared" si="36"/>
        <v>0</v>
      </c>
      <c r="AD24" s="34">
        <f t="shared" si="36"/>
        <v>0</v>
      </c>
      <c r="AE24" s="34">
        <f t="shared" si="36"/>
        <v>0</v>
      </c>
      <c r="AF24" s="34">
        <f t="shared" si="36"/>
        <v>0</v>
      </c>
      <c r="AG24" s="34">
        <f t="shared" si="36"/>
        <v>0</v>
      </c>
      <c r="AH24" s="34">
        <f t="shared" si="36"/>
        <v>0</v>
      </c>
      <c r="AI24" s="34">
        <f t="shared" si="36"/>
        <v>0</v>
      </c>
      <c r="AJ24" s="34">
        <f t="shared" ref="AJ24:BO24" si="37">AJ13*SUMPRODUCT((cv_effect="revenue_per_unit")*cv_value)</f>
        <v>0</v>
      </c>
      <c r="AK24" s="34">
        <f t="shared" si="37"/>
        <v>0</v>
      </c>
      <c r="AL24" s="34">
        <f t="shared" si="37"/>
        <v>0</v>
      </c>
      <c r="AM24" s="34">
        <f t="shared" si="37"/>
        <v>0</v>
      </c>
      <c r="AN24" s="34">
        <f t="shared" si="37"/>
        <v>0</v>
      </c>
      <c r="AO24" s="34">
        <f t="shared" si="37"/>
        <v>0</v>
      </c>
      <c r="AP24" s="34">
        <f t="shared" si="37"/>
        <v>0</v>
      </c>
      <c r="AQ24" s="34">
        <f t="shared" si="37"/>
        <v>0</v>
      </c>
      <c r="AR24" s="34">
        <f t="shared" si="37"/>
        <v>0</v>
      </c>
      <c r="AS24" s="34">
        <f t="shared" si="37"/>
        <v>0</v>
      </c>
      <c r="AT24" s="34">
        <f t="shared" si="37"/>
        <v>0</v>
      </c>
      <c r="AU24" s="34">
        <f t="shared" si="37"/>
        <v>0</v>
      </c>
      <c r="AV24" s="34">
        <f t="shared" si="37"/>
        <v>0</v>
      </c>
      <c r="AW24" s="34">
        <f t="shared" si="37"/>
        <v>0</v>
      </c>
      <c r="AX24" s="34">
        <f t="shared" si="37"/>
        <v>0</v>
      </c>
      <c r="AY24" s="34">
        <f t="shared" si="37"/>
        <v>0</v>
      </c>
      <c r="AZ24" s="34">
        <f t="shared" si="37"/>
        <v>0</v>
      </c>
      <c r="BA24" s="34">
        <f t="shared" si="37"/>
        <v>0</v>
      </c>
      <c r="BB24" s="34">
        <f t="shared" si="37"/>
        <v>0</v>
      </c>
      <c r="BC24" s="34">
        <f t="shared" si="37"/>
        <v>0</v>
      </c>
      <c r="BD24" s="34">
        <f t="shared" si="37"/>
        <v>0</v>
      </c>
      <c r="BE24" s="34">
        <f t="shared" si="37"/>
        <v>0</v>
      </c>
      <c r="BF24" s="34">
        <f t="shared" si="37"/>
        <v>0</v>
      </c>
      <c r="BG24" s="34">
        <f t="shared" si="37"/>
        <v>0</v>
      </c>
      <c r="BH24" s="34">
        <f t="shared" si="37"/>
        <v>0</v>
      </c>
      <c r="BI24" s="34">
        <f t="shared" si="37"/>
        <v>0</v>
      </c>
      <c r="BJ24" s="34">
        <f t="shared" si="37"/>
        <v>0</v>
      </c>
      <c r="BK24" s="34">
        <f t="shared" si="37"/>
        <v>0</v>
      </c>
      <c r="BL24" s="34">
        <f t="shared" si="37"/>
        <v>0</v>
      </c>
      <c r="BM24" s="34">
        <f t="shared" si="37"/>
        <v>0</v>
      </c>
      <c r="BN24" s="34">
        <f t="shared" si="37"/>
        <v>0</v>
      </c>
      <c r="BO24" s="34">
        <f t="shared" si="37"/>
        <v>0</v>
      </c>
      <c r="BP24" s="34">
        <f t="shared" ref="BP24:CU24" si="38">BP13*SUMPRODUCT((cv_effect="revenue_per_unit")*cv_value)</f>
        <v>0</v>
      </c>
      <c r="BQ24" s="34">
        <f t="shared" si="38"/>
        <v>0</v>
      </c>
      <c r="BR24" s="34">
        <f t="shared" si="38"/>
        <v>0</v>
      </c>
      <c r="BS24" s="34">
        <f t="shared" si="38"/>
        <v>0</v>
      </c>
      <c r="BT24" s="34">
        <f t="shared" si="38"/>
        <v>0</v>
      </c>
      <c r="BU24" s="34">
        <f t="shared" si="38"/>
        <v>0</v>
      </c>
      <c r="BV24" s="34">
        <f t="shared" si="38"/>
        <v>0</v>
      </c>
      <c r="BW24" s="34">
        <f t="shared" si="38"/>
        <v>0</v>
      </c>
      <c r="BX24" s="34">
        <f t="shared" si="38"/>
        <v>0</v>
      </c>
      <c r="BY24" s="34">
        <f t="shared" si="38"/>
        <v>0</v>
      </c>
      <c r="BZ24" s="34">
        <f t="shared" si="38"/>
        <v>0</v>
      </c>
      <c r="CA24" s="34">
        <f t="shared" si="38"/>
        <v>0</v>
      </c>
      <c r="CB24" s="34">
        <f t="shared" si="38"/>
        <v>0</v>
      </c>
      <c r="CC24" s="34">
        <f t="shared" si="38"/>
        <v>0</v>
      </c>
      <c r="CD24" s="34">
        <f t="shared" si="38"/>
        <v>0</v>
      </c>
      <c r="CE24" s="34">
        <f t="shared" si="38"/>
        <v>0</v>
      </c>
      <c r="CF24" s="34">
        <f t="shared" si="38"/>
        <v>0</v>
      </c>
      <c r="CG24" s="34">
        <f t="shared" si="38"/>
        <v>0</v>
      </c>
      <c r="CH24" s="34">
        <f t="shared" si="38"/>
        <v>0</v>
      </c>
      <c r="CI24" s="34">
        <f t="shared" si="38"/>
        <v>0</v>
      </c>
      <c r="CJ24" s="34">
        <f t="shared" si="38"/>
        <v>0</v>
      </c>
      <c r="CK24" s="34">
        <f t="shared" si="38"/>
        <v>0</v>
      </c>
      <c r="CL24" s="34">
        <f t="shared" si="38"/>
        <v>0</v>
      </c>
      <c r="CM24" s="34">
        <f t="shared" si="38"/>
        <v>0</v>
      </c>
      <c r="CN24" s="34">
        <f t="shared" si="38"/>
        <v>0</v>
      </c>
      <c r="CO24" s="34">
        <f t="shared" si="38"/>
        <v>0</v>
      </c>
      <c r="CP24" s="34">
        <f t="shared" si="38"/>
        <v>0</v>
      </c>
      <c r="CQ24" s="34">
        <f t="shared" si="38"/>
        <v>0</v>
      </c>
      <c r="CR24" s="34">
        <f t="shared" si="38"/>
        <v>0</v>
      </c>
      <c r="CS24" s="34">
        <f t="shared" si="38"/>
        <v>0</v>
      </c>
      <c r="CT24" s="34">
        <f t="shared" si="38"/>
        <v>0</v>
      </c>
      <c r="CU24" s="34">
        <f t="shared" si="38"/>
        <v>0</v>
      </c>
    </row>
    <row r="25" spans="1:99" x14ac:dyDescent="0.3">
      <c r="A25" s="38" t="s">
        <v>367</v>
      </c>
      <c r="B25" s="39">
        <f>SUM(D25:CU25)</f>
        <v>1036481351.8134279</v>
      </c>
      <c r="C25" s="40"/>
      <c r="D25" s="39">
        <f t="shared" ref="D25:AI25" si="39">D19+D21+D22+D23</f>
        <v>0</v>
      </c>
      <c r="E25" s="39">
        <f t="shared" si="39"/>
        <v>0</v>
      </c>
      <c r="F25" s="39">
        <f t="shared" si="39"/>
        <v>0</v>
      </c>
      <c r="G25" s="39">
        <f t="shared" si="39"/>
        <v>0</v>
      </c>
      <c r="H25" s="39">
        <f t="shared" si="39"/>
        <v>0</v>
      </c>
      <c r="I25" s="39">
        <f t="shared" si="39"/>
        <v>3739207.8496377673</v>
      </c>
      <c r="J25" s="39">
        <f t="shared" si="39"/>
        <v>4042073.2183190403</v>
      </c>
      <c r="K25" s="39">
        <f t="shared" si="39"/>
        <v>4357724.626756778</v>
      </c>
      <c r="L25" s="39">
        <f t="shared" si="39"/>
        <v>4687227.8311252603</v>
      </c>
      <c r="M25" s="39">
        <f t="shared" si="39"/>
        <v>5031787.5893098954</v>
      </c>
      <c r="N25" s="39">
        <f t="shared" si="39"/>
        <v>5392772.9338561501</v>
      </c>
      <c r="O25" s="39">
        <f t="shared" si="39"/>
        <v>5771748.4622866865</v>
      </c>
      <c r="P25" s="39">
        <f t="shared" si="39"/>
        <v>6170513.4499971792</v>
      </c>
      <c r="Q25" s="39">
        <f t="shared" si="39"/>
        <v>6591151.2560187886</v>
      </c>
      <c r="R25" s="39">
        <f t="shared" si="39"/>
        <v>7036092.4526028652</v>
      </c>
      <c r="S25" s="39">
        <f t="shared" si="39"/>
        <v>7508196.5223298213</v>
      </c>
      <c r="T25" s="39">
        <f t="shared" si="39"/>
        <v>8010859.0855637435</v>
      </c>
      <c r="U25" s="39">
        <f t="shared" si="39"/>
        <v>8548154.8703910373</v>
      </c>
      <c r="V25" s="39">
        <f t="shared" si="39"/>
        <v>9125031.7432505265</v>
      </c>
      <c r="W25" s="39">
        <f t="shared" si="39"/>
        <v>9747579.3667280078</v>
      </c>
      <c r="X25" s="39">
        <f t="shared" si="39"/>
        <v>10423409.79809745</v>
      </c>
      <c r="Y25" s="39">
        <f t="shared" si="39"/>
        <v>11162211.087197939</v>
      </c>
      <c r="Z25" s="39">
        <f t="shared" si="39"/>
        <v>11976577.67324779</v>
      </c>
      <c r="AA25" s="39">
        <f t="shared" si="39"/>
        <v>12883302.113220604</v>
      </c>
      <c r="AB25" s="39">
        <f t="shared" si="39"/>
        <v>13905474.140454734</v>
      </c>
      <c r="AC25" s="39">
        <f t="shared" si="39"/>
        <v>15076079.050839026</v>
      </c>
      <c r="AD25" s="39">
        <f t="shared" si="39"/>
        <v>16444594.744151149</v>
      </c>
      <c r="AE25" s="39">
        <f t="shared" si="39"/>
        <v>18090185.8067316</v>
      </c>
      <c r="AF25" s="39">
        <f t="shared" si="39"/>
        <v>20151390.197496835</v>
      </c>
      <c r="AG25" s="39">
        <f t="shared" si="39"/>
        <v>22905283.743969791</v>
      </c>
      <c r="AH25" s="39">
        <f t="shared" si="39"/>
        <v>27044555.878379945</v>
      </c>
      <c r="AI25" s="39">
        <f t="shared" si="39"/>
        <v>32496292.025882706</v>
      </c>
      <c r="AJ25" s="39">
        <f t="shared" ref="AJ25:BO25" si="40">AJ19+AJ21+AJ22+AJ23</f>
        <v>728161874.29558468</v>
      </c>
      <c r="AK25" s="39">
        <f t="shared" si="40"/>
        <v>0</v>
      </c>
      <c r="AL25" s="39">
        <f t="shared" si="40"/>
        <v>0</v>
      </c>
      <c r="AM25" s="39">
        <f t="shared" si="40"/>
        <v>0</v>
      </c>
      <c r="AN25" s="39">
        <f t="shared" si="40"/>
        <v>0</v>
      </c>
      <c r="AO25" s="39">
        <f t="shared" si="40"/>
        <v>0</v>
      </c>
      <c r="AP25" s="39">
        <f t="shared" si="40"/>
        <v>0</v>
      </c>
      <c r="AQ25" s="39">
        <f t="shared" si="40"/>
        <v>0</v>
      </c>
      <c r="AR25" s="39">
        <f t="shared" si="40"/>
        <v>0</v>
      </c>
      <c r="AS25" s="39">
        <f t="shared" si="40"/>
        <v>0</v>
      </c>
      <c r="AT25" s="39">
        <f t="shared" si="40"/>
        <v>0</v>
      </c>
      <c r="AU25" s="39">
        <f t="shared" si="40"/>
        <v>0</v>
      </c>
      <c r="AV25" s="39">
        <f t="shared" si="40"/>
        <v>0</v>
      </c>
      <c r="AW25" s="39">
        <f t="shared" si="40"/>
        <v>0</v>
      </c>
      <c r="AX25" s="39">
        <f t="shared" si="40"/>
        <v>0</v>
      </c>
      <c r="AY25" s="39">
        <f t="shared" si="40"/>
        <v>0</v>
      </c>
      <c r="AZ25" s="39">
        <f t="shared" si="40"/>
        <v>0</v>
      </c>
      <c r="BA25" s="39">
        <f t="shared" si="40"/>
        <v>0</v>
      </c>
      <c r="BB25" s="39">
        <f t="shared" si="40"/>
        <v>0</v>
      </c>
      <c r="BC25" s="39">
        <f t="shared" si="40"/>
        <v>0</v>
      </c>
      <c r="BD25" s="39">
        <f t="shared" si="40"/>
        <v>0</v>
      </c>
      <c r="BE25" s="39">
        <f t="shared" si="40"/>
        <v>0</v>
      </c>
      <c r="BF25" s="39">
        <f t="shared" si="40"/>
        <v>0</v>
      </c>
      <c r="BG25" s="39">
        <f t="shared" si="40"/>
        <v>0</v>
      </c>
      <c r="BH25" s="39">
        <f t="shared" si="40"/>
        <v>0</v>
      </c>
      <c r="BI25" s="39">
        <f t="shared" si="40"/>
        <v>0</v>
      </c>
      <c r="BJ25" s="39">
        <f t="shared" si="40"/>
        <v>0</v>
      </c>
      <c r="BK25" s="39">
        <f t="shared" si="40"/>
        <v>0</v>
      </c>
      <c r="BL25" s="39">
        <f t="shared" si="40"/>
        <v>0</v>
      </c>
      <c r="BM25" s="39">
        <f t="shared" si="40"/>
        <v>0</v>
      </c>
      <c r="BN25" s="39">
        <f t="shared" si="40"/>
        <v>0</v>
      </c>
      <c r="BO25" s="39">
        <f t="shared" si="40"/>
        <v>0</v>
      </c>
      <c r="BP25" s="39">
        <f t="shared" ref="BP25:CU25" si="41">BP19+BP21+BP22+BP23</f>
        <v>0</v>
      </c>
      <c r="BQ25" s="39">
        <f t="shared" si="41"/>
        <v>0</v>
      </c>
      <c r="BR25" s="39">
        <f t="shared" si="41"/>
        <v>0</v>
      </c>
      <c r="BS25" s="39">
        <f t="shared" si="41"/>
        <v>0</v>
      </c>
      <c r="BT25" s="39">
        <f t="shared" si="41"/>
        <v>0</v>
      </c>
      <c r="BU25" s="39">
        <f t="shared" si="41"/>
        <v>0</v>
      </c>
      <c r="BV25" s="39">
        <f t="shared" si="41"/>
        <v>0</v>
      </c>
      <c r="BW25" s="39">
        <f t="shared" si="41"/>
        <v>0</v>
      </c>
      <c r="BX25" s="39">
        <f t="shared" si="41"/>
        <v>0</v>
      </c>
      <c r="BY25" s="39">
        <f t="shared" si="41"/>
        <v>0</v>
      </c>
      <c r="BZ25" s="39">
        <f t="shared" si="41"/>
        <v>0</v>
      </c>
      <c r="CA25" s="39">
        <f t="shared" si="41"/>
        <v>0</v>
      </c>
      <c r="CB25" s="39">
        <f t="shared" si="41"/>
        <v>0</v>
      </c>
      <c r="CC25" s="39">
        <f t="shared" si="41"/>
        <v>0</v>
      </c>
      <c r="CD25" s="39">
        <f t="shared" si="41"/>
        <v>0</v>
      </c>
      <c r="CE25" s="39">
        <f t="shared" si="41"/>
        <v>0</v>
      </c>
      <c r="CF25" s="39">
        <f t="shared" si="41"/>
        <v>0</v>
      </c>
      <c r="CG25" s="39">
        <f t="shared" si="41"/>
        <v>0</v>
      </c>
      <c r="CH25" s="39">
        <f t="shared" si="41"/>
        <v>0</v>
      </c>
      <c r="CI25" s="39">
        <f t="shared" si="41"/>
        <v>0</v>
      </c>
      <c r="CJ25" s="39">
        <f t="shared" si="41"/>
        <v>0</v>
      </c>
      <c r="CK25" s="39">
        <f t="shared" si="41"/>
        <v>0</v>
      </c>
      <c r="CL25" s="39">
        <f t="shared" si="41"/>
        <v>0</v>
      </c>
      <c r="CM25" s="39">
        <f t="shared" si="41"/>
        <v>0</v>
      </c>
      <c r="CN25" s="39">
        <f t="shared" si="41"/>
        <v>0</v>
      </c>
      <c r="CO25" s="39">
        <f t="shared" si="41"/>
        <v>0</v>
      </c>
      <c r="CP25" s="39">
        <f t="shared" si="41"/>
        <v>0</v>
      </c>
      <c r="CQ25" s="39">
        <f t="shared" si="41"/>
        <v>0</v>
      </c>
      <c r="CR25" s="39">
        <f t="shared" si="41"/>
        <v>0</v>
      </c>
      <c r="CS25" s="39">
        <f t="shared" si="41"/>
        <v>0</v>
      </c>
      <c r="CT25" s="39">
        <f t="shared" si="41"/>
        <v>0</v>
      </c>
      <c r="CU25" s="39">
        <f t="shared" si="41"/>
        <v>0</v>
      </c>
    </row>
    <row r="26" spans="1:99" x14ac:dyDescent="0.3">
      <c r="A26" s="13" t="s">
        <v>368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/>
      <c r="BG26" s="14"/>
      <c r="BH26" s="14"/>
      <c r="BI26" s="14"/>
      <c r="BJ26" s="14"/>
      <c r="BK26" s="14"/>
      <c r="BL26" s="14"/>
      <c r="BM26" s="14"/>
      <c r="BN26" s="14"/>
      <c r="BO26" s="14"/>
      <c r="BP26" s="14"/>
      <c r="BQ26" s="14"/>
      <c r="BR26" s="14"/>
      <c r="BS26" s="14"/>
      <c r="BT26" s="14"/>
      <c r="BU26" s="14"/>
      <c r="BV26" s="14"/>
      <c r="BW26" s="14"/>
      <c r="BX26" s="14"/>
      <c r="BY26" s="14"/>
      <c r="BZ26" s="14"/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  <c r="CN26" s="14"/>
      <c r="CO26" s="14"/>
      <c r="CP26" s="14"/>
      <c r="CQ26" s="14"/>
      <c r="CR26" s="14"/>
      <c r="CS26" s="14"/>
      <c r="CT26" s="14"/>
      <c r="CU26" s="14"/>
    </row>
    <row r="27" spans="1:99" x14ac:dyDescent="0.3">
      <c r="A27" s="7" t="s">
        <v>369</v>
      </c>
      <c r="B27" s="21">
        <f>SUM(D27:CU27)</f>
        <v>31094440.554402828</v>
      </c>
      <c r="C27" s="11"/>
      <c r="D27" s="34">
        <f t="shared" ref="D27:AI27" si="42">D17*in_rev_commission_pct</f>
        <v>0</v>
      </c>
      <c r="E27" s="34">
        <f t="shared" si="42"/>
        <v>0</v>
      </c>
      <c r="F27" s="34">
        <f t="shared" si="42"/>
        <v>0</v>
      </c>
      <c r="G27" s="34">
        <f t="shared" si="42"/>
        <v>0</v>
      </c>
      <c r="H27" s="34">
        <f t="shared" si="42"/>
        <v>0</v>
      </c>
      <c r="I27" s="34">
        <f t="shared" si="42"/>
        <v>1121762.35489133</v>
      </c>
      <c r="J27" s="34">
        <f t="shared" si="42"/>
        <v>1126332.5535809943</v>
      </c>
      <c r="K27" s="34">
        <f t="shared" si="42"/>
        <v>1130921.3718258359</v>
      </c>
      <c r="L27" s="34">
        <f t="shared" si="42"/>
        <v>1135528.8854842277</v>
      </c>
      <c r="M27" s="34">
        <f t="shared" si="42"/>
        <v>1140155.1707235985</v>
      </c>
      <c r="N27" s="34">
        <f t="shared" si="42"/>
        <v>1144800.3040216933</v>
      </c>
      <c r="O27" s="34">
        <f t="shared" si="42"/>
        <v>1149464.3621678359</v>
      </c>
      <c r="P27" s="34">
        <f t="shared" si="42"/>
        <v>1154147.4222641997</v>
      </c>
      <c r="Q27" s="34">
        <f t="shared" si="42"/>
        <v>1158849.5617270828</v>
      </c>
      <c r="R27" s="34">
        <f t="shared" si="42"/>
        <v>1163570.8582881857</v>
      </c>
      <c r="S27" s="34">
        <f t="shared" si="42"/>
        <v>1168311.3899958974</v>
      </c>
      <c r="T27" s="34">
        <f t="shared" si="42"/>
        <v>1173071.2352165871</v>
      </c>
      <c r="U27" s="34">
        <f t="shared" si="42"/>
        <v>1177850.4726358964</v>
      </c>
      <c r="V27" s="34">
        <f t="shared" si="42"/>
        <v>1182649.181260044</v>
      </c>
      <c r="W27" s="34">
        <f t="shared" si="42"/>
        <v>1187467.4404171279</v>
      </c>
      <c r="X27" s="34">
        <f t="shared" si="42"/>
        <v>1192305.3297584392</v>
      </c>
      <c r="Y27" s="34">
        <f t="shared" si="42"/>
        <v>1197162.9292597785</v>
      </c>
      <c r="Z27" s="34">
        <f t="shared" si="42"/>
        <v>1202040.3192227778</v>
      </c>
      <c r="AA27" s="34">
        <f t="shared" si="42"/>
        <v>1206937.5802762276</v>
      </c>
      <c r="AB27" s="34">
        <f t="shared" si="42"/>
        <v>1211854.7933774097</v>
      </c>
      <c r="AC27" s="34">
        <f t="shared" si="42"/>
        <v>1216792.039813437</v>
      </c>
      <c r="AD27" s="34">
        <f t="shared" si="42"/>
        <v>1221749.4012025949</v>
      </c>
      <c r="AE27" s="34">
        <f t="shared" si="42"/>
        <v>1226726.9594956925</v>
      </c>
      <c r="AF27" s="34">
        <f t="shared" si="42"/>
        <v>1231724.7969774166</v>
      </c>
      <c r="AG27" s="34">
        <f t="shared" si="42"/>
        <v>1236742.9962676915</v>
      </c>
      <c r="AH27" s="34">
        <f t="shared" si="42"/>
        <v>1241781.6403230461</v>
      </c>
      <c r="AI27" s="34">
        <f t="shared" si="42"/>
        <v>393739.20392778231</v>
      </c>
      <c r="AJ27" s="34">
        <f t="shared" ref="AJ27:BO27" si="43">AJ17*in_rev_commission_pct</f>
        <v>0</v>
      </c>
      <c r="AK27" s="34">
        <f t="shared" si="43"/>
        <v>0</v>
      </c>
      <c r="AL27" s="34">
        <f t="shared" si="43"/>
        <v>0</v>
      </c>
      <c r="AM27" s="34">
        <f t="shared" si="43"/>
        <v>0</v>
      </c>
      <c r="AN27" s="34">
        <f t="shared" si="43"/>
        <v>0</v>
      </c>
      <c r="AO27" s="34">
        <f t="shared" si="43"/>
        <v>0</v>
      </c>
      <c r="AP27" s="34">
        <f t="shared" si="43"/>
        <v>0</v>
      </c>
      <c r="AQ27" s="34">
        <f t="shared" si="43"/>
        <v>0</v>
      </c>
      <c r="AR27" s="34">
        <f t="shared" si="43"/>
        <v>0</v>
      </c>
      <c r="AS27" s="34">
        <f t="shared" si="43"/>
        <v>0</v>
      </c>
      <c r="AT27" s="34">
        <f t="shared" si="43"/>
        <v>0</v>
      </c>
      <c r="AU27" s="34">
        <f t="shared" si="43"/>
        <v>0</v>
      </c>
      <c r="AV27" s="34">
        <f t="shared" si="43"/>
        <v>0</v>
      </c>
      <c r="AW27" s="34">
        <f t="shared" si="43"/>
        <v>0</v>
      </c>
      <c r="AX27" s="34">
        <f t="shared" si="43"/>
        <v>0</v>
      </c>
      <c r="AY27" s="34">
        <f t="shared" si="43"/>
        <v>0</v>
      </c>
      <c r="AZ27" s="34">
        <f t="shared" si="43"/>
        <v>0</v>
      </c>
      <c r="BA27" s="34">
        <f t="shared" si="43"/>
        <v>0</v>
      </c>
      <c r="BB27" s="34">
        <f t="shared" si="43"/>
        <v>0</v>
      </c>
      <c r="BC27" s="34">
        <f t="shared" si="43"/>
        <v>0</v>
      </c>
      <c r="BD27" s="34">
        <f t="shared" si="43"/>
        <v>0</v>
      </c>
      <c r="BE27" s="34">
        <f t="shared" si="43"/>
        <v>0</v>
      </c>
      <c r="BF27" s="34">
        <f t="shared" si="43"/>
        <v>0</v>
      </c>
      <c r="BG27" s="34">
        <f t="shared" si="43"/>
        <v>0</v>
      </c>
      <c r="BH27" s="34">
        <f t="shared" si="43"/>
        <v>0</v>
      </c>
      <c r="BI27" s="34">
        <f t="shared" si="43"/>
        <v>0</v>
      </c>
      <c r="BJ27" s="34">
        <f t="shared" si="43"/>
        <v>0</v>
      </c>
      <c r="BK27" s="34">
        <f t="shared" si="43"/>
        <v>0</v>
      </c>
      <c r="BL27" s="34">
        <f t="shared" si="43"/>
        <v>0</v>
      </c>
      <c r="BM27" s="34">
        <f t="shared" si="43"/>
        <v>0</v>
      </c>
      <c r="BN27" s="34">
        <f t="shared" si="43"/>
        <v>0</v>
      </c>
      <c r="BO27" s="34">
        <f t="shared" si="43"/>
        <v>0</v>
      </c>
      <c r="BP27" s="34">
        <f t="shared" ref="BP27:CU27" si="44">BP17*in_rev_commission_pct</f>
        <v>0</v>
      </c>
      <c r="BQ27" s="34">
        <f t="shared" si="44"/>
        <v>0</v>
      </c>
      <c r="BR27" s="34">
        <f t="shared" si="44"/>
        <v>0</v>
      </c>
      <c r="BS27" s="34">
        <f t="shared" si="44"/>
        <v>0</v>
      </c>
      <c r="BT27" s="34">
        <f t="shared" si="44"/>
        <v>0</v>
      </c>
      <c r="BU27" s="34">
        <f t="shared" si="44"/>
        <v>0</v>
      </c>
      <c r="BV27" s="34">
        <f t="shared" si="44"/>
        <v>0</v>
      </c>
      <c r="BW27" s="34">
        <f t="shared" si="44"/>
        <v>0</v>
      </c>
      <c r="BX27" s="34">
        <f t="shared" si="44"/>
        <v>0</v>
      </c>
      <c r="BY27" s="34">
        <f t="shared" si="44"/>
        <v>0</v>
      </c>
      <c r="BZ27" s="34">
        <f t="shared" si="44"/>
        <v>0</v>
      </c>
      <c r="CA27" s="34">
        <f t="shared" si="44"/>
        <v>0</v>
      </c>
      <c r="CB27" s="34">
        <f t="shared" si="44"/>
        <v>0</v>
      </c>
      <c r="CC27" s="34">
        <f t="shared" si="44"/>
        <v>0</v>
      </c>
      <c r="CD27" s="34">
        <f t="shared" si="44"/>
        <v>0</v>
      </c>
      <c r="CE27" s="34">
        <f t="shared" si="44"/>
        <v>0</v>
      </c>
      <c r="CF27" s="34">
        <f t="shared" si="44"/>
        <v>0</v>
      </c>
      <c r="CG27" s="34">
        <f t="shared" si="44"/>
        <v>0</v>
      </c>
      <c r="CH27" s="34">
        <f t="shared" si="44"/>
        <v>0</v>
      </c>
      <c r="CI27" s="34">
        <f t="shared" si="44"/>
        <v>0</v>
      </c>
      <c r="CJ27" s="34">
        <f t="shared" si="44"/>
        <v>0</v>
      </c>
      <c r="CK27" s="34">
        <f t="shared" si="44"/>
        <v>0</v>
      </c>
      <c r="CL27" s="34">
        <f t="shared" si="44"/>
        <v>0</v>
      </c>
      <c r="CM27" s="34">
        <f t="shared" si="44"/>
        <v>0</v>
      </c>
      <c r="CN27" s="34">
        <f t="shared" si="44"/>
        <v>0</v>
      </c>
      <c r="CO27" s="34">
        <f t="shared" si="44"/>
        <v>0</v>
      </c>
      <c r="CP27" s="34">
        <f t="shared" si="44"/>
        <v>0</v>
      </c>
      <c r="CQ27" s="34">
        <f t="shared" si="44"/>
        <v>0</v>
      </c>
      <c r="CR27" s="34">
        <f t="shared" si="44"/>
        <v>0</v>
      </c>
      <c r="CS27" s="34">
        <f t="shared" si="44"/>
        <v>0</v>
      </c>
      <c r="CT27" s="34">
        <f t="shared" si="44"/>
        <v>0</v>
      </c>
      <c r="CU27" s="34">
        <f t="shared" si="44"/>
        <v>0</v>
      </c>
    </row>
    <row r="28" spans="1:99" x14ac:dyDescent="0.3">
      <c r="A28" s="7" t="s">
        <v>175</v>
      </c>
      <c r="B28" s="21">
        <f>SUM(D28:CU28)</f>
        <v>20729627.036268558</v>
      </c>
      <c r="C28" s="11"/>
      <c r="D28" s="34">
        <f t="shared" ref="D28:AI28" si="45">IF(AND(D$4&gt;=Sales_Start,D$4&lt;=Sales_Last),S_GDV*in_rev_marketing_pct/(Sales_Last-Sales_Start+1),0)</f>
        <v>0</v>
      </c>
      <c r="E28" s="34">
        <f t="shared" si="45"/>
        <v>0</v>
      </c>
      <c r="F28" s="34">
        <f t="shared" si="45"/>
        <v>0</v>
      </c>
      <c r="G28" s="34">
        <f t="shared" si="45"/>
        <v>0</v>
      </c>
      <c r="H28" s="34">
        <f t="shared" si="45"/>
        <v>0</v>
      </c>
      <c r="I28" s="34">
        <f t="shared" si="45"/>
        <v>767763.96430624288</v>
      </c>
      <c r="J28" s="34">
        <f t="shared" si="45"/>
        <v>767763.96430624288</v>
      </c>
      <c r="K28" s="34">
        <f t="shared" si="45"/>
        <v>767763.96430624288</v>
      </c>
      <c r="L28" s="34">
        <f t="shared" si="45"/>
        <v>767763.96430624288</v>
      </c>
      <c r="M28" s="34">
        <f t="shared" si="45"/>
        <v>767763.96430624288</v>
      </c>
      <c r="N28" s="34">
        <f t="shared" si="45"/>
        <v>767763.96430624288</v>
      </c>
      <c r="O28" s="34">
        <f t="shared" si="45"/>
        <v>767763.96430624288</v>
      </c>
      <c r="P28" s="34">
        <f t="shared" si="45"/>
        <v>767763.96430624288</v>
      </c>
      <c r="Q28" s="34">
        <f t="shared" si="45"/>
        <v>767763.96430624288</v>
      </c>
      <c r="R28" s="34">
        <f t="shared" si="45"/>
        <v>767763.96430624288</v>
      </c>
      <c r="S28" s="34">
        <f t="shared" si="45"/>
        <v>767763.96430624288</v>
      </c>
      <c r="T28" s="34">
        <f t="shared" si="45"/>
        <v>767763.96430624288</v>
      </c>
      <c r="U28" s="34">
        <f t="shared" si="45"/>
        <v>767763.96430624288</v>
      </c>
      <c r="V28" s="34">
        <f t="shared" si="45"/>
        <v>767763.96430624288</v>
      </c>
      <c r="W28" s="34">
        <f t="shared" si="45"/>
        <v>767763.96430624288</v>
      </c>
      <c r="X28" s="34">
        <f t="shared" si="45"/>
        <v>767763.96430624288</v>
      </c>
      <c r="Y28" s="34">
        <f t="shared" si="45"/>
        <v>767763.96430624288</v>
      </c>
      <c r="Z28" s="34">
        <f t="shared" si="45"/>
        <v>767763.96430624288</v>
      </c>
      <c r="AA28" s="34">
        <f t="shared" si="45"/>
        <v>767763.96430624288</v>
      </c>
      <c r="AB28" s="34">
        <f t="shared" si="45"/>
        <v>767763.96430624288</v>
      </c>
      <c r="AC28" s="34">
        <f t="shared" si="45"/>
        <v>767763.96430624288</v>
      </c>
      <c r="AD28" s="34">
        <f t="shared" si="45"/>
        <v>767763.96430624288</v>
      </c>
      <c r="AE28" s="34">
        <f t="shared" si="45"/>
        <v>767763.96430624288</v>
      </c>
      <c r="AF28" s="34">
        <f t="shared" si="45"/>
        <v>767763.96430624288</v>
      </c>
      <c r="AG28" s="34">
        <f t="shared" si="45"/>
        <v>767763.96430624288</v>
      </c>
      <c r="AH28" s="34">
        <f t="shared" si="45"/>
        <v>767763.96430624288</v>
      </c>
      <c r="AI28" s="34">
        <f t="shared" si="45"/>
        <v>767763.96430624288</v>
      </c>
      <c r="AJ28" s="34">
        <f t="shared" ref="AJ28:BO28" si="46">IF(AND(AJ$4&gt;=Sales_Start,AJ$4&lt;=Sales_Last),S_GDV*in_rev_marketing_pct/(Sales_Last-Sales_Start+1),0)</f>
        <v>0</v>
      </c>
      <c r="AK28" s="34">
        <f t="shared" si="46"/>
        <v>0</v>
      </c>
      <c r="AL28" s="34">
        <f t="shared" si="46"/>
        <v>0</v>
      </c>
      <c r="AM28" s="34">
        <f t="shared" si="46"/>
        <v>0</v>
      </c>
      <c r="AN28" s="34">
        <f t="shared" si="46"/>
        <v>0</v>
      </c>
      <c r="AO28" s="34">
        <f t="shared" si="46"/>
        <v>0</v>
      </c>
      <c r="AP28" s="34">
        <f t="shared" si="46"/>
        <v>0</v>
      </c>
      <c r="AQ28" s="34">
        <f t="shared" si="46"/>
        <v>0</v>
      </c>
      <c r="AR28" s="34">
        <f t="shared" si="46"/>
        <v>0</v>
      </c>
      <c r="AS28" s="34">
        <f t="shared" si="46"/>
        <v>0</v>
      </c>
      <c r="AT28" s="34">
        <f t="shared" si="46"/>
        <v>0</v>
      </c>
      <c r="AU28" s="34">
        <f t="shared" si="46"/>
        <v>0</v>
      </c>
      <c r="AV28" s="34">
        <f t="shared" si="46"/>
        <v>0</v>
      </c>
      <c r="AW28" s="34">
        <f t="shared" si="46"/>
        <v>0</v>
      </c>
      <c r="AX28" s="34">
        <f t="shared" si="46"/>
        <v>0</v>
      </c>
      <c r="AY28" s="34">
        <f t="shared" si="46"/>
        <v>0</v>
      </c>
      <c r="AZ28" s="34">
        <f t="shared" si="46"/>
        <v>0</v>
      </c>
      <c r="BA28" s="34">
        <f t="shared" si="46"/>
        <v>0</v>
      </c>
      <c r="BB28" s="34">
        <f t="shared" si="46"/>
        <v>0</v>
      </c>
      <c r="BC28" s="34">
        <f t="shared" si="46"/>
        <v>0</v>
      </c>
      <c r="BD28" s="34">
        <f t="shared" si="46"/>
        <v>0</v>
      </c>
      <c r="BE28" s="34">
        <f t="shared" si="46"/>
        <v>0</v>
      </c>
      <c r="BF28" s="34">
        <f t="shared" si="46"/>
        <v>0</v>
      </c>
      <c r="BG28" s="34">
        <f t="shared" si="46"/>
        <v>0</v>
      </c>
      <c r="BH28" s="34">
        <f t="shared" si="46"/>
        <v>0</v>
      </c>
      <c r="BI28" s="34">
        <f t="shared" si="46"/>
        <v>0</v>
      </c>
      <c r="BJ28" s="34">
        <f t="shared" si="46"/>
        <v>0</v>
      </c>
      <c r="BK28" s="34">
        <f t="shared" si="46"/>
        <v>0</v>
      </c>
      <c r="BL28" s="34">
        <f t="shared" si="46"/>
        <v>0</v>
      </c>
      <c r="BM28" s="34">
        <f t="shared" si="46"/>
        <v>0</v>
      </c>
      <c r="BN28" s="34">
        <f t="shared" si="46"/>
        <v>0</v>
      </c>
      <c r="BO28" s="34">
        <f t="shared" si="46"/>
        <v>0</v>
      </c>
      <c r="BP28" s="34">
        <f t="shared" ref="BP28:CU28" si="47">IF(AND(BP$4&gt;=Sales_Start,BP$4&lt;=Sales_Last),S_GDV*in_rev_marketing_pct/(Sales_Last-Sales_Start+1),0)</f>
        <v>0</v>
      </c>
      <c r="BQ28" s="34">
        <f t="shared" si="47"/>
        <v>0</v>
      </c>
      <c r="BR28" s="34">
        <f t="shared" si="47"/>
        <v>0</v>
      </c>
      <c r="BS28" s="34">
        <f t="shared" si="47"/>
        <v>0</v>
      </c>
      <c r="BT28" s="34">
        <f t="shared" si="47"/>
        <v>0</v>
      </c>
      <c r="BU28" s="34">
        <f t="shared" si="47"/>
        <v>0</v>
      </c>
      <c r="BV28" s="34">
        <f t="shared" si="47"/>
        <v>0</v>
      </c>
      <c r="BW28" s="34">
        <f t="shared" si="47"/>
        <v>0</v>
      </c>
      <c r="BX28" s="34">
        <f t="shared" si="47"/>
        <v>0</v>
      </c>
      <c r="BY28" s="34">
        <f t="shared" si="47"/>
        <v>0</v>
      </c>
      <c r="BZ28" s="34">
        <f t="shared" si="47"/>
        <v>0</v>
      </c>
      <c r="CA28" s="34">
        <f t="shared" si="47"/>
        <v>0</v>
      </c>
      <c r="CB28" s="34">
        <f t="shared" si="47"/>
        <v>0</v>
      </c>
      <c r="CC28" s="34">
        <f t="shared" si="47"/>
        <v>0</v>
      </c>
      <c r="CD28" s="34">
        <f t="shared" si="47"/>
        <v>0</v>
      </c>
      <c r="CE28" s="34">
        <f t="shared" si="47"/>
        <v>0</v>
      </c>
      <c r="CF28" s="34">
        <f t="shared" si="47"/>
        <v>0</v>
      </c>
      <c r="CG28" s="34">
        <f t="shared" si="47"/>
        <v>0</v>
      </c>
      <c r="CH28" s="34">
        <f t="shared" si="47"/>
        <v>0</v>
      </c>
      <c r="CI28" s="34">
        <f t="shared" si="47"/>
        <v>0</v>
      </c>
      <c r="CJ28" s="34">
        <f t="shared" si="47"/>
        <v>0</v>
      </c>
      <c r="CK28" s="34">
        <f t="shared" si="47"/>
        <v>0</v>
      </c>
      <c r="CL28" s="34">
        <f t="shared" si="47"/>
        <v>0</v>
      </c>
      <c r="CM28" s="34">
        <f t="shared" si="47"/>
        <v>0</v>
      </c>
      <c r="CN28" s="34">
        <f t="shared" si="47"/>
        <v>0</v>
      </c>
      <c r="CO28" s="34">
        <f t="shared" si="47"/>
        <v>0</v>
      </c>
      <c r="CP28" s="34">
        <f t="shared" si="47"/>
        <v>0</v>
      </c>
      <c r="CQ28" s="34">
        <f t="shared" si="47"/>
        <v>0</v>
      </c>
      <c r="CR28" s="34">
        <f t="shared" si="47"/>
        <v>0</v>
      </c>
      <c r="CS28" s="34">
        <f t="shared" si="47"/>
        <v>0</v>
      </c>
      <c r="CT28" s="34">
        <f t="shared" si="47"/>
        <v>0</v>
      </c>
      <c r="CU28" s="34">
        <f t="shared" si="47"/>
        <v>0</v>
      </c>
    </row>
    <row r="29" spans="1:99" x14ac:dyDescent="0.3">
      <c r="A29" s="7" t="s">
        <v>370</v>
      </c>
      <c r="B29" s="21">
        <f>SUM(D29:CU29)</f>
        <v>0</v>
      </c>
      <c r="C29" s="11"/>
      <c r="D29" s="34">
        <f t="shared" ref="D29:AI29" si="48">D25*SUMPRODUCT((cv_effect="cost_pct_revenue")*cv_value)</f>
        <v>0</v>
      </c>
      <c r="E29" s="34">
        <f t="shared" si="48"/>
        <v>0</v>
      </c>
      <c r="F29" s="34">
        <f t="shared" si="48"/>
        <v>0</v>
      </c>
      <c r="G29" s="34">
        <f t="shared" si="48"/>
        <v>0</v>
      </c>
      <c r="H29" s="34">
        <f t="shared" si="48"/>
        <v>0</v>
      </c>
      <c r="I29" s="34">
        <f t="shared" si="48"/>
        <v>0</v>
      </c>
      <c r="J29" s="34">
        <f t="shared" si="48"/>
        <v>0</v>
      </c>
      <c r="K29" s="34">
        <f t="shared" si="48"/>
        <v>0</v>
      </c>
      <c r="L29" s="34">
        <f t="shared" si="48"/>
        <v>0</v>
      </c>
      <c r="M29" s="34">
        <f t="shared" si="48"/>
        <v>0</v>
      </c>
      <c r="N29" s="34">
        <f t="shared" si="48"/>
        <v>0</v>
      </c>
      <c r="O29" s="34">
        <f t="shared" si="48"/>
        <v>0</v>
      </c>
      <c r="P29" s="34">
        <f t="shared" si="48"/>
        <v>0</v>
      </c>
      <c r="Q29" s="34">
        <f t="shared" si="48"/>
        <v>0</v>
      </c>
      <c r="R29" s="34">
        <f t="shared" si="48"/>
        <v>0</v>
      </c>
      <c r="S29" s="34">
        <f t="shared" si="48"/>
        <v>0</v>
      </c>
      <c r="T29" s="34">
        <f t="shared" si="48"/>
        <v>0</v>
      </c>
      <c r="U29" s="34">
        <f t="shared" si="48"/>
        <v>0</v>
      </c>
      <c r="V29" s="34">
        <f t="shared" si="48"/>
        <v>0</v>
      </c>
      <c r="W29" s="34">
        <f t="shared" si="48"/>
        <v>0</v>
      </c>
      <c r="X29" s="34">
        <f t="shared" si="48"/>
        <v>0</v>
      </c>
      <c r="Y29" s="34">
        <f t="shared" si="48"/>
        <v>0</v>
      </c>
      <c r="Z29" s="34">
        <f t="shared" si="48"/>
        <v>0</v>
      </c>
      <c r="AA29" s="34">
        <f t="shared" si="48"/>
        <v>0</v>
      </c>
      <c r="AB29" s="34">
        <f t="shared" si="48"/>
        <v>0</v>
      </c>
      <c r="AC29" s="34">
        <f t="shared" si="48"/>
        <v>0</v>
      </c>
      <c r="AD29" s="34">
        <f t="shared" si="48"/>
        <v>0</v>
      </c>
      <c r="AE29" s="34">
        <f t="shared" si="48"/>
        <v>0</v>
      </c>
      <c r="AF29" s="34">
        <f t="shared" si="48"/>
        <v>0</v>
      </c>
      <c r="AG29" s="34">
        <f t="shared" si="48"/>
        <v>0</v>
      </c>
      <c r="AH29" s="34">
        <f t="shared" si="48"/>
        <v>0</v>
      </c>
      <c r="AI29" s="34">
        <f t="shared" si="48"/>
        <v>0</v>
      </c>
      <c r="AJ29" s="34">
        <f t="shared" ref="AJ29:BO29" si="49">AJ25*SUMPRODUCT((cv_effect="cost_pct_revenue")*cv_value)</f>
        <v>0</v>
      </c>
      <c r="AK29" s="34">
        <f t="shared" si="49"/>
        <v>0</v>
      </c>
      <c r="AL29" s="34">
        <f t="shared" si="49"/>
        <v>0</v>
      </c>
      <c r="AM29" s="34">
        <f t="shared" si="49"/>
        <v>0</v>
      </c>
      <c r="AN29" s="34">
        <f t="shared" si="49"/>
        <v>0</v>
      </c>
      <c r="AO29" s="34">
        <f t="shared" si="49"/>
        <v>0</v>
      </c>
      <c r="AP29" s="34">
        <f t="shared" si="49"/>
        <v>0</v>
      </c>
      <c r="AQ29" s="34">
        <f t="shared" si="49"/>
        <v>0</v>
      </c>
      <c r="AR29" s="34">
        <f t="shared" si="49"/>
        <v>0</v>
      </c>
      <c r="AS29" s="34">
        <f t="shared" si="49"/>
        <v>0</v>
      </c>
      <c r="AT29" s="34">
        <f t="shared" si="49"/>
        <v>0</v>
      </c>
      <c r="AU29" s="34">
        <f t="shared" si="49"/>
        <v>0</v>
      </c>
      <c r="AV29" s="34">
        <f t="shared" si="49"/>
        <v>0</v>
      </c>
      <c r="AW29" s="34">
        <f t="shared" si="49"/>
        <v>0</v>
      </c>
      <c r="AX29" s="34">
        <f t="shared" si="49"/>
        <v>0</v>
      </c>
      <c r="AY29" s="34">
        <f t="shared" si="49"/>
        <v>0</v>
      </c>
      <c r="AZ29" s="34">
        <f t="shared" si="49"/>
        <v>0</v>
      </c>
      <c r="BA29" s="34">
        <f t="shared" si="49"/>
        <v>0</v>
      </c>
      <c r="BB29" s="34">
        <f t="shared" si="49"/>
        <v>0</v>
      </c>
      <c r="BC29" s="34">
        <f t="shared" si="49"/>
        <v>0</v>
      </c>
      <c r="BD29" s="34">
        <f t="shared" si="49"/>
        <v>0</v>
      </c>
      <c r="BE29" s="34">
        <f t="shared" si="49"/>
        <v>0</v>
      </c>
      <c r="BF29" s="34">
        <f t="shared" si="49"/>
        <v>0</v>
      </c>
      <c r="BG29" s="34">
        <f t="shared" si="49"/>
        <v>0</v>
      </c>
      <c r="BH29" s="34">
        <f t="shared" si="49"/>
        <v>0</v>
      </c>
      <c r="BI29" s="34">
        <f t="shared" si="49"/>
        <v>0</v>
      </c>
      <c r="BJ29" s="34">
        <f t="shared" si="49"/>
        <v>0</v>
      </c>
      <c r="BK29" s="34">
        <f t="shared" si="49"/>
        <v>0</v>
      </c>
      <c r="BL29" s="34">
        <f t="shared" si="49"/>
        <v>0</v>
      </c>
      <c r="BM29" s="34">
        <f t="shared" si="49"/>
        <v>0</v>
      </c>
      <c r="BN29" s="34">
        <f t="shared" si="49"/>
        <v>0</v>
      </c>
      <c r="BO29" s="34">
        <f t="shared" si="49"/>
        <v>0</v>
      </c>
      <c r="BP29" s="34">
        <f t="shared" ref="BP29:CU29" si="50">BP25*SUMPRODUCT((cv_effect="cost_pct_revenue")*cv_value)</f>
        <v>0</v>
      </c>
      <c r="BQ29" s="34">
        <f t="shared" si="50"/>
        <v>0</v>
      </c>
      <c r="BR29" s="34">
        <f t="shared" si="50"/>
        <v>0</v>
      </c>
      <c r="BS29" s="34">
        <f t="shared" si="50"/>
        <v>0</v>
      </c>
      <c r="BT29" s="34">
        <f t="shared" si="50"/>
        <v>0</v>
      </c>
      <c r="BU29" s="34">
        <f t="shared" si="50"/>
        <v>0</v>
      </c>
      <c r="BV29" s="34">
        <f t="shared" si="50"/>
        <v>0</v>
      </c>
      <c r="BW29" s="34">
        <f t="shared" si="50"/>
        <v>0</v>
      </c>
      <c r="BX29" s="34">
        <f t="shared" si="50"/>
        <v>0</v>
      </c>
      <c r="BY29" s="34">
        <f t="shared" si="50"/>
        <v>0</v>
      </c>
      <c r="BZ29" s="34">
        <f t="shared" si="50"/>
        <v>0</v>
      </c>
      <c r="CA29" s="34">
        <f t="shared" si="50"/>
        <v>0</v>
      </c>
      <c r="CB29" s="34">
        <f t="shared" si="50"/>
        <v>0</v>
      </c>
      <c r="CC29" s="34">
        <f t="shared" si="50"/>
        <v>0</v>
      </c>
      <c r="CD29" s="34">
        <f t="shared" si="50"/>
        <v>0</v>
      </c>
      <c r="CE29" s="34">
        <f t="shared" si="50"/>
        <v>0</v>
      </c>
      <c r="CF29" s="34">
        <f t="shared" si="50"/>
        <v>0</v>
      </c>
      <c r="CG29" s="34">
        <f t="shared" si="50"/>
        <v>0</v>
      </c>
      <c r="CH29" s="34">
        <f t="shared" si="50"/>
        <v>0</v>
      </c>
      <c r="CI29" s="34">
        <f t="shared" si="50"/>
        <v>0</v>
      </c>
      <c r="CJ29" s="34">
        <f t="shared" si="50"/>
        <v>0</v>
      </c>
      <c r="CK29" s="34">
        <f t="shared" si="50"/>
        <v>0</v>
      </c>
      <c r="CL29" s="34">
        <f t="shared" si="50"/>
        <v>0</v>
      </c>
      <c r="CM29" s="34">
        <f t="shared" si="50"/>
        <v>0</v>
      </c>
      <c r="CN29" s="34">
        <f t="shared" si="50"/>
        <v>0</v>
      </c>
      <c r="CO29" s="34">
        <f t="shared" si="50"/>
        <v>0</v>
      </c>
      <c r="CP29" s="34">
        <f t="shared" si="50"/>
        <v>0</v>
      </c>
      <c r="CQ29" s="34">
        <f t="shared" si="50"/>
        <v>0</v>
      </c>
      <c r="CR29" s="34">
        <f t="shared" si="50"/>
        <v>0</v>
      </c>
      <c r="CS29" s="34">
        <f t="shared" si="50"/>
        <v>0</v>
      </c>
      <c r="CT29" s="34">
        <f t="shared" si="50"/>
        <v>0</v>
      </c>
      <c r="CU29" s="34">
        <f t="shared" si="50"/>
        <v>0</v>
      </c>
    </row>
    <row r="30" spans="1:99" x14ac:dyDescent="0.3">
      <c r="A30" s="38" t="s">
        <v>371</v>
      </c>
      <c r="B30" s="39">
        <f>SUM(D30:CU30)</f>
        <v>51824067.59067139</v>
      </c>
      <c r="C30" s="40"/>
      <c r="D30" s="39">
        <f t="shared" ref="D30:AI30" si="51">D27+D28+D29</f>
        <v>0</v>
      </c>
      <c r="E30" s="39">
        <f t="shared" si="51"/>
        <v>0</v>
      </c>
      <c r="F30" s="39">
        <f t="shared" si="51"/>
        <v>0</v>
      </c>
      <c r="G30" s="39">
        <f t="shared" si="51"/>
        <v>0</v>
      </c>
      <c r="H30" s="39">
        <f t="shared" si="51"/>
        <v>0</v>
      </c>
      <c r="I30" s="39">
        <f t="shared" si="51"/>
        <v>1889526.3191975728</v>
      </c>
      <c r="J30" s="39">
        <f t="shared" si="51"/>
        <v>1894096.517887237</v>
      </c>
      <c r="K30" s="39">
        <f t="shared" si="51"/>
        <v>1898685.3361320789</v>
      </c>
      <c r="L30" s="39">
        <f t="shared" si="51"/>
        <v>1903292.8497904707</v>
      </c>
      <c r="M30" s="39">
        <f t="shared" si="51"/>
        <v>1907919.1350298412</v>
      </c>
      <c r="N30" s="39">
        <f t="shared" si="51"/>
        <v>1912564.2683279361</v>
      </c>
      <c r="O30" s="39">
        <f t="shared" si="51"/>
        <v>1917228.3264740789</v>
      </c>
      <c r="P30" s="39">
        <f t="shared" si="51"/>
        <v>1921911.3865704425</v>
      </c>
      <c r="Q30" s="39">
        <f t="shared" si="51"/>
        <v>1926613.5260333256</v>
      </c>
      <c r="R30" s="39">
        <f t="shared" si="51"/>
        <v>1931334.8225944284</v>
      </c>
      <c r="S30" s="39">
        <f t="shared" si="51"/>
        <v>1936075.3543021404</v>
      </c>
      <c r="T30" s="39">
        <f t="shared" si="51"/>
        <v>1940835.1995228301</v>
      </c>
      <c r="U30" s="39">
        <f t="shared" si="51"/>
        <v>1945614.4369421392</v>
      </c>
      <c r="V30" s="39">
        <f t="shared" si="51"/>
        <v>1950413.145566287</v>
      </c>
      <c r="W30" s="39">
        <f t="shared" si="51"/>
        <v>1955231.4047233709</v>
      </c>
      <c r="X30" s="39">
        <f t="shared" si="51"/>
        <v>1960069.294064682</v>
      </c>
      <c r="Y30" s="39">
        <f t="shared" si="51"/>
        <v>1964926.8935660212</v>
      </c>
      <c r="Z30" s="39">
        <f t="shared" si="51"/>
        <v>1969804.2835290208</v>
      </c>
      <c r="AA30" s="39">
        <f t="shared" si="51"/>
        <v>1974701.5445824703</v>
      </c>
      <c r="AB30" s="39">
        <f t="shared" si="51"/>
        <v>1979618.7576836525</v>
      </c>
      <c r="AC30" s="39">
        <f t="shared" si="51"/>
        <v>1984556.0041196798</v>
      </c>
      <c r="AD30" s="39">
        <f t="shared" si="51"/>
        <v>1989513.3655088376</v>
      </c>
      <c r="AE30" s="39">
        <f t="shared" si="51"/>
        <v>1994490.9238019353</v>
      </c>
      <c r="AF30" s="39">
        <f t="shared" si="51"/>
        <v>1999488.7612836594</v>
      </c>
      <c r="AG30" s="39">
        <f t="shared" si="51"/>
        <v>2004506.9605739345</v>
      </c>
      <c r="AH30" s="39">
        <f t="shared" si="51"/>
        <v>2009545.6046292889</v>
      </c>
      <c r="AI30" s="39">
        <f t="shared" si="51"/>
        <v>1161503.1682340251</v>
      </c>
      <c r="AJ30" s="39">
        <f t="shared" ref="AJ30:BO30" si="52">AJ27+AJ28+AJ29</f>
        <v>0</v>
      </c>
      <c r="AK30" s="39">
        <f t="shared" si="52"/>
        <v>0</v>
      </c>
      <c r="AL30" s="39">
        <f t="shared" si="52"/>
        <v>0</v>
      </c>
      <c r="AM30" s="39">
        <f t="shared" si="52"/>
        <v>0</v>
      </c>
      <c r="AN30" s="39">
        <f t="shared" si="52"/>
        <v>0</v>
      </c>
      <c r="AO30" s="39">
        <f t="shared" si="52"/>
        <v>0</v>
      </c>
      <c r="AP30" s="39">
        <f t="shared" si="52"/>
        <v>0</v>
      </c>
      <c r="AQ30" s="39">
        <f t="shared" si="52"/>
        <v>0</v>
      </c>
      <c r="AR30" s="39">
        <f t="shared" si="52"/>
        <v>0</v>
      </c>
      <c r="AS30" s="39">
        <f t="shared" si="52"/>
        <v>0</v>
      </c>
      <c r="AT30" s="39">
        <f t="shared" si="52"/>
        <v>0</v>
      </c>
      <c r="AU30" s="39">
        <f t="shared" si="52"/>
        <v>0</v>
      </c>
      <c r="AV30" s="39">
        <f t="shared" si="52"/>
        <v>0</v>
      </c>
      <c r="AW30" s="39">
        <f t="shared" si="52"/>
        <v>0</v>
      </c>
      <c r="AX30" s="39">
        <f t="shared" si="52"/>
        <v>0</v>
      </c>
      <c r="AY30" s="39">
        <f t="shared" si="52"/>
        <v>0</v>
      </c>
      <c r="AZ30" s="39">
        <f t="shared" si="52"/>
        <v>0</v>
      </c>
      <c r="BA30" s="39">
        <f t="shared" si="52"/>
        <v>0</v>
      </c>
      <c r="BB30" s="39">
        <f t="shared" si="52"/>
        <v>0</v>
      </c>
      <c r="BC30" s="39">
        <f t="shared" si="52"/>
        <v>0</v>
      </c>
      <c r="BD30" s="39">
        <f t="shared" si="52"/>
        <v>0</v>
      </c>
      <c r="BE30" s="39">
        <f t="shared" si="52"/>
        <v>0</v>
      </c>
      <c r="BF30" s="39">
        <f t="shared" si="52"/>
        <v>0</v>
      </c>
      <c r="BG30" s="39">
        <f t="shared" si="52"/>
        <v>0</v>
      </c>
      <c r="BH30" s="39">
        <f t="shared" si="52"/>
        <v>0</v>
      </c>
      <c r="BI30" s="39">
        <f t="shared" si="52"/>
        <v>0</v>
      </c>
      <c r="BJ30" s="39">
        <f t="shared" si="52"/>
        <v>0</v>
      </c>
      <c r="BK30" s="39">
        <f t="shared" si="52"/>
        <v>0</v>
      </c>
      <c r="BL30" s="39">
        <f t="shared" si="52"/>
        <v>0</v>
      </c>
      <c r="BM30" s="39">
        <f t="shared" si="52"/>
        <v>0</v>
      </c>
      <c r="BN30" s="39">
        <f t="shared" si="52"/>
        <v>0</v>
      </c>
      <c r="BO30" s="39">
        <f t="shared" si="52"/>
        <v>0</v>
      </c>
      <c r="BP30" s="39">
        <f t="shared" ref="BP30:CU30" si="53">BP27+BP28+BP29</f>
        <v>0</v>
      </c>
      <c r="BQ30" s="39">
        <f t="shared" si="53"/>
        <v>0</v>
      </c>
      <c r="BR30" s="39">
        <f t="shared" si="53"/>
        <v>0</v>
      </c>
      <c r="BS30" s="39">
        <f t="shared" si="53"/>
        <v>0</v>
      </c>
      <c r="BT30" s="39">
        <f t="shared" si="53"/>
        <v>0</v>
      </c>
      <c r="BU30" s="39">
        <f t="shared" si="53"/>
        <v>0</v>
      </c>
      <c r="BV30" s="39">
        <f t="shared" si="53"/>
        <v>0</v>
      </c>
      <c r="BW30" s="39">
        <f t="shared" si="53"/>
        <v>0</v>
      </c>
      <c r="BX30" s="39">
        <f t="shared" si="53"/>
        <v>0</v>
      </c>
      <c r="BY30" s="39">
        <f t="shared" si="53"/>
        <v>0</v>
      </c>
      <c r="BZ30" s="39">
        <f t="shared" si="53"/>
        <v>0</v>
      </c>
      <c r="CA30" s="39">
        <f t="shared" si="53"/>
        <v>0</v>
      </c>
      <c r="CB30" s="39">
        <f t="shared" si="53"/>
        <v>0</v>
      </c>
      <c r="CC30" s="39">
        <f t="shared" si="53"/>
        <v>0</v>
      </c>
      <c r="CD30" s="39">
        <f t="shared" si="53"/>
        <v>0</v>
      </c>
      <c r="CE30" s="39">
        <f t="shared" si="53"/>
        <v>0</v>
      </c>
      <c r="CF30" s="39">
        <f t="shared" si="53"/>
        <v>0</v>
      </c>
      <c r="CG30" s="39">
        <f t="shared" si="53"/>
        <v>0</v>
      </c>
      <c r="CH30" s="39">
        <f t="shared" si="53"/>
        <v>0</v>
      </c>
      <c r="CI30" s="39">
        <f t="shared" si="53"/>
        <v>0</v>
      </c>
      <c r="CJ30" s="39">
        <f t="shared" si="53"/>
        <v>0</v>
      </c>
      <c r="CK30" s="39">
        <f t="shared" si="53"/>
        <v>0</v>
      </c>
      <c r="CL30" s="39">
        <f t="shared" si="53"/>
        <v>0</v>
      </c>
      <c r="CM30" s="39">
        <f t="shared" si="53"/>
        <v>0</v>
      </c>
      <c r="CN30" s="39">
        <f t="shared" si="53"/>
        <v>0</v>
      </c>
      <c r="CO30" s="39">
        <f t="shared" si="53"/>
        <v>0</v>
      </c>
      <c r="CP30" s="39">
        <f t="shared" si="53"/>
        <v>0</v>
      </c>
      <c r="CQ30" s="39">
        <f t="shared" si="53"/>
        <v>0</v>
      </c>
      <c r="CR30" s="39">
        <f t="shared" si="53"/>
        <v>0</v>
      </c>
      <c r="CS30" s="39">
        <f t="shared" si="53"/>
        <v>0</v>
      </c>
      <c r="CT30" s="39">
        <f t="shared" si="53"/>
        <v>0</v>
      </c>
      <c r="CU30" s="39">
        <f t="shared" si="53"/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7345E"/>
  </sheetPr>
  <dimension ref="A1:CU20"/>
  <sheetViews>
    <sheetView showGridLines="0" workbookViewId="0">
      <pane xSplit="3" ySplit="4" topLeftCell="D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46" customWidth="1"/>
    <col min="2" max="2" width="16" customWidth="1"/>
    <col min="3" max="3" width="22" customWidth="1"/>
    <col min="4" max="99" width="11" customWidth="1"/>
  </cols>
  <sheetData>
    <row r="1" spans="1:99" ht="21" x14ac:dyDescent="0.4">
      <c r="A1" s="10" t="s">
        <v>372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</row>
    <row r="2" spans="1:99" x14ac:dyDescent="0.3">
      <c r="A2" s="11" t="s">
        <v>373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</row>
    <row r="3" spans="1:99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</row>
    <row r="4" spans="1:99" x14ac:dyDescent="0.3">
      <c r="A4" s="12" t="s">
        <v>285</v>
      </c>
      <c r="B4" s="12" t="s">
        <v>309</v>
      </c>
      <c r="C4" s="12" t="s">
        <v>324</v>
      </c>
      <c r="D4" s="24">
        <v>0</v>
      </c>
      <c r="E4" s="24">
        <f t="shared" ref="E4:AJ4" si="0">D4+1</f>
        <v>1</v>
      </c>
      <c r="F4" s="24">
        <f t="shared" si="0"/>
        <v>2</v>
      </c>
      <c r="G4" s="24">
        <f t="shared" si="0"/>
        <v>3</v>
      </c>
      <c r="H4" s="24">
        <f t="shared" si="0"/>
        <v>4</v>
      </c>
      <c r="I4" s="24">
        <f t="shared" si="0"/>
        <v>5</v>
      </c>
      <c r="J4" s="24">
        <f t="shared" si="0"/>
        <v>6</v>
      </c>
      <c r="K4" s="24">
        <f t="shared" si="0"/>
        <v>7</v>
      </c>
      <c r="L4" s="24">
        <f t="shared" si="0"/>
        <v>8</v>
      </c>
      <c r="M4" s="24">
        <f t="shared" si="0"/>
        <v>9</v>
      </c>
      <c r="N4" s="24">
        <f t="shared" si="0"/>
        <v>10</v>
      </c>
      <c r="O4" s="24">
        <f t="shared" si="0"/>
        <v>11</v>
      </c>
      <c r="P4" s="24">
        <f t="shared" si="0"/>
        <v>12</v>
      </c>
      <c r="Q4" s="24">
        <f t="shared" si="0"/>
        <v>13</v>
      </c>
      <c r="R4" s="24">
        <f t="shared" si="0"/>
        <v>14</v>
      </c>
      <c r="S4" s="24">
        <f t="shared" si="0"/>
        <v>15</v>
      </c>
      <c r="T4" s="24">
        <f t="shared" si="0"/>
        <v>16</v>
      </c>
      <c r="U4" s="24">
        <f t="shared" si="0"/>
        <v>17</v>
      </c>
      <c r="V4" s="24">
        <f t="shared" si="0"/>
        <v>18</v>
      </c>
      <c r="W4" s="24">
        <f t="shared" si="0"/>
        <v>19</v>
      </c>
      <c r="X4" s="24">
        <f t="shared" si="0"/>
        <v>20</v>
      </c>
      <c r="Y4" s="24">
        <f t="shared" si="0"/>
        <v>21</v>
      </c>
      <c r="Z4" s="24">
        <f t="shared" si="0"/>
        <v>22</v>
      </c>
      <c r="AA4" s="24">
        <f t="shared" si="0"/>
        <v>23</v>
      </c>
      <c r="AB4" s="24">
        <f t="shared" si="0"/>
        <v>24</v>
      </c>
      <c r="AC4" s="24">
        <f t="shared" si="0"/>
        <v>25</v>
      </c>
      <c r="AD4" s="24">
        <f t="shared" si="0"/>
        <v>26</v>
      </c>
      <c r="AE4" s="24">
        <f t="shared" si="0"/>
        <v>27</v>
      </c>
      <c r="AF4" s="24">
        <f t="shared" si="0"/>
        <v>28</v>
      </c>
      <c r="AG4" s="24">
        <f t="shared" si="0"/>
        <v>29</v>
      </c>
      <c r="AH4" s="24">
        <f t="shared" si="0"/>
        <v>30</v>
      </c>
      <c r="AI4" s="24">
        <f t="shared" si="0"/>
        <v>31</v>
      </c>
      <c r="AJ4" s="24">
        <f t="shared" si="0"/>
        <v>32</v>
      </c>
      <c r="AK4" s="24">
        <f t="shared" ref="AK4:BP4" si="1">AJ4+1</f>
        <v>33</v>
      </c>
      <c r="AL4" s="24">
        <f t="shared" si="1"/>
        <v>34</v>
      </c>
      <c r="AM4" s="24">
        <f t="shared" si="1"/>
        <v>35</v>
      </c>
      <c r="AN4" s="24">
        <f t="shared" si="1"/>
        <v>36</v>
      </c>
      <c r="AO4" s="24">
        <f t="shared" si="1"/>
        <v>37</v>
      </c>
      <c r="AP4" s="24">
        <f t="shared" si="1"/>
        <v>38</v>
      </c>
      <c r="AQ4" s="24">
        <f t="shared" si="1"/>
        <v>39</v>
      </c>
      <c r="AR4" s="24">
        <f t="shared" si="1"/>
        <v>40</v>
      </c>
      <c r="AS4" s="24">
        <f t="shared" si="1"/>
        <v>41</v>
      </c>
      <c r="AT4" s="24">
        <f t="shared" si="1"/>
        <v>42</v>
      </c>
      <c r="AU4" s="24">
        <f t="shared" si="1"/>
        <v>43</v>
      </c>
      <c r="AV4" s="24">
        <f t="shared" si="1"/>
        <v>44</v>
      </c>
      <c r="AW4" s="24">
        <f t="shared" si="1"/>
        <v>45</v>
      </c>
      <c r="AX4" s="24">
        <f t="shared" si="1"/>
        <v>46</v>
      </c>
      <c r="AY4" s="24">
        <f t="shared" si="1"/>
        <v>47</v>
      </c>
      <c r="AZ4" s="24">
        <f t="shared" si="1"/>
        <v>48</v>
      </c>
      <c r="BA4" s="24">
        <f t="shared" si="1"/>
        <v>49</v>
      </c>
      <c r="BB4" s="24">
        <f t="shared" si="1"/>
        <v>50</v>
      </c>
      <c r="BC4" s="24">
        <f t="shared" si="1"/>
        <v>51</v>
      </c>
      <c r="BD4" s="24">
        <f t="shared" si="1"/>
        <v>52</v>
      </c>
      <c r="BE4" s="24">
        <f t="shared" si="1"/>
        <v>53</v>
      </c>
      <c r="BF4" s="24">
        <f t="shared" si="1"/>
        <v>54</v>
      </c>
      <c r="BG4" s="24">
        <f t="shared" si="1"/>
        <v>55</v>
      </c>
      <c r="BH4" s="24">
        <f t="shared" si="1"/>
        <v>56</v>
      </c>
      <c r="BI4" s="24">
        <f t="shared" si="1"/>
        <v>57</v>
      </c>
      <c r="BJ4" s="24">
        <f t="shared" si="1"/>
        <v>58</v>
      </c>
      <c r="BK4" s="24">
        <f t="shared" si="1"/>
        <v>59</v>
      </c>
      <c r="BL4" s="24">
        <f t="shared" si="1"/>
        <v>60</v>
      </c>
      <c r="BM4" s="24">
        <f t="shared" si="1"/>
        <v>61</v>
      </c>
      <c r="BN4" s="24">
        <f t="shared" si="1"/>
        <v>62</v>
      </c>
      <c r="BO4" s="24">
        <f t="shared" si="1"/>
        <v>63</v>
      </c>
      <c r="BP4" s="24">
        <f t="shared" si="1"/>
        <v>64</v>
      </c>
      <c r="BQ4" s="24">
        <f t="shared" ref="BQ4:CU4" si="2">BP4+1</f>
        <v>65</v>
      </c>
      <c r="BR4" s="24">
        <f t="shared" si="2"/>
        <v>66</v>
      </c>
      <c r="BS4" s="24">
        <f t="shared" si="2"/>
        <v>67</v>
      </c>
      <c r="BT4" s="24">
        <f t="shared" si="2"/>
        <v>68</v>
      </c>
      <c r="BU4" s="24">
        <f t="shared" si="2"/>
        <v>69</v>
      </c>
      <c r="BV4" s="24">
        <f t="shared" si="2"/>
        <v>70</v>
      </c>
      <c r="BW4" s="24">
        <f t="shared" si="2"/>
        <v>71</v>
      </c>
      <c r="BX4" s="24">
        <f t="shared" si="2"/>
        <v>72</v>
      </c>
      <c r="BY4" s="24">
        <f t="shared" si="2"/>
        <v>73</v>
      </c>
      <c r="BZ4" s="24">
        <f t="shared" si="2"/>
        <v>74</v>
      </c>
      <c r="CA4" s="24">
        <f t="shared" si="2"/>
        <v>75</v>
      </c>
      <c r="CB4" s="24">
        <f t="shared" si="2"/>
        <v>76</v>
      </c>
      <c r="CC4" s="24">
        <f t="shared" si="2"/>
        <v>77</v>
      </c>
      <c r="CD4" s="24">
        <f t="shared" si="2"/>
        <v>78</v>
      </c>
      <c r="CE4" s="24">
        <f t="shared" si="2"/>
        <v>79</v>
      </c>
      <c r="CF4" s="24">
        <f t="shared" si="2"/>
        <v>80</v>
      </c>
      <c r="CG4" s="24">
        <f t="shared" si="2"/>
        <v>81</v>
      </c>
      <c r="CH4" s="24">
        <f t="shared" si="2"/>
        <v>82</v>
      </c>
      <c r="CI4" s="24">
        <f t="shared" si="2"/>
        <v>83</v>
      </c>
      <c r="CJ4" s="24">
        <f t="shared" si="2"/>
        <v>84</v>
      </c>
      <c r="CK4" s="24">
        <f t="shared" si="2"/>
        <v>85</v>
      </c>
      <c r="CL4" s="24">
        <f t="shared" si="2"/>
        <v>86</v>
      </c>
      <c r="CM4" s="24">
        <f t="shared" si="2"/>
        <v>87</v>
      </c>
      <c r="CN4" s="24">
        <f t="shared" si="2"/>
        <v>88</v>
      </c>
      <c r="CO4" s="24">
        <f t="shared" si="2"/>
        <v>89</v>
      </c>
      <c r="CP4" s="24">
        <f t="shared" si="2"/>
        <v>90</v>
      </c>
      <c r="CQ4" s="24">
        <f t="shared" si="2"/>
        <v>91</v>
      </c>
      <c r="CR4" s="24">
        <f t="shared" si="2"/>
        <v>92</v>
      </c>
      <c r="CS4" s="24">
        <f t="shared" si="2"/>
        <v>93</v>
      </c>
      <c r="CT4" s="24">
        <f t="shared" si="2"/>
        <v>94</v>
      </c>
      <c r="CU4" s="24">
        <f t="shared" si="2"/>
        <v>95</v>
      </c>
    </row>
    <row r="5" spans="1:99" x14ac:dyDescent="0.3">
      <c r="A5" s="7" t="s">
        <v>374</v>
      </c>
      <c r="B5" s="34">
        <f>IF(in_ground_up=1,T_Delivery+1,1)</f>
        <v>33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</row>
    <row r="6" spans="1:99" x14ac:dyDescent="0.3">
      <c r="A6" s="7" t="s">
        <v>375</v>
      </c>
      <c r="B6" s="34">
        <f>IF(in_ground_up=1,T_Delivery,0)+in_rent_hold_years*12</f>
        <v>92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</row>
    <row r="7" spans="1:99" x14ac:dyDescent="0.3">
      <c r="A7" s="7" t="s">
        <v>376</v>
      </c>
      <c r="B7" s="34">
        <f>IF(in_mode_sale=0,in_rent_rent_per_area_month,0)*(1+in_green_rent_prem)*CV_PriceMult</f>
        <v>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</row>
    <row r="8" spans="1:99" x14ac:dyDescent="0.3">
      <c r="A8" s="7" t="s">
        <v>377</v>
      </c>
      <c r="B8" s="43">
        <f>(1+in_rent_growth_pct)^(1/12)</f>
        <v>1.0032737397821989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</row>
    <row r="9" spans="1:99" x14ac:dyDescent="0.3">
      <c r="A9" s="7" t="s">
        <v>378</v>
      </c>
      <c r="B9" s="34">
        <f>(D_Saleable*R_Rent*(1-in_rent_vacancy_pct)*(1-in_rent_concessions_pct)*(1-in_rent_opex_pct_egi)+in_green_savings/12)*IF(R_q=1,12,R_q^R_Exit*R_q*(R_q^12-1)/(R_q-1))</f>
        <v>0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</row>
    <row r="10" spans="1:99" x14ac:dyDescent="0.3">
      <c r="A10" s="7" t="s">
        <v>379</v>
      </c>
      <c r="B10" s="34">
        <f>IF(in_mode_sale=0,IF(in_rent_exit_cap_pct&gt;0,R_FwdNOI/in_rent_exit_cap_pct,0),0)</f>
        <v>0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</row>
    <row r="11" spans="1:99" x14ac:dyDescent="0.3">
      <c r="A11" s="7" t="s">
        <v>380</v>
      </c>
      <c r="B11" s="34">
        <f>12*(D_Saleable*R_Rent*(1+in_rent_growth_pct)^((R_Start+IF(in_ground_up=1,in_rent_lease_up_months,0))/12)*(1-in_rent_vacancy_pct)*(1-in_rent_concessions_pct)*(1-in_rent_opex_pct_egi)+in_green_savings/12*(1+in_rent_growth_pct)^((R_Start+IF(in_ground_up=1,in_rent_lease_up_months,0))/12))</f>
        <v>0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</row>
    <row r="12" spans="1:99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</row>
    <row r="13" spans="1:99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</row>
    <row r="14" spans="1:99" x14ac:dyDescent="0.3">
      <c r="A14" s="7" t="s">
        <v>381</v>
      </c>
      <c r="B14" s="1"/>
      <c r="C14" s="11"/>
      <c r="D14" s="44">
        <f t="shared" ref="D14:AI14" si="3">IF(OR(in_mode_sale=1,D$4&lt;R_Start,D$4&gt;R_Exit),0,IF(AND(in_ground_up=1,in_rent_lease_up_months&gt;0,D$4-R_Start&lt;in_rent_lease_up_months),(1-in_rent_vacancy_pct)*(D$4-R_Start+1)/in_rent_lease_up_months,1-in_rent_vacancy_pct))</f>
        <v>0</v>
      </c>
      <c r="E14" s="44">
        <f t="shared" si="3"/>
        <v>0</v>
      </c>
      <c r="F14" s="44">
        <f t="shared" si="3"/>
        <v>0</v>
      </c>
      <c r="G14" s="44">
        <f t="shared" si="3"/>
        <v>0</v>
      </c>
      <c r="H14" s="44">
        <f t="shared" si="3"/>
        <v>0</v>
      </c>
      <c r="I14" s="44">
        <f t="shared" si="3"/>
        <v>0</v>
      </c>
      <c r="J14" s="44">
        <f t="shared" si="3"/>
        <v>0</v>
      </c>
      <c r="K14" s="44">
        <f t="shared" si="3"/>
        <v>0</v>
      </c>
      <c r="L14" s="44">
        <f t="shared" si="3"/>
        <v>0</v>
      </c>
      <c r="M14" s="44">
        <f t="shared" si="3"/>
        <v>0</v>
      </c>
      <c r="N14" s="44">
        <f t="shared" si="3"/>
        <v>0</v>
      </c>
      <c r="O14" s="44">
        <f t="shared" si="3"/>
        <v>0</v>
      </c>
      <c r="P14" s="44">
        <f t="shared" si="3"/>
        <v>0</v>
      </c>
      <c r="Q14" s="44">
        <f t="shared" si="3"/>
        <v>0</v>
      </c>
      <c r="R14" s="44">
        <f t="shared" si="3"/>
        <v>0</v>
      </c>
      <c r="S14" s="44">
        <f t="shared" si="3"/>
        <v>0</v>
      </c>
      <c r="T14" s="44">
        <f t="shared" si="3"/>
        <v>0</v>
      </c>
      <c r="U14" s="44">
        <f t="shared" si="3"/>
        <v>0</v>
      </c>
      <c r="V14" s="44">
        <f t="shared" si="3"/>
        <v>0</v>
      </c>
      <c r="W14" s="44">
        <f t="shared" si="3"/>
        <v>0</v>
      </c>
      <c r="X14" s="44">
        <f t="shared" si="3"/>
        <v>0</v>
      </c>
      <c r="Y14" s="44">
        <f t="shared" si="3"/>
        <v>0</v>
      </c>
      <c r="Z14" s="44">
        <f t="shared" si="3"/>
        <v>0</v>
      </c>
      <c r="AA14" s="44">
        <f t="shared" si="3"/>
        <v>0</v>
      </c>
      <c r="AB14" s="44">
        <f t="shared" si="3"/>
        <v>0</v>
      </c>
      <c r="AC14" s="44">
        <f t="shared" si="3"/>
        <v>0</v>
      </c>
      <c r="AD14" s="44">
        <f t="shared" si="3"/>
        <v>0</v>
      </c>
      <c r="AE14" s="44">
        <f t="shared" si="3"/>
        <v>0</v>
      </c>
      <c r="AF14" s="44">
        <f t="shared" si="3"/>
        <v>0</v>
      </c>
      <c r="AG14" s="44">
        <f t="shared" si="3"/>
        <v>0</v>
      </c>
      <c r="AH14" s="44">
        <f t="shared" si="3"/>
        <v>0</v>
      </c>
      <c r="AI14" s="44">
        <f t="shared" si="3"/>
        <v>0</v>
      </c>
      <c r="AJ14" s="44">
        <f t="shared" ref="AJ14:BO14" si="4">IF(OR(in_mode_sale=1,AJ$4&lt;R_Start,AJ$4&gt;R_Exit),0,IF(AND(in_ground_up=1,in_rent_lease_up_months&gt;0,AJ$4-R_Start&lt;in_rent_lease_up_months),(1-in_rent_vacancy_pct)*(AJ$4-R_Start+1)/in_rent_lease_up_months,1-in_rent_vacancy_pct))</f>
        <v>0</v>
      </c>
      <c r="AK14" s="44">
        <f t="shared" si="4"/>
        <v>0</v>
      </c>
      <c r="AL14" s="44">
        <f t="shared" si="4"/>
        <v>0</v>
      </c>
      <c r="AM14" s="44">
        <f t="shared" si="4"/>
        <v>0</v>
      </c>
      <c r="AN14" s="44">
        <f t="shared" si="4"/>
        <v>0</v>
      </c>
      <c r="AO14" s="44">
        <f t="shared" si="4"/>
        <v>0</v>
      </c>
      <c r="AP14" s="44">
        <f t="shared" si="4"/>
        <v>0</v>
      </c>
      <c r="AQ14" s="44">
        <f t="shared" si="4"/>
        <v>0</v>
      </c>
      <c r="AR14" s="44">
        <f t="shared" si="4"/>
        <v>0</v>
      </c>
      <c r="AS14" s="44">
        <f t="shared" si="4"/>
        <v>0</v>
      </c>
      <c r="AT14" s="44">
        <f t="shared" si="4"/>
        <v>0</v>
      </c>
      <c r="AU14" s="44">
        <f t="shared" si="4"/>
        <v>0</v>
      </c>
      <c r="AV14" s="44">
        <f t="shared" si="4"/>
        <v>0</v>
      </c>
      <c r="AW14" s="44">
        <f t="shared" si="4"/>
        <v>0</v>
      </c>
      <c r="AX14" s="44">
        <f t="shared" si="4"/>
        <v>0</v>
      </c>
      <c r="AY14" s="44">
        <f t="shared" si="4"/>
        <v>0</v>
      </c>
      <c r="AZ14" s="44">
        <f t="shared" si="4"/>
        <v>0</v>
      </c>
      <c r="BA14" s="44">
        <f t="shared" si="4"/>
        <v>0</v>
      </c>
      <c r="BB14" s="44">
        <f t="shared" si="4"/>
        <v>0</v>
      </c>
      <c r="BC14" s="44">
        <f t="shared" si="4"/>
        <v>0</v>
      </c>
      <c r="BD14" s="44">
        <f t="shared" si="4"/>
        <v>0</v>
      </c>
      <c r="BE14" s="44">
        <f t="shared" si="4"/>
        <v>0</v>
      </c>
      <c r="BF14" s="44">
        <f t="shared" si="4"/>
        <v>0</v>
      </c>
      <c r="BG14" s="44">
        <f t="shared" si="4"/>
        <v>0</v>
      </c>
      <c r="BH14" s="44">
        <f t="shared" si="4"/>
        <v>0</v>
      </c>
      <c r="BI14" s="44">
        <f t="shared" si="4"/>
        <v>0</v>
      </c>
      <c r="BJ14" s="44">
        <f t="shared" si="4"/>
        <v>0</v>
      </c>
      <c r="BK14" s="44">
        <f t="shared" si="4"/>
        <v>0</v>
      </c>
      <c r="BL14" s="44">
        <f t="shared" si="4"/>
        <v>0</v>
      </c>
      <c r="BM14" s="44">
        <f t="shared" si="4"/>
        <v>0</v>
      </c>
      <c r="BN14" s="44">
        <f t="shared" si="4"/>
        <v>0</v>
      </c>
      <c r="BO14" s="44">
        <f t="shared" si="4"/>
        <v>0</v>
      </c>
      <c r="BP14" s="44">
        <f t="shared" ref="BP14:CU14" si="5">IF(OR(in_mode_sale=1,BP$4&lt;R_Start,BP$4&gt;R_Exit),0,IF(AND(in_ground_up=1,in_rent_lease_up_months&gt;0,BP$4-R_Start&lt;in_rent_lease_up_months),(1-in_rent_vacancy_pct)*(BP$4-R_Start+1)/in_rent_lease_up_months,1-in_rent_vacancy_pct))</f>
        <v>0</v>
      </c>
      <c r="BQ14" s="44">
        <f t="shared" si="5"/>
        <v>0</v>
      </c>
      <c r="BR14" s="44">
        <f t="shared" si="5"/>
        <v>0</v>
      </c>
      <c r="BS14" s="44">
        <f t="shared" si="5"/>
        <v>0</v>
      </c>
      <c r="BT14" s="44">
        <f t="shared" si="5"/>
        <v>0</v>
      </c>
      <c r="BU14" s="44">
        <f t="shared" si="5"/>
        <v>0</v>
      </c>
      <c r="BV14" s="44">
        <f t="shared" si="5"/>
        <v>0</v>
      </c>
      <c r="BW14" s="44">
        <f t="shared" si="5"/>
        <v>0</v>
      </c>
      <c r="BX14" s="44">
        <f t="shared" si="5"/>
        <v>0</v>
      </c>
      <c r="BY14" s="44">
        <f t="shared" si="5"/>
        <v>0</v>
      </c>
      <c r="BZ14" s="44">
        <f t="shared" si="5"/>
        <v>0</v>
      </c>
      <c r="CA14" s="44">
        <f t="shared" si="5"/>
        <v>0</v>
      </c>
      <c r="CB14" s="44">
        <f t="shared" si="5"/>
        <v>0</v>
      </c>
      <c r="CC14" s="44">
        <f t="shared" si="5"/>
        <v>0</v>
      </c>
      <c r="CD14" s="44">
        <f t="shared" si="5"/>
        <v>0</v>
      </c>
      <c r="CE14" s="44">
        <f t="shared" si="5"/>
        <v>0</v>
      </c>
      <c r="CF14" s="44">
        <f t="shared" si="5"/>
        <v>0</v>
      </c>
      <c r="CG14" s="44">
        <f t="shared" si="5"/>
        <v>0</v>
      </c>
      <c r="CH14" s="44">
        <f t="shared" si="5"/>
        <v>0</v>
      </c>
      <c r="CI14" s="44">
        <f t="shared" si="5"/>
        <v>0</v>
      </c>
      <c r="CJ14" s="44">
        <f t="shared" si="5"/>
        <v>0</v>
      </c>
      <c r="CK14" s="44">
        <f t="shared" si="5"/>
        <v>0</v>
      </c>
      <c r="CL14" s="44">
        <f t="shared" si="5"/>
        <v>0</v>
      </c>
      <c r="CM14" s="44">
        <f t="shared" si="5"/>
        <v>0</v>
      </c>
      <c r="CN14" s="44">
        <f t="shared" si="5"/>
        <v>0</v>
      </c>
      <c r="CO14" s="44">
        <f t="shared" si="5"/>
        <v>0</v>
      </c>
      <c r="CP14" s="44">
        <f t="shared" si="5"/>
        <v>0</v>
      </c>
      <c r="CQ14" s="44">
        <f t="shared" si="5"/>
        <v>0</v>
      </c>
      <c r="CR14" s="44">
        <f t="shared" si="5"/>
        <v>0</v>
      </c>
      <c r="CS14" s="44">
        <f t="shared" si="5"/>
        <v>0</v>
      </c>
      <c r="CT14" s="44">
        <f t="shared" si="5"/>
        <v>0</v>
      </c>
      <c r="CU14" s="44">
        <f t="shared" si="5"/>
        <v>0</v>
      </c>
    </row>
    <row r="15" spans="1:99" x14ac:dyDescent="0.3">
      <c r="A15" s="7" t="s">
        <v>382</v>
      </c>
      <c r="B15" s="21">
        <f t="shared" ref="B15:B20" si="6">SUM(D15:CU15)</f>
        <v>0</v>
      </c>
      <c r="C15" s="11"/>
      <c r="D15" s="34">
        <f t="shared" ref="D15:AI15" si="7">IF(OR(in_mode_sale=1,D$4&lt;R_Start,D$4&gt;R_Exit),0,D_Saleable*R_Rent*(1+in_rent_growth_pct)^(D$4/12))</f>
        <v>0</v>
      </c>
      <c r="E15" s="34">
        <f t="shared" si="7"/>
        <v>0</v>
      </c>
      <c r="F15" s="34">
        <f t="shared" si="7"/>
        <v>0</v>
      </c>
      <c r="G15" s="34">
        <f t="shared" si="7"/>
        <v>0</v>
      </c>
      <c r="H15" s="34">
        <f t="shared" si="7"/>
        <v>0</v>
      </c>
      <c r="I15" s="34">
        <f t="shared" si="7"/>
        <v>0</v>
      </c>
      <c r="J15" s="34">
        <f t="shared" si="7"/>
        <v>0</v>
      </c>
      <c r="K15" s="34">
        <f t="shared" si="7"/>
        <v>0</v>
      </c>
      <c r="L15" s="34">
        <f t="shared" si="7"/>
        <v>0</v>
      </c>
      <c r="M15" s="34">
        <f t="shared" si="7"/>
        <v>0</v>
      </c>
      <c r="N15" s="34">
        <f t="shared" si="7"/>
        <v>0</v>
      </c>
      <c r="O15" s="34">
        <f t="shared" si="7"/>
        <v>0</v>
      </c>
      <c r="P15" s="34">
        <f t="shared" si="7"/>
        <v>0</v>
      </c>
      <c r="Q15" s="34">
        <f t="shared" si="7"/>
        <v>0</v>
      </c>
      <c r="R15" s="34">
        <f t="shared" si="7"/>
        <v>0</v>
      </c>
      <c r="S15" s="34">
        <f t="shared" si="7"/>
        <v>0</v>
      </c>
      <c r="T15" s="34">
        <f t="shared" si="7"/>
        <v>0</v>
      </c>
      <c r="U15" s="34">
        <f t="shared" si="7"/>
        <v>0</v>
      </c>
      <c r="V15" s="34">
        <f t="shared" si="7"/>
        <v>0</v>
      </c>
      <c r="W15" s="34">
        <f t="shared" si="7"/>
        <v>0</v>
      </c>
      <c r="X15" s="34">
        <f t="shared" si="7"/>
        <v>0</v>
      </c>
      <c r="Y15" s="34">
        <f t="shared" si="7"/>
        <v>0</v>
      </c>
      <c r="Z15" s="34">
        <f t="shared" si="7"/>
        <v>0</v>
      </c>
      <c r="AA15" s="34">
        <f t="shared" si="7"/>
        <v>0</v>
      </c>
      <c r="AB15" s="34">
        <f t="shared" si="7"/>
        <v>0</v>
      </c>
      <c r="AC15" s="34">
        <f t="shared" si="7"/>
        <v>0</v>
      </c>
      <c r="AD15" s="34">
        <f t="shared" si="7"/>
        <v>0</v>
      </c>
      <c r="AE15" s="34">
        <f t="shared" si="7"/>
        <v>0</v>
      </c>
      <c r="AF15" s="34">
        <f t="shared" si="7"/>
        <v>0</v>
      </c>
      <c r="AG15" s="34">
        <f t="shared" si="7"/>
        <v>0</v>
      </c>
      <c r="AH15" s="34">
        <f t="shared" si="7"/>
        <v>0</v>
      </c>
      <c r="AI15" s="34">
        <f t="shared" si="7"/>
        <v>0</v>
      </c>
      <c r="AJ15" s="34">
        <f t="shared" ref="AJ15:BO15" si="8">IF(OR(in_mode_sale=1,AJ$4&lt;R_Start,AJ$4&gt;R_Exit),0,D_Saleable*R_Rent*(1+in_rent_growth_pct)^(AJ$4/12))</f>
        <v>0</v>
      </c>
      <c r="AK15" s="34">
        <f t="shared" si="8"/>
        <v>0</v>
      </c>
      <c r="AL15" s="34">
        <f t="shared" si="8"/>
        <v>0</v>
      </c>
      <c r="AM15" s="34">
        <f t="shared" si="8"/>
        <v>0</v>
      </c>
      <c r="AN15" s="34">
        <f t="shared" si="8"/>
        <v>0</v>
      </c>
      <c r="AO15" s="34">
        <f t="shared" si="8"/>
        <v>0</v>
      </c>
      <c r="AP15" s="34">
        <f t="shared" si="8"/>
        <v>0</v>
      </c>
      <c r="AQ15" s="34">
        <f t="shared" si="8"/>
        <v>0</v>
      </c>
      <c r="AR15" s="34">
        <f t="shared" si="8"/>
        <v>0</v>
      </c>
      <c r="AS15" s="34">
        <f t="shared" si="8"/>
        <v>0</v>
      </c>
      <c r="AT15" s="34">
        <f t="shared" si="8"/>
        <v>0</v>
      </c>
      <c r="AU15" s="34">
        <f t="shared" si="8"/>
        <v>0</v>
      </c>
      <c r="AV15" s="34">
        <f t="shared" si="8"/>
        <v>0</v>
      </c>
      <c r="AW15" s="34">
        <f t="shared" si="8"/>
        <v>0</v>
      </c>
      <c r="AX15" s="34">
        <f t="shared" si="8"/>
        <v>0</v>
      </c>
      <c r="AY15" s="34">
        <f t="shared" si="8"/>
        <v>0</v>
      </c>
      <c r="AZ15" s="34">
        <f t="shared" si="8"/>
        <v>0</v>
      </c>
      <c r="BA15" s="34">
        <f t="shared" si="8"/>
        <v>0</v>
      </c>
      <c r="BB15" s="34">
        <f t="shared" si="8"/>
        <v>0</v>
      </c>
      <c r="BC15" s="34">
        <f t="shared" si="8"/>
        <v>0</v>
      </c>
      <c r="BD15" s="34">
        <f t="shared" si="8"/>
        <v>0</v>
      </c>
      <c r="BE15" s="34">
        <f t="shared" si="8"/>
        <v>0</v>
      </c>
      <c r="BF15" s="34">
        <f t="shared" si="8"/>
        <v>0</v>
      </c>
      <c r="BG15" s="34">
        <f t="shared" si="8"/>
        <v>0</v>
      </c>
      <c r="BH15" s="34">
        <f t="shared" si="8"/>
        <v>0</v>
      </c>
      <c r="BI15" s="34">
        <f t="shared" si="8"/>
        <v>0</v>
      </c>
      <c r="BJ15" s="34">
        <f t="shared" si="8"/>
        <v>0</v>
      </c>
      <c r="BK15" s="34">
        <f t="shared" si="8"/>
        <v>0</v>
      </c>
      <c r="BL15" s="34">
        <f t="shared" si="8"/>
        <v>0</v>
      </c>
      <c r="BM15" s="34">
        <f t="shared" si="8"/>
        <v>0</v>
      </c>
      <c r="BN15" s="34">
        <f t="shared" si="8"/>
        <v>0</v>
      </c>
      <c r="BO15" s="34">
        <f t="shared" si="8"/>
        <v>0</v>
      </c>
      <c r="BP15" s="34">
        <f t="shared" ref="BP15:CU15" si="9">IF(OR(in_mode_sale=1,BP$4&lt;R_Start,BP$4&gt;R_Exit),0,D_Saleable*R_Rent*(1+in_rent_growth_pct)^(BP$4/12))</f>
        <v>0</v>
      </c>
      <c r="BQ15" s="34">
        <f t="shared" si="9"/>
        <v>0</v>
      </c>
      <c r="BR15" s="34">
        <f t="shared" si="9"/>
        <v>0</v>
      </c>
      <c r="BS15" s="34">
        <f t="shared" si="9"/>
        <v>0</v>
      </c>
      <c r="BT15" s="34">
        <f t="shared" si="9"/>
        <v>0</v>
      </c>
      <c r="BU15" s="34">
        <f t="shared" si="9"/>
        <v>0</v>
      </c>
      <c r="BV15" s="34">
        <f t="shared" si="9"/>
        <v>0</v>
      </c>
      <c r="BW15" s="34">
        <f t="shared" si="9"/>
        <v>0</v>
      </c>
      <c r="BX15" s="34">
        <f t="shared" si="9"/>
        <v>0</v>
      </c>
      <c r="BY15" s="34">
        <f t="shared" si="9"/>
        <v>0</v>
      </c>
      <c r="BZ15" s="34">
        <f t="shared" si="9"/>
        <v>0</v>
      </c>
      <c r="CA15" s="34">
        <f t="shared" si="9"/>
        <v>0</v>
      </c>
      <c r="CB15" s="34">
        <f t="shared" si="9"/>
        <v>0</v>
      </c>
      <c r="CC15" s="34">
        <f t="shared" si="9"/>
        <v>0</v>
      </c>
      <c r="CD15" s="34">
        <f t="shared" si="9"/>
        <v>0</v>
      </c>
      <c r="CE15" s="34">
        <f t="shared" si="9"/>
        <v>0</v>
      </c>
      <c r="CF15" s="34">
        <f t="shared" si="9"/>
        <v>0</v>
      </c>
      <c r="CG15" s="34">
        <f t="shared" si="9"/>
        <v>0</v>
      </c>
      <c r="CH15" s="34">
        <f t="shared" si="9"/>
        <v>0</v>
      </c>
      <c r="CI15" s="34">
        <f t="shared" si="9"/>
        <v>0</v>
      </c>
      <c r="CJ15" s="34">
        <f t="shared" si="9"/>
        <v>0</v>
      </c>
      <c r="CK15" s="34">
        <f t="shared" si="9"/>
        <v>0</v>
      </c>
      <c r="CL15" s="34">
        <f t="shared" si="9"/>
        <v>0</v>
      </c>
      <c r="CM15" s="34">
        <f t="shared" si="9"/>
        <v>0</v>
      </c>
      <c r="CN15" s="34">
        <f t="shared" si="9"/>
        <v>0</v>
      </c>
      <c r="CO15" s="34">
        <f t="shared" si="9"/>
        <v>0</v>
      </c>
      <c r="CP15" s="34">
        <f t="shared" si="9"/>
        <v>0</v>
      </c>
      <c r="CQ15" s="34">
        <f t="shared" si="9"/>
        <v>0</v>
      </c>
      <c r="CR15" s="34">
        <f t="shared" si="9"/>
        <v>0</v>
      </c>
      <c r="CS15" s="34">
        <f t="shared" si="9"/>
        <v>0</v>
      </c>
      <c r="CT15" s="34">
        <f t="shared" si="9"/>
        <v>0</v>
      </c>
      <c r="CU15" s="34">
        <f t="shared" si="9"/>
        <v>0</v>
      </c>
    </row>
    <row r="16" spans="1:99" x14ac:dyDescent="0.3">
      <c r="A16" s="7" t="s">
        <v>383</v>
      </c>
      <c r="B16" s="21">
        <f t="shared" si="6"/>
        <v>0</v>
      </c>
      <c r="C16" s="11"/>
      <c r="D16" s="34">
        <f t="shared" ref="D16:AI16" si="10">D15*D14*(1-in_rent_concessions_pct)</f>
        <v>0</v>
      </c>
      <c r="E16" s="34">
        <f t="shared" si="10"/>
        <v>0</v>
      </c>
      <c r="F16" s="34">
        <f t="shared" si="10"/>
        <v>0</v>
      </c>
      <c r="G16" s="34">
        <f t="shared" si="10"/>
        <v>0</v>
      </c>
      <c r="H16" s="34">
        <f t="shared" si="10"/>
        <v>0</v>
      </c>
      <c r="I16" s="34">
        <f t="shared" si="10"/>
        <v>0</v>
      </c>
      <c r="J16" s="34">
        <f t="shared" si="10"/>
        <v>0</v>
      </c>
      <c r="K16" s="34">
        <f t="shared" si="10"/>
        <v>0</v>
      </c>
      <c r="L16" s="34">
        <f t="shared" si="10"/>
        <v>0</v>
      </c>
      <c r="M16" s="34">
        <f t="shared" si="10"/>
        <v>0</v>
      </c>
      <c r="N16" s="34">
        <f t="shared" si="10"/>
        <v>0</v>
      </c>
      <c r="O16" s="34">
        <f t="shared" si="10"/>
        <v>0</v>
      </c>
      <c r="P16" s="34">
        <f t="shared" si="10"/>
        <v>0</v>
      </c>
      <c r="Q16" s="34">
        <f t="shared" si="10"/>
        <v>0</v>
      </c>
      <c r="R16" s="34">
        <f t="shared" si="10"/>
        <v>0</v>
      </c>
      <c r="S16" s="34">
        <f t="shared" si="10"/>
        <v>0</v>
      </c>
      <c r="T16" s="34">
        <f t="shared" si="10"/>
        <v>0</v>
      </c>
      <c r="U16" s="34">
        <f t="shared" si="10"/>
        <v>0</v>
      </c>
      <c r="V16" s="34">
        <f t="shared" si="10"/>
        <v>0</v>
      </c>
      <c r="W16" s="34">
        <f t="shared" si="10"/>
        <v>0</v>
      </c>
      <c r="X16" s="34">
        <f t="shared" si="10"/>
        <v>0</v>
      </c>
      <c r="Y16" s="34">
        <f t="shared" si="10"/>
        <v>0</v>
      </c>
      <c r="Z16" s="34">
        <f t="shared" si="10"/>
        <v>0</v>
      </c>
      <c r="AA16" s="34">
        <f t="shared" si="10"/>
        <v>0</v>
      </c>
      <c r="AB16" s="34">
        <f t="shared" si="10"/>
        <v>0</v>
      </c>
      <c r="AC16" s="34">
        <f t="shared" si="10"/>
        <v>0</v>
      </c>
      <c r="AD16" s="34">
        <f t="shared" si="10"/>
        <v>0</v>
      </c>
      <c r="AE16" s="34">
        <f t="shared" si="10"/>
        <v>0</v>
      </c>
      <c r="AF16" s="34">
        <f t="shared" si="10"/>
        <v>0</v>
      </c>
      <c r="AG16" s="34">
        <f t="shared" si="10"/>
        <v>0</v>
      </c>
      <c r="AH16" s="34">
        <f t="shared" si="10"/>
        <v>0</v>
      </c>
      <c r="AI16" s="34">
        <f t="shared" si="10"/>
        <v>0</v>
      </c>
      <c r="AJ16" s="34">
        <f t="shared" ref="AJ16:BO16" si="11">AJ15*AJ14*(1-in_rent_concessions_pct)</f>
        <v>0</v>
      </c>
      <c r="AK16" s="34">
        <f t="shared" si="11"/>
        <v>0</v>
      </c>
      <c r="AL16" s="34">
        <f t="shared" si="11"/>
        <v>0</v>
      </c>
      <c r="AM16" s="34">
        <f t="shared" si="11"/>
        <v>0</v>
      </c>
      <c r="AN16" s="34">
        <f t="shared" si="11"/>
        <v>0</v>
      </c>
      <c r="AO16" s="34">
        <f t="shared" si="11"/>
        <v>0</v>
      </c>
      <c r="AP16" s="34">
        <f t="shared" si="11"/>
        <v>0</v>
      </c>
      <c r="AQ16" s="34">
        <f t="shared" si="11"/>
        <v>0</v>
      </c>
      <c r="AR16" s="34">
        <f t="shared" si="11"/>
        <v>0</v>
      </c>
      <c r="AS16" s="34">
        <f t="shared" si="11"/>
        <v>0</v>
      </c>
      <c r="AT16" s="34">
        <f t="shared" si="11"/>
        <v>0</v>
      </c>
      <c r="AU16" s="34">
        <f t="shared" si="11"/>
        <v>0</v>
      </c>
      <c r="AV16" s="34">
        <f t="shared" si="11"/>
        <v>0</v>
      </c>
      <c r="AW16" s="34">
        <f t="shared" si="11"/>
        <v>0</v>
      </c>
      <c r="AX16" s="34">
        <f t="shared" si="11"/>
        <v>0</v>
      </c>
      <c r="AY16" s="34">
        <f t="shared" si="11"/>
        <v>0</v>
      </c>
      <c r="AZ16" s="34">
        <f t="shared" si="11"/>
        <v>0</v>
      </c>
      <c r="BA16" s="34">
        <f t="shared" si="11"/>
        <v>0</v>
      </c>
      <c r="BB16" s="34">
        <f t="shared" si="11"/>
        <v>0</v>
      </c>
      <c r="BC16" s="34">
        <f t="shared" si="11"/>
        <v>0</v>
      </c>
      <c r="BD16" s="34">
        <f t="shared" si="11"/>
        <v>0</v>
      </c>
      <c r="BE16" s="34">
        <f t="shared" si="11"/>
        <v>0</v>
      </c>
      <c r="BF16" s="34">
        <f t="shared" si="11"/>
        <v>0</v>
      </c>
      <c r="BG16" s="34">
        <f t="shared" si="11"/>
        <v>0</v>
      </c>
      <c r="BH16" s="34">
        <f t="shared" si="11"/>
        <v>0</v>
      </c>
      <c r="BI16" s="34">
        <f t="shared" si="11"/>
        <v>0</v>
      </c>
      <c r="BJ16" s="34">
        <f t="shared" si="11"/>
        <v>0</v>
      </c>
      <c r="BK16" s="34">
        <f t="shared" si="11"/>
        <v>0</v>
      </c>
      <c r="BL16" s="34">
        <f t="shared" si="11"/>
        <v>0</v>
      </c>
      <c r="BM16" s="34">
        <f t="shared" si="11"/>
        <v>0</v>
      </c>
      <c r="BN16" s="34">
        <f t="shared" si="11"/>
        <v>0</v>
      </c>
      <c r="BO16" s="34">
        <f t="shared" si="11"/>
        <v>0</v>
      </c>
      <c r="BP16" s="34">
        <f t="shared" ref="BP16:CU16" si="12">BP15*BP14*(1-in_rent_concessions_pct)</f>
        <v>0</v>
      </c>
      <c r="BQ16" s="34">
        <f t="shared" si="12"/>
        <v>0</v>
      </c>
      <c r="BR16" s="34">
        <f t="shared" si="12"/>
        <v>0</v>
      </c>
      <c r="BS16" s="34">
        <f t="shared" si="12"/>
        <v>0</v>
      </c>
      <c r="BT16" s="34">
        <f t="shared" si="12"/>
        <v>0</v>
      </c>
      <c r="BU16" s="34">
        <f t="shared" si="12"/>
        <v>0</v>
      </c>
      <c r="BV16" s="34">
        <f t="shared" si="12"/>
        <v>0</v>
      </c>
      <c r="BW16" s="34">
        <f t="shared" si="12"/>
        <v>0</v>
      </c>
      <c r="BX16" s="34">
        <f t="shared" si="12"/>
        <v>0</v>
      </c>
      <c r="BY16" s="34">
        <f t="shared" si="12"/>
        <v>0</v>
      </c>
      <c r="BZ16" s="34">
        <f t="shared" si="12"/>
        <v>0</v>
      </c>
      <c r="CA16" s="34">
        <f t="shared" si="12"/>
        <v>0</v>
      </c>
      <c r="CB16" s="34">
        <f t="shared" si="12"/>
        <v>0</v>
      </c>
      <c r="CC16" s="34">
        <f t="shared" si="12"/>
        <v>0</v>
      </c>
      <c r="CD16" s="34">
        <f t="shared" si="12"/>
        <v>0</v>
      </c>
      <c r="CE16" s="34">
        <f t="shared" si="12"/>
        <v>0</v>
      </c>
      <c r="CF16" s="34">
        <f t="shared" si="12"/>
        <v>0</v>
      </c>
      <c r="CG16" s="34">
        <f t="shared" si="12"/>
        <v>0</v>
      </c>
      <c r="CH16" s="34">
        <f t="shared" si="12"/>
        <v>0</v>
      </c>
      <c r="CI16" s="34">
        <f t="shared" si="12"/>
        <v>0</v>
      </c>
      <c r="CJ16" s="34">
        <f t="shared" si="12"/>
        <v>0</v>
      </c>
      <c r="CK16" s="34">
        <f t="shared" si="12"/>
        <v>0</v>
      </c>
      <c r="CL16" s="34">
        <f t="shared" si="12"/>
        <v>0</v>
      </c>
      <c r="CM16" s="34">
        <f t="shared" si="12"/>
        <v>0</v>
      </c>
      <c r="CN16" s="34">
        <f t="shared" si="12"/>
        <v>0</v>
      </c>
      <c r="CO16" s="34">
        <f t="shared" si="12"/>
        <v>0</v>
      </c>
      <c r="CP16" s="34">
        <f t="shared" si="12"/>
        <v>0</v>
      </c>
      <c r="CQ16" s="34">
        <f t="shared" si="12"/>
        <v>0</v>
      </c>
      <c r="CR16" s="34">
        <f t="shared" si="12"/>
        <v>0</v>
      </c>
      <c r="CS16" s="34">
        <f t="shared" si="12"/>
        <v>0</v>
      </c>
      <c r="CT16" s="34">
        <f t="shared" si="12"/>
        <v>0</v>
      </c>
      <c r="CU16" s="34">
        <f t="shared" si="12"/>
        <v>0</v>
      </c>
    </row>
    <row r="17" spans="1:99" x14ac:dyDescent="0.3">
      <c r="A17" s="7" t="s">
        <v>384</v>
      </c>
      <c r="B17" s="21">
        <f t="shared" si="6"/>
        <v>0</v>
      </c>
      <c r="C17" s="11"/>
      <c r="D17" s="34">
        <f t="shared" ref="D17:AI17" si="13">IF(OR(in_mode_sale=1,D$4&lt;R_Start,D$4&gt;R_Exit),0,D16*in_rent_opex_pct_egi-in_green_savings/12*(1+in_rent_growth_pct)^(D$4/12))</f>
        <v>0</v>
      </c>
      <c r="E17" s="34">
        <f t="shared" si="13"/>
        <v>0</v>
      </c>
      <c r="F17" s="34">
        <f t="shared" si="13"/>
        <v>0</v>
      </c>
      <c r="G17" s="34">
        <f t="shared" si="13"/>
        <v>0</v>
      </c>
      <c r="H17" s="34">
        <f t="shared" si="13"/>
        <v>0</v>
      </c>
      <c r="I17" s="34">
        <f t="shared" si="13"/>
        <v>0</v>
      </c>
      <c r="J17" s="34">
        <f t="shared" si="13"/>
        <v>0</v>
      </c>
      <c r="K17" s="34">
        <f t="shared" si="13"/>
        <v>0</v>
      </c>
      <c r="L17" s="34">
        <f t="shared" si="13"/>
        <v>0</v>
      </c>
      <c r="M17" s="34">
        <f t="shared" si="13"/>
        <v>0</v>
      </c>
      <c r="N17" s="34">
        <f t="shared" si="13"/>
        <v>0</v>
      </c>
      <c r="O17" s="34">
        <f t="shared" si="13"/>
        <v>0</v>
      </c>
      <c r="P17" s="34">
        <f t="shared" si="13"/>
        <v>0</v>
      </c>
      <c r="Q17" s="34">
        <f t="shared" si="13"/>
        <v>0</v>
      </c>
      <c r="R17" s="34">
        <f t="shared" si="13"/>
        <v>0</v>
      </c>
      <c r="S17" s="34">
        <f t="shared" si="13"/>
        <v>0</v>
      </c>
      <c r="T17" s="34">
        <f t="shared" si="13"/>
        <v>0</v>
      </c>
      <c r="U17" s="34">
        <f t="shared" si="13"/>
        <v>0</v>
      </c>
      <c r="V17" s="34">
        <f t="shared" si="13"/>
        <v>0</v>
      </c>
      <c r="W17" s="34">
        <f t="shared" si="13"/>
        <v>0</v>
      </c>
      <c r="X17" s="34">
        <f t="shared" si="13"/>
        <v>0</v>
      </c>
      <c r="Y17" s="34">
        <f t="shared" si="13"/>
        <v>0</v>
      </c>
      <c r="Z17" s="34">
        <f t="shared" si="13"/>
        <v>0</v>
      </c>
      <c r="AA17" s="34">
        <f t="shared" si="13"/>
        <v>0</v>
      </c>
      <c r="AB17" s="34">
        <f t="shared" si="13"/>
        <v>0</v>
      </c>
      <c r="AC17" s="34">
        <f t="shared" si="13"/>
        <v>0</v>
      </c>
      <c r="AD17" s="34">
        <f t="shared" si="13"/>
        <v>0</v>
      </c>
      <c r="AE17" s="34">
        <f t="shared" si="13"/>
        <v>0</v>
      </c>
      <c r="AF17" s="34">
        <f t="shared" si="13"/>
        <v>0</v>
      </c>
      <c r="AG17" s="34">
        <f t="shared" si="13"/>
        <v>0</v>
      </c>
      <c r="AH17" s="34">
        <f t="shared" si="13"/>
        <v>0</v>
      </c>
      <c r="AI17" s="34">
        <f t="shared" si="13"/>
        <v>0</v>
      </c>
      <c r="AJ17" s="34">
        <f t="shared" ref="AJ17:BO17" si="14">IF(OR(in_mode_sale=1,AJ$4&lt;R_Start,AJ$4&gt;R_Exit),0,AJ16*in_rent_opex_pct_egi-in_green_savings/12*(1+in_rent_growth_pct)^(AJ$4/12))</f>
        <v>0</v>
      </c>
      <c r="AK17" s="34">
        <f t="shared" si="14"/>
        <v>0</v>
      </c>
      <c r="AL17" s="34">
        <f t="shared" si="14"/>
        <v>0</v>
      </c>
      <c r="AM17" s="34">
        <f t="shared" si="14"/>
        <v>0</v>
      </c>
      <c r="AN17" s="34">
        <f t="shared" si="14"/>
        <v>0</v>
      </c>
      <c r="AO17" s="34">
        <f t="shared" si="14"/>
        <v>0</v>
      </c>
      <c r="AP17" s="34">
        <f t="shared" si="14"/>
        <v>0</v>
      </c>
      <c r="AQ17" s="34">
        <f t="shared" si="14"/>
        <v>0</v>
      </c>
      <c r="AR17" s="34">
        <f t="shared" si="14"/>
        <v>0</v>
      </c>
      <c r="AS17" s="34">
        <f t="shared" si="14"/>
        <v>0</v>
      </c>
      <c r="AT17" s="34">
        <f t="shared" si="14"/>
        <v>0</v>
      </c>
      <c r="AU17" s="34">
        <f t="shared" si="14"/>
        <v>0</v>
      </c>
      <c r="AV17" s="34">
        <f t="shared" si="14"/>
        <v>0</v>
      </c>
      <c r="AW17" s="34">
        <f t="shared" si="14"/>
        <v>0</v>
      </c>
      <c r="AX17" s="34">
        <f t="shared" si="14"/>
        <v>0</v>
      </c>
      <c r="AY17" s="34">
        <f t="shared" si="14"/>
        <v>0</v>
      </c>
      <c r="AZ17" s="34">
        <f t="shared" si="14"/>
        <v>0</v>
      </c>
      <c r="BA17" s="34">
        <f t="shared" si="14"/>
        <v>0</v>
      </c>
      <c r="BB17" s="34">
        <f t="shared" si="14"/>
        <v>0</v>
      </c>
      <c r="BC17" s="34">
        <f t="shared" si="14"/>
        <v>0</v>
      </c>
      <c r="BD17" s="34">
        <f t="shared" si="14"/>
        <v>0</v>
      </c>
      <c r="BE17" s="34">
        <f t="shared" si="14"/>
        <v>0</v>
      </c>
      <c r="BF17" s="34">
        <f t="shared" si="14"/>
        <v>0</v>
      </c>
      <c r="BG17" s="34">
        <f t="shared" si="14"/>
        <v>0</v>
      </c>
      <c r="BH17" s="34">
        <f t="shared" si="14"/>
        <v>0</v>
      </c>
      <c r="BI17" s="34">
        <f t="shared" si="14"/>
        <v>0</v>
      </c>
      <c r="BJ17" s="34">
        <f t="shared" si="14"/>
        <v>0</v>
      </c>
      <c r="BK17" s="34">
        <f t="shared" si="14"/>
        <v>0</v>
      </c>
      <c r="BL17" s="34">
        <f t="shared" si="14"/>
        <v>0</v>
      </c>
      <c r="BM17" s="34">
        <f t="shared" si="14"/>
        <v>0</v>
      </c>
      <c r="BN17" s="34">
        <f t="shared" si="14"/>
        <v>0</v>
      </c>
      <c r="BO17" s="34">
        <f t="shared" si="14"/>
        <v>0</v>
      </c>
      <c r="BP17" s="34">
        <f t="shared" ref="BP17:CU17" si="15">IF(OR(in_mode_sale=1,BP$4&lt;R_Start,BP$4&gt;R_Exit),0,BP16*in_rent_opex_pct_egi-in_green_savings/12*(1+in_rent_growth_pct)^(BP$4/12))</f>
        <v>0</v>
      </c>
      <c r="BQ17" s="34">
        <f t="shared" si="15"/>
        <v>0</v>
      </c>
      <c r="BR17" s="34">
        <f t="shared" si="15"/>
        <v>0</v>
      </c>
      <c r="BS17" s="34">
        <f t="shared" si="15"/>
        <v>0</v>
      </c>
      <c r="BT17" s="34">
        <f t="shared" si="15"/>
        <v>0</v>
      </c>
      <c r="BU17" s="34">
        <f t="shared" si="15"/>
        <v>0</v>
      </c>
      <c r="BV17" s="34">
        <f t="shared" si="15"/>
        <v>0</v>
      </c>
      <c r="BW17" s="34">
        <f t="shared" si="15"/>
        <v>0</v>
      </c>
      <c r="BX17" s="34">
        <f t="shared" si="15"/>
        <v>0</v>
      </c>
      <c r="BY17" s="34">
        <f t="shared" si="15"/>
        <v>0</v>
      </c>
      <c r="BZ17" s="34">
        <f t="shared" si="15"/>
        <v>0</v>
      </c>
      <c r="CA17" s="34">
        <f t="shared" si="15"/>
        <v>0</v>
      </c>
      <c r="CB17" s="34">
        <f t="shared" si="15"/>
        <v>0</v>
      </c>
      <c r="CC17" s="34">
        <f t="shared" si="15"/>
        <v>0</v>
      </c>
      <c r="CD17" s="34">
        <f t="shared" si="15"/>
        <v>0</v>
      </c>
      <c r="CE17" s="34">
        <f t="shared" si="15"/>
        <v>0</v>
      </c>
      <c r="CF17" s="34">
        <f t="shared" si="15"/>
        <v>0</v>
      </c>
      <c r="CG17" s="34">
        <f t="shared" si="15"/>
        <v>0</v>
      </c>
      <c r="CH17" s="34">
        <f t="shared" si="15"/>
        <v>0</v>
      </c>
      <c r="CI17" s="34">
        <f t="shared" si="15"/>
        <v>0</v>
      </c>
      <c r="CJ17" s="34">
        <f t="shared" si="15"/>
        <v>0</v>
      </c>
      <c r="CK17" s="34">
        <f t="shared" si="15"/>
        <v>0</v>
      </c>
      <c r="CL17" s="34">
        <f t="shared" si="15"/>
        <v>0</v>
      </c>
      <c r="CM17" s="34">
        <f t="shared" si="15"/>
        <v>0</v>
      </c>
      <c r="CN17" s="34">
        <f t="shared" si="15"/>
        <v>0</v>
      </c>
      <c r="CO17" s="34">
        <f t="shared" si="15"/>
        <v>0</v>
      </c>
      <c r="CP17" s="34">
        <f t="shared" si="15"/>
        <v>0</v>
      </c>
      <c r="CQ17" s="34">
        <f t="shared" si="15"/>
        <v>0</v>
      </c>
      <c r="CR17" s="34">
        <f t="shared" si="15"/>
        <v>0</v>
      </c>
      <c r="CS17" s="34">
        <f t="shared" si="15"/>
        <v>0</v>
      </c>
      <c r="CT17" s="34">
        <f t="shared" si="15"/>
        <v>0</v>
      </c>
      <c r="CU17" s="34">
        <f t="shared" si="15"/>
        <v>0</v>
      </c>
    </row>
    <row r="18" spans="1:99" x14ac:dyDescent="0.3">
      <c r="A18" s="38" t="s">
        <v>385</v>
      </c>
      <c r="B18" s="39">
        <f t="shared" si="6"/>
        <v>0</v>
      </c>
      <c r="C18" s="40"/>
      <c r="D18" s="39">
        <f t="shared" ref="D18:AI18" si="16">D16-D17</f>
        <v>0</v>
      </c>
      <c r="E18" s="39">
        <f t="shared" si="16"/>
        <v>0</v>
      </c>
      <c r="F18" s="39">
        <f t="shared" si="16"/>
        <v>0</v>
      </c>
      <c r="G18" s="39">
        <f t="shared" si="16"/>
        <v>0</v>
      </c>
      <c r="H18" s="39">
        <f t="shared" si="16"/>
        <v>0</v>
      </c>
      <c r="I18" s="39">
        <f t="shared" si="16"/>
        <v>0</v>
      </c>
      <c r="J18" s="39">
        <f t="shared" si="16"/>
        <v>0</v>
      </c>
      <c r="K18" s="39">
        <f t="shared" si="16"/>
        <v>0</v>
      </c>
      <c r="L18" s="39">
        <f t="shared" si="16"/>
        <v>0</v>
      </c>
      <c r="M18" s="39">
        <f t="shared" si="16"/>
        <v>0</v>
      </c>
      <c r="N18" s="39">
        <f t="shared" si="16"/>
        <v>0</v>
      </c>
      <c r="O18" s="39">
        <f t="shared" si="16"/>
        <v>0</v>
      </c>
      <c r="P18" s="39">
        <f t="shared" si="16"/>
        <v>0</v>
      </c>
      <c r="Q18" s="39">
        <f t="shared" si="16"/>
        <v>0</v>
      </c>
      <c r="R18" s="39">
        <f t="shared" si="16"/>
        <v>0</v>
      </c>
      <c r="S18" s="39">
        <f t="shared" si="16"/>
        <v>0</v>
      </c>
      <c r="T18" s="39">
        <f t="shared" si="16"/>
        <v>0</v>
      </c>
      <c r="U18" s="39">
        <f t="shared" si="16"/>
        <v>0</v>
      </c>
      <c r="V18" s="39">
        <f t="shared" si="16"/>
        <v>0</v>
      </c>
      <c r="W18" s="39">
        <f t="shared" si="16"/>
        <v>0</v>
      </c>
      <c r="X18" s="39">
        <f t="shared" si="16"/>
        <v>0</v>
      </c>
      <c r="Y18" s="39">
        <f t="shared" si="16"/>
        <v>0</v>
      </c>
      <c r="Z18" s="39">
        <f t="shared" si="16"/>
        <v>0</v>
      </c>
      <c r="AA18" s="39">
        <f t="shared" si="16"/>
        <v>0</v>
      </c>
      <c r="AB18" s="39">
        <f t="shared" si="16"/>
        <v>0</v>
      </c>
      <c r="AC18" s="39">
        <f t="shared" si="16"/>
        <v>0</v>
      </c>
      <c r="AD18" s="39">
        <f t="shared" si="16"/>
        <v>0</v>
      </c>
      <c r="AE18" s="39">
        <f t="shared" si="16"/>
        <v>0</v>
      </c>
      <c r="AF18" s="39">
        <f t="shared" si="16"/>
        <v>0</v>
      </c>
      <c r="AG18" s="39">
        <f t="shared" si="16"/>
        <v>0</v>
      </c>
      <c r="AH18" s="39">
        <f t="shared" si="16"/>
        <v>0</v>
      </c>
      <c r="AI18" s="39">
        <f t="shared" si="16"/>
        <v>0</v>
      </c>
      <c r="AJ18" s="39">
        <f t="shared" ref="AJ18:BO18" si="17">AJ16-AJ17</f>
        <v>0</v>
      </c>
      <c r="AK18" s="39">
        <f t="shared" si="17"/>
        <v>0</v>
      </c>
      <c r="AL18" s="39">
        <f t="shared" si="17"/>
        <v>0</v>
      </c>
      <c r="AM18" s="39">
        <f t="shared" si="17"/>
        <v>0</v>
      </c>
      <c r="AN18" s="39">
        <f t="shared" si="17"/>
        <v>0</v>
      </c>
      <c r="AO18" s="39">
        <f t="shared" si="17"/>
        <v>0</v>
      </c>
      <c r="AP18" s="39">
        <f t="shared" si="17"/>
        <v>0</v>
      </c>
      <c r="AQ18" s="39">
        <f t="shared" si="17"/>
        <v>0</v>
      </c>
      <c r="AR18" s="39">
        <f t="shared" si="17"/>
        <v>0</v>
      </c>
      <c r="AS18" s="39">
        <f t="shared" si="17"/>
        <v>0</v>
      </c>
      <c r="AT18" s="39">
        <f t="shared" si="17"/>
        <v>0</v>
      </c>
      <c r="AU18" s="39">
        <f t="shared" si="17"/>
        <v>0</v>
      </c>
      <c r="AV18" s="39">
        <f t="shared" si="17"/>
        <v>0</v>
      </c>
      <c r="AW18" s="39">
        <f t="shared" si="17"/>
        <v>0</v>
      </c>
      <c r="AX18" s="39">
        <f t="shared" si="17"/>
        <v>0</v>
      </c>
      <c r="AY18" s="39">
        <f t="shared" si="17"/>
        <v>0</v>
      </c>
      <c r="AZ18" s="39">
        <f t="shared" si="17"/>
        <v>0</v>
      </c>
      <c r="BA18" s="39">
        <f t="shared" si="17"/>
        <v>0</v>
      </c>
      <c r="BB18" s="39">
        <f t="shared" si="17"/>
        <v>0</v>
      </c>
      <c r="BC18" s="39">
        <f t="shared" si="17"/>
        <v>0</v>
      </c>
      <c r="BD18" s="39">
        <f t="shared" si="17"/>
        <v>0</v>
      </c>
      <c r="BE18" s="39">
        <f t="shared" si="17"/>
        <v>0</v>
      </c>
      <c r="BF18" s="39">
        <f t="shared" si="17"/>
        <v>0</v>
      </c>
      <c r="BG18" s="39">
        <f t="shared" si="17"/>
        <v>0</v>
      </c>
      <c r="BH18" s="39">
        <f t="shared" si="17"/>
        <v>0</v>
      </c>
      <c r="BI18" s="39">
        <f t="shared" si="17"/>
        <v>0</v>
      </c>
      <c r="BJ18" s="39">
        <f t="shared" si="17"/>
        <v>0</v>
      </c>
      <c r="BK18" s="39">
        <f t="shared" si="17"/>
        <v>0</v>
      </c>
      <c r="BL18" s="39">
        <f t="shared" si="17"/>
        <v>0</v>
      </c>
      <c r="BM18" s="39">
        <f t="shared" si="17"/>
        <v>0</v>
      </c>
      <c r="BN18" s="39">
        <f t="shared" si="17"/>
        <v>0</v>
      </c>
      <c r="BO18" s="39">
        <f t="shared" si="17"/>
        <v>0</v>
      </c>
      <c r="BP18" s="39">
        <f t="shared" ref="BP18:CU18" si="18">BP16-BP17</f>
        <v>0</v>
      </c>
      <c r="BQ18" s="39">
        <f t="shared" si="18"/>
        <v>0</v>
      </c>
      <c r="BR18" s="39">
        <f t="shared" si="18"/>
        <v>0</v>
      </c>
      <c r="BS18" s="39">
        <f t="shared" si="18"/>
        <v>0</v>
      </c>
      <c r="BT18" s="39">
        <f t="shared" si="18"/>
        <v>0</v>
      </c>
      <c r="BU18" s="39">
        <f t="shared" si="18"/>
        <v>0</v>
      </c>
      <c r="BV18" s="39">
        <f t="shared" si="18"/>
        <v>0</v>
      </c>
      <c r="BW18" s="39">
        <f t="shared" si="18"/>
        <v>0</v>
      </c>
      <c r="BX18" s="39">
        <f t="shared" si="18"/>
        <v>0</v>
      </c>
      <c r="BY18" s="39">
        <f t="shared" si="18"/>
        <v>0</v>
      </c>
      <c r="BZ18" s="39">
        <f t="shared" si="18"/>
        <v>0</v>
      </c>
      <c r="CA18" s="39">
        <f t="shared" si="18"/>
        <v>0</v>
      </c>
      <c r="CB18" s="39">
        <f t="shared" si="18"/>
        <v>0</v>
      </c>
      <c r="CC18" s="39">
        <f t="shared" si="18"/>
        <v>0</v>
      </c>
      <c r="CD18" s="39">
        <f t="shared" si="18"/>
        <v>0</v>
      </c>
      <c r="CE18" s="39">
        <f t="shared" si="18"/>
        <v>0</v>
      </c>
      <c r="CF18" s="39">
        <f t="shared" si="18"/>
        <v>0</v>
      </c>
      <c r="CG18" s="39">
        <f t="shared" si="18"/>
        <v>0</v>
      </c>
      <c r="CH18" s="39">
        <f t="shared" si="18"/>
        <v>0</v>
      </c>
      <c r="CI18" s="39">
        <f t="shared" si="18"/>
        <v>0</v>
      </c>
      <c r="CJ18" s="39">
        <f t="shared" si="18"/>
        <v>0</v>
      </c>
      <c r="CK18" s="39">
        <f t="shared" si="18"/>
        <v>0</v>
      </c>
      <c r="CL18" s="39">
        <f t="shared" si="18"/>
        <v>0</v>
      </c>
      <c r="CM18" s="39">
        <f t="shared" si="18"/>
        <v>0</v>
      </c>
      <c r="CN18" s="39">
        <f t="shared" si="18"/>
        <v>0</v>
      </c>
      <c r="CO18" s="39">
        <f t="shared" si="18"/>
        <v>0</v>
      </c>
      <c r="CP18" s="39">
        <f t="shared" si="18"/>
        <v>0</v>
      </c>
      <c r="CQ18" s="39">
        <f t="shared" si="18"/>
        <v>0</v>
      </c>
      <c r="CR18" s="39">
        <f t="shared" si="18"/>
        <v>0</v>
      </c>
      <c r="CS18" s="39">
        <f t="shared" si="18"/>
        <v>0</v>
      </c>
      <c r="CT18" s="39">
        <f t="shared" si="18"/>
        <v>0</v>
      </c>
      <c r="CU18" s="39">
        <f t="shared" si="18"/>
        <v>0</v>
      </c>
    </row>
    <row r="19" spans="1:99" x14ac:dyDescent="0.3">
      <c r="A19" s="7" t="s">
        <v>386</v>
      </c>
      <c r="B19" s="21">
        <f t="shared" si="6"/>
        <v>0</v>
      </c>
      <c r="C19" s="11"/>
      <c r="D19" s="34">
        <f t="shared" ref="D19:AI19" si="19">IF(AND(in_mode_sale=0,D$4=R_Exit),R_ExitValue*(1-in_rent_selling_costs_pct),0)</f>
        <v>0</v>
      </c>
      <c r="E19" s="34">
        <f t="shared" si="19"/>
        <v>0</v>
      </c>
      <c r="F19" s="34">
        <f t="shared" si="19"/>
        <v>0</v>
      </c>
      <c r="G19" s="34">
        <f t="shared" si="19"/>
        <v>0</v>
      </c>
      <c r="H19" s="34">
        <f t="shared" si="19"/>
        <v>0</v>
      </c>
      <c r="I19" s="34">
        <f t="shared" si="19"/>
        <v>0</v>
      </c>
      <c r="J19" s="34">
        <f t="shared" si="19"/>
        <v>0</v>
      </c>
      <c r="K19" s="34">
        <f t="shared" si="19"/>
        <v>0</v>
      </c>
      <c r="L19" s="34">
        <f t="shared" si="19"/>
        <v>0</v>
      </c>
      <c r="M19" s="34">
        <f t="shared" si="19"/>
        <v>0</v>
      </c>
      <c r="N19" s="34">
        <f t="shared" si="19"/>
        <v>0</v>
      </c>
      <c r="O19" s="34">
        <f t="shared" si="19"/>
        <v>0</v>
      </c>
      <c r="P19" s="34">
        <f t="shared" si="19"/>
        <v>0</v>
      </c>
      <c r="Q19" s="34">
        <f t="shared" si="19"/>
        <v>0</v>
      </c>
      <c r="R19" s="34">
        <f t="shared" si="19"/>
        <v>0</v>
      </c>
      <c r="S19" s="34">
        <f t="shared" si="19"/>
        <v>0</v>
      </c>
      <c r="T19" s="34">
        <f t="shared" si="19"/>
        <v>0</v>
      </c>
      <c r="U19" s="34">
        <f t="shared" si="19"/>
        <v>0</v>
      </c>
      <c r="V19" s="34">
        <f t="shared" si="19"/>
        <v>0</v>
      </c>
      <c r="W19" s="34">
        <f t="shared" si="19"/>
        <v>0</v>
      </c>
      <c r="X19" s="34">
        <f t="shared" si="19"/>
        <v>0</v>
      </c>
      <c r="Y19" s="34">
        <f t="shared" si="19"/>
        <v>0</v>
      </c>
      <c r="Z19" s="34">
        <f t="shared" si="19"/>
        <v>0</v>
      </c>
      <c r="AA19" s="34">
        <f t="shared" si="19"/>
        <v>0</v>
      </c>
      <c r="AB19" s="34">
        <f t="shared" si="19"/>
        <v>0</v>
      </c>
      <c r="AC19" s="34">
        <f t="shared" si="19"/>
        <v>0</v>
      </c>
      <c r="AD19" s="34">
        <f t="shared" si="19"/>
        <v>0</v>
      </c>
      <c r="AE19" s="34">
        <f t="shared" si="19"/>
        <v>0</v>
      </c>
      <c r="AF19" s="34">
        <f t="shared" si="19"/>
        <v>0</v>
      </c>
      <c r="AG19" s="34">
        <f t="shared" si="19"/>
        <v>0</v>
      </c>
      <c r="AH19" s="34">
        <f t="shared" si="19"/>
        <v>0</v>
      </c>
      <c r="AI19" s="34">
        <f t="shared" si="19"/>
        <v>0</v>
      </c>
      <c r="AJ19" s="34">
        <f t="shared" ref="AJ19:BO19" si="20">IF(AND(in_mode_sale=0,AJ$4=R_Exit),R_ExitValue*(1-in_rent_selling_costs_pct),0)</f>
        <v>0</v>
      </c>
      <c r="AK19" s="34">
        <f t="shared" si="20"/>
        <v>0</v>
      </c>
      <c r="AL19" s="34">
        <f t="shared" si="20"/>
        <v>0</v>
      </c>
      <c r="AM19" s="34">
        <f t="shared" si="20"/>
        <v>0</v>
      </c>
      <c r="AN19" s="34">
        <f t="shared" si="20"/>
        <v>0</v>
      </c>
      <c r="AO19" s="34">
        <f t="shared" si="20"/>
        <v>0</v>
      </c>
      <c r="AP19" s="34">
        <f t="shared" si="20"/>
        <v>0</v>
      </c>
      <c r="AQ19" s="34">
        <f t="shared" si="20"/>
        <v>0</v>
      </c>
      <c r="AR19" s="34">
        <f t="shared" si="20"/>
        <v>0</v>
      </c>
      <c r="AS19" s="34">
        <f t="shared" si="20"/>
        <v>0</v>
      </c>
      <c r="AT19" s="34">
        <f t="shared" si="20"/>
        <v>0</v>
      </c>
      <c r="AU19" s="34">
        <f t="shared" si="20"/>
        <v>0</v>
      </c>
      <c r="AV19" s="34">
        <f t="shared" si="20"/>
        <v>0</v>
      </c>
      <c r="AW19" s="34">
        <f t="shared" si="20"/>
        <v>0</v>
      </c>
      <c r="AX19" s="34">
        <f t="shared" si="20"/>
        <v>0</v>
      </c>
      <c r="AY19" s="34">
        <f t="shared" si="20"/>
        <v>0</v>
      </c>
      <c r="AZ19" s="34">
        <f t="shared" si="20"/>
        <v>0</v>
      </c>
      <c r="BA19" s="34">
        <f t="shared" si="20"/>
        <v>0</v>
      </c>
      <c r="BB19" s="34">
        <f t="shared" si="20"/>
        <v>0</v>
      </c>
      <c r="BC19" s="34">
        <f t="shared" si="20"/>
        <v>0</v>
      </c>
      <c r="BD19" s="34">
        <f t="shared" si="20"/>
        <v>0</v>
      </c>
      <c r="BE19" s="34">
        <f t="shared" si="20"/>
        <v>0</v>
      </c>
      <c r="BF19" s="34">
        <f t="shared" si="20"/>
        <v>0</v>
      </c>
      <c r="BG19" s="34">
        <f t="shared" si="20"/>
        <v>0</v>
      </c>
      <c r="BH19" s="34">
        <f t="shared" si="20"/>
        <v>0</v>
      </c>
      <c r="BI19" s="34">
        <f t="shared" si="20"/>
        <v>0</v>
      </c>
      <c r="BJ19" s="34">
        <f t="shared" si="20"/>
        <v>0</v>
      </c>
      <c r="BK19" s="34">
        <f t="shared" si="20"/>
        <v>0</v>
      </c>
      <c r="BL19" s="34">
        <f t="shared" si="20"/>
        <v>0</v>
      </c>
      <c r="BM19" s="34">
        <f t="shared" si="20"/>
        <v>0</v>
      </c>
      <c r="BN19" s="34">
        <f t="shared" si="20"/>
        <v>0</v>
      </c>
      <c r="BO19" s="34">
        <f t="shared" si="20"/>
        <v>0</v>
      </c>
      <c r="BP19" s="34">
        <f t="shared" ref="BP19:CU19" si="21">IF(AND(in_mode_sale=0,BP$4=R_Exit),R_ExitValue*(1-in_rent_selling_costs_pct),0)</f>
        <v>0</v>
      </c>
      <c r="BQ19" s="34">
        <f t="shared" si="21"/>
        <v>0</v>
      </c>
      <c r="BR19" s="34">
        <f t="shared" si="21"/>
        <v>0</v>
      </c>
      <c r="BS19" s="34">
        <f t="shared" si="21"/>
        <v>0</v>
      </c>
      <c r="BT19" s="34">
        <f t="shared" si="21"/>
        <v>0</v>
      </c>
      <c r="BU19" s="34">
        <f t="shared" si="21"/>
        <v>0</v>
      </c>
      <c r="BV19" s="34">
        <f t="shared" si="21"/>
        <v>0</v>
      </c>
      <c r="BW19" s="34">
        <f t="shared" si="21"/>
        <v>0</v>
      </c>
      <c r="BX19" s="34">
        <f t="shared" si="21"/>
        <v>0</v>
      </c>
      <c r="BY19" s="34">
        <f t="shared" si="21"/>
        <v>0</v>
      </c>
      <c r="BZ19" s="34">
        <f t="shared" si="21"/>
        <v>0</v>
      </c>
      <c r="CA19" s="34">
        <f t="shared" si="21"/>
        <v>0</v>
      </c>
      <c r="CB19" s="34">
        <f t="shared" si="21"/>
        <v>0</v>
      </c>
      <c r="CC19" s="34">
        <f t="shared" si="21"/>
        <v>0</v>
      </c>
      <c r="CD19" s="34">
        <f t="shared" si="21"/>
        <v>0</v>
      </c>
      <c r="CE19" s="34">
        <f t="shared" si="21"/>
        <v>0</v>
      </c>
      <c r="CF19" s="34">
        <f t="shared" si="21"/>
        <v>0</v>
      </c>
      <c r="CG19" s="34">
        <f t="shared" si="21"/>
        <v>0</v>
      </c>
      <c r="CH19" s="34">
        <f t="shared" si="21"/>
        <v>0</v>
      </c>
      <c r="CI19" s="34">
        <f t="shared" si="21"/>
        <v>0</v>
      </c>
      <c r="CJ19" s="34">
        <f t="shared" si="21"/>
        <v>0</v>
      </c>
      <c r="CK19" s="34">
        <f t="shared" si="21"/>
        <v>0</v>
      </c>
      <c r="CL19" s="34">
        <f t="shared" si="21"/>
        <v>0</v>
      </c>
      <c r="CM19" s="34">
        <f t="shared" si="21"/>
        <v>0</v>
      </c>
      <c r="CN19" s="34">
        <f t="shared" si="21"/>
        <v>0</v>
      </c>
      <c r="CO19" s="34">
        <f t="shared" si="21"/>
        <v>0</v>
      </c>
      <c r="CP19" s="34">
        <f t="shared" si="21"/>
        <v>0</v>
      </c>
      <c r="CQ19" s="34">
        <f t="shared" si="21"/>
        <v>0</v>
      </c>
      <c r="CR19" s="34">
        <f t="shared" si="21"/>
        <v>0</v>
      </c>
      <c r="CS19" s="34">
        <f t="shared" si="21"/>
        <v>0</v>
      </c>
      <c r="CT19" s="34">
        <f t="shared" si="21"/>
        <v>0</v>
      </c>
      <c r="CU19" s="34">
        <f t="shared" si="21"/>
        <v>0</v>
      </c>
    </row>
    <row r="20" spans="1:99" x14ac:dyDescent="0.3">
      <c r="A20" s="38" t="s">
        <v>387</v>
      </c>
      <c r="B20" s="39">
        <f t="shared" si="6"/>
        <v>0</v>
      </c>
      <c r="C20" s="40"/>
      <c r="D20" s="39">
        <f t="shared" ref="D20:AI20" si="22">D18+D19</f>
        <v>0</v>
      </c>
      <c r="E20" s="39">
        <f t="shared" si="22"/>
        <v>0</v>
      </c>
      <c r="F20" s="39">
        <f t="shared" si="22"/>
        <v>0</v>
      </c>
      <c r="G20" s="39">
        <f t="shared" si="22"/>
        <v>0</v>
      </c>
      <c r="H20" s="39">
        <f t="shared" si="22"/>
        <v>0</v>
      </c>
      <c r="I20" s="39">
        <f t="shared" si="22"/>
        <v>0</v>
      </c>
      <c r="J20" s="39">
        <f t="shared" si="22"/>
        <v>0</v>
      </c>
      <c r="K20" s="39">
        <f t="shared" si="22"/>
        <v>0</v>
      </c>
      <c r="L20" s="39">
        <f t="shared" si="22"/>
        <v>0</v>
      </c>
      <c r="M20" s="39">
        <f t="shared" si="22"/>
        <v>0</v>
      </c>
      <c r="N20" s="39">
        <f t="shared" si="22"/>
        <v>0</v>
      </c>
      <c r="O20" s="39">
        <f t="shared" si="22"/>
        <v>0</v>
      </c>
      <c r="P20" s="39">
        <f t="shared" si="22"/>
        <v>0</v>
      </c>
      <c r="Q20" s="39">
        <f t="shared" si="22"/>
        <v>0</v>
      </c>
      <c r="R20" s="39">
        <f t="shared" si="22"/>
        <v>0</v>
      </c>
      <c r="S20" s="39">
        <f t="shared" si="22"/>
        <v>0</v>
      </c>
      <c r="T20" s="39">
        <f t="shared" si="22"/>
        <v>0</v>
      </c>
      <c r="U20" s="39">
        <f t="shared" si="22"/>
        <v>0</v>
      </c>
      <c r="V20" s="39">
        <f t="shared" si="22"/>
        <v>0</v>
      </c>
      <c r="W20" s="39">
        <f t="shared" si="22"/>
        <v>0</v>
      </c>
      <c r="X20" s="39">
        <f t="shared" si="22"/>
        <v>0</v>
      </c>
      <c r="Y20" s="39">
        <f t="shared" si="22"/>
        <v>0</v>
      </c>
      <c r="Z20" s="39">
        <f t="shared" si="22"/>
        <v>0</v>
      </c>
      <c r="AA20" s="39">
        <f t="shared" si="22"/>
        <v>0</v>
      </c>
      <c r="AB20" s="39">
        <f t="shared" si="22"/>
        <v>0</v>
      </c>
      <c r="AC20" s="39">
        <f t="shared" si="22"/>
        <v>0</v>
      </c>
      <c r="AD20" s="39">
        <f t="shared" si="22"/>
        <v>0</v>
      </c>
      <c r="AE20" s="39">
        <f t="shared" si="22"/>
        <v>0</v>
      </c>
      <c r="AF20" s="39">
        <f t="shared" si="22"/>
        <v>0</v>
      </c>
      <c r="AG20" s="39">
        <f t="shared" si="22"/>
        <v>0</v>
      </c>
      <c r="AH20" s="39">
        <f t="shared" si="22"/>
        <v>0</v>
      </c>
      <c r="AI20" s="39">
        <f t="shared" si="22"/>
        <v>0</v>
      </c>
      <c r="AJ20" s="39">
        <f t="shared" ref="AJ20:BO20" si="23">AJ18+AJ19</f>
        <v>0</v>
      </c>
      <c r="AK20" s="39">
        <f t="shared" si="23"/>
        <v>0</v>
      </c>
      <c r="AL20" s="39">
        <f t="shared" si="23"/>
        <v>0</v>
      </c>
      <c r="AM20" s="39">
        <f t="shared" si="23"/>
        <v>0</v>
      </c>
      <c r="AN20" s="39">
        <f t="shared" si="23"/>
        <v>0</v>
      </c>
      <c r="AO20" s="39">
        <f t="shared" si="23"/>
        <v>0</v>
      </c>
      <c r="AP20" s="39">
        <f t="shared" si="23"/>
        <v>0</v>
      </c>
      <c r="AQ20" s="39">
        <f t="shared" si="23"/>
        <v>0</v>
      </c>
      <c r="AR20" s="39">
        <f t="shared" si="23"/>
        <v>0</v>
      </c>
      <c r="AS20" s="39">
        <f t="shared" si="23"/>
        <v>0</v>
      </c>
      <c r="AT20" s="39">
        <f t="shared" si="23"/>
        <v>0</v>
      </c>
      <c r="AU20" s="39">
        <f t="shared" si="23"/>
        <v>0</v>
      </c>
      <c r="AV20" s="39">
        <f t="shared" si="23"/>
        <v>0</v>
      </c>
      <c r="AW20" s="39">
        <f t="shared" si="23"/>
        <v>0</v>
      </c>
      <c r="AX20" s="39">
        <f t="shared" si="23"/>
        <v>0</v>
      </c>
      <c r="AY20" s="39">
        <f t="shared" si="23"/>
        <v>0</v>
      </c>
      <c r="AZ20" s="39">
        <f t="shared" si="23"/>
        <v>0</v>
      </c>
      <c r="BA20" s="39">
        <f t="shared" si="23"/>
        <v>0</v>
      </c>
      <c r="BB20" s="39">
        <f t="shared" si="23"/>
        <v>0</v>
      </c>
      <c r="BC20" s="39">
        <f t="shared" si="23"/>
        <v>0</v>
      </c>
      <c r="BD20" s="39">
        <f t="shared" si="23"/>
        <v>0</v>
      </c>
      <c r="BE20" s="39">
        <f t="shared" si="23"/>
        <v>0</v>
      </c>
      <c r="BF20" s="39">
        <f t="shared" si="23"/>
        <v>0</v>
      </c>
      <c r="BG20" s="39">
        <f t="shared" si="23"/>
        <v>0</v>
      </c>
      <c r="BH20" s="39">
        <f t="shared" si="23"/>
        <v>0</v>
      </c>
      <c r="BI20" s="39">
        <f t="shared" si="23"/>
        <v>0</v>
      </c>
      <c r="BJ20" s="39">
        <f t="shared" si="23"/>
        <v>0</v>
      </c>
      <c r="BK20" s="39">
        <f t="shared" si="23"/>
        <v>0</v>
      </c>
      <c r="BL20" s="39">
        <f t="shared" si="23"/>
        <v>0</v>
      </c>
      <c r="BM20" s="39">
        <f t="shared" si="23"/>
        <v>0</v>
      </c>
      <c r="BN20" s="39">
        <f t="shared" si="23"/>
        <v>0</v>
      </c>
      <c r="BO20" s="39">
        <f t="shared" si="23"/>
        <v>0</v>
      </c>
      <c r="BP20" s="39">
        <f t="shared" ref="BP20:CU20" si="24">BP18+BP19</f>
        <v>0</v>
      </c>
      <c r="BQ20" s="39">
        <f t="shared" si="24"/>
        <v>0</v>
      </c>
      <c r="BR20" s="39">
        <f t="shared" si="24"/>
        <v>0</v>
      </c>
      <c r="BS20" s="39">
        <f t="shared" si="24"/>
        <v>0</v>
      </c>
      <c r="BT20" s="39">
        <f t="shared" si="24"/>
        <v>0</v>
      </c>
      <c r="BU20" s="39">
        <f t="shared" si="24"/>
        <v>0</v>
      </c>
      <c r="BV20" s="39">
        <f t="shared" si="24"/>
        <v>0</v>
      </c>
      <c r="BW20" s="39">
        <f t="shared" si="24"/>
        <v>0</v>
      </c>
      <c r="BX20" s="39">
        <f t="shared" si="24"/>
        <v>0</v>
      </c>
      <c r="BY20" s="39">
        <f t="shared" si="24"/>
        <v>0</v>
      </c>
      <c r="BZ20" s="39">
        <f t="shared" si="24"/>
        <v>0</v>
      </c>
      <c r="CA20" s="39">
        <f t="shared" si="24"/>
        <v>0</v>
      </c>
      <c r="CB20" s="39">
        <f t="shared" si="24"/>
        <v>0</v>
      </c>
      <c r="CC20" s="39">
        <f t="shared" si="24"/>
        <v>0</v>
      </c>
      <c r="CD20" s="39">
        <f t="shared" si="24"/>
        <v>0</v>
      </c>
      <c r="CE20" s="39">
        <f t="shared" si="24"/>
        <v>0</v>
      </c>
      <c r="CF20" s="39">
        <f t="shared" si="24"/>
        <v>0</v>
      </c>
      <c r="CG20" s="39">
        <f t="shared" si="24"/>
        <v>0</v>
      </c>
      <c r="CH20" s="39">
        <f t="shared" si="24"/>
        <v>0</v>
      </c>
      <c r="CI20" s="39">
        <f t="shared" si="24"/>
        <v>0</v>
      </c>
      <c r="CJ20" s="39">
        <f t="shared" si="24"/>
        <v>0</v>
      </c>
      <c r="CK20" s="39">
        <f t="shared" si="24"/>
        <v>0</v>
      </c>
      <c r="CL20" s="39">
        <f t="shared" si="24"/>
        <v>0</v>
      </c>
      <c r="CM20" s="39">
        <f t="shared" si="24"/>
        <v>0</v>
      </c>
      <c r="CN20" s="39">
        <f t="shared" si="24"/>
        <v>0</v>
      </c>
      <c r="CO20" s="39">
        <f t="shared" si="24"/>
        <v>0</v>
      </c>
      <c r="CP20" s="39">
        <f t="shared" si="24"/>
        <v>0</v>
      </c>
      <c r="CQ20" s="39">
        <f t="shared" si="24"/>
        <v>0</v>
      </c>
      <c r="CR20" s="39">
        <f t="shared" si="24"/>
        <v>0</v>
      </c>
      <c r="CS20" s="39">
        <f t="shared" si="24"/>
        <v>0</v>
      </c>
      <c r="CT20" s="39">
        <f t="shared" si="24"/>
        <v>0</v>
      </c>
      <c r="CU20" s="39">
        <f t="shared" si="24"/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1BAF7A"/>
  </sheetPr>
  <dimension ref="A1:CU63"/>
  <sheetViews>
    <sheetView showGridLines="0" workbookViewId="0">
      <pane xSplit="3" ySplit="4" topLeftCell="D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46" customWidth="1"/>
    <col min="2" max="2" width="16" customWidth="1"/>
    <col min="3" max="3" width="22" customWidth="1"/>
    <col min="4" max="99" width="11" customWidth="1"/>
  </cols>
  <sheetData>
    <row r="1" spans="1:99" ht="21" x14ac:dyDescent="0.4">
      <c r="A1" s="10" t="s">
        <v>388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</row>
    <row r="2" spans="1:99" x14ac:dyDescent="0.3">
      <c r="A2" s="11" t="s">
        <v>389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</row>
    <row r="3" spans="1:99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</row>
    <row r="4" spans="1:99" x14ac:dyDescent="0.3">
      <c r="A4" s="12" t="s">
        <v>285</v>
      </c>
      <c r="B4" s="12" t="s">
        <v>309</v>
      </c>
      <c r="C4" s="12" t="s">
        <v>324</v>
      </c>
      <c r="D4" s="24">
        <v>0</v>
      </c>
      <c r="E4" s="24">
        <f t="shared" ref="E4:AJ4" si="0">D4+1</f>
        <v>1</v>
      </c>
      <c r="F4" s="24">
        <f t="shared" si="0"/>
        <v>2</v>
      </c>
      <c r="G4" s="24">
        <f t="shared" si="0"/>
        <v>3</v>
      </c>
      <c r="H4" s="24">
        <f t="shared" si="0"/>
        <v>4</v>
      </c>
      <c r="I4" s="24">
        <f t="shared" si="0"/>
        <v>5</v>
      </c>
      <c r="J4" s="24">
        <f t="shared" si="0"/>
        <v>6</v>
      </c>
      <c r="K4" s="24">
        <f t="shared" si="0"/>
        <v>7</v>
      </c>
      <c r="L4" s="24">
        <f t="shared" si="0"/>
        <v>8</v>
      </c>
      <c r="M4" s="24">
        <f t="shared" si="0"/>
        <v>9</v>
      </c>
      <c r="N4" s="24">
        <f t="shared" si="0"/>
        <v>10</v>
      </c>
      <c r="O4" s="24">
        <f t="shared" si="0"/>
        <v>11</v>
      </c>
      <c r="P4" s="24">
        <f t="shared" si="0"/>
        <v>12</v>
      </c>
      <c r="Q4" s="24">
        <f t="shared" si="0"/>
        <v>13</v>
      </c>
      <c r="R4" s="24">
        <f t="shared" si="0"/>
        <v>14</v>
      </c>
      <c r="S4" s="24">
        <f t="shared" si="0"/>
        <v>15</v>
      </c>
      <c r="T4" s="24">
        <f t="shared" si="0"/>
        <v>16</v>
      </c>
      <c r="U4" s="24">
        <f t="shared" si="0"/>
        <v>17</v>
      </c>
      <c r="V4" s="24">
        <f t="shared" si="0"/>
        <v>18</v>
      </c>
      <c r="W4" s="24">
        <f t="shared" si="0"/>
        <v>19</v>
      </c>
      <c r="X4" s="24">
        <f t="shared" si="0"/>
        <v>20</v>
      </c>
      <c r="Y4" s="24">
        <f t="shared" si="0"/>
        <v>21</v>
      </c>
      <c r="Z4" s="24">
        <f t="shared" si="0"/>
        <v>22</v>
      </c>
      <c r="AA4" s="24">
        <f t="shared" si="0"/>
        <v>23</v>
      </c>
      <c r="AB4" s="24">
        <f t="shared" si="0"/>
        <v>24</v>
      </c>
      <c r="AC4" s="24">
        <f t="shared" si="0"/>
        <v>25</v>
      </c>
      <c r="AD4" s="24">
        <f t="shared" si="0"/>
        <v>26</v>
      </c>
      <c r="AE4" s="24">
        <f t="shared" si="0"/>
        <v>27</v>
      </c>
      <c r="AF4" s="24">
        <f t="shared" si="0"/>
        <v>28</v>
      </c>
      <c r="AG4" s="24">
        <f t="shared" si="0"/>
        <v>29</v>
      </c>
      <c r="AH4" s="24">
        <f t="shared" si="0"/>
        <v>30</v>
      </c>
      <c r="AI4" s="24">
        <f t="shared" si="0"/>
        <v>31</v>
      </c>
      <c r="AJ4" s="24">
        <f t="shared" si="0"/>
        <v>32</v>
      </c>
      <c r="AK4" s="24">
        <f t="shared" ref="AK4:BP4" si="1">AJ4+1</f>
        <v>33</v>
      </c>
      <c r="AL4" s="24">
        <f t="shared" si="1"/>
        <v>34</v>
      </c>
      <c r="AM4" s="24">
        <f t="shared" si="1"/>
        <v>35</v>
      </c>
      <c r="AN4" s="24">
        <f t="shared" si="1"/>
        <v>36</v>
      </c>
      <c r="AO4" s="24">
        <f t="shared" si="1"/>
        <v>37</v>
      </c>
      <c r="AP4" s="24">
        <f t="shared" si="1"/>
        <v>38</v>
      </c>
      <c r="AQ4" s="24">
        <f t="shared" si="1"/>
        <v>39</v>
      </c>
      <c r="AR4" s="24">
        <f t="shared" si="1"/>
        <v>40</v>
      </c>
      <c r="AS4" s="24">
        <f t="shared" si="1"/>
        <v>41</v>
      </c>
      <c r="AT4" s="24">
        <f t="shared" si="1"/>
        <v>42</v>
      </c>
      <c r="AU4" s="24">
        <f t="shared" si="1"/>
        <v>43</v>
      </c>
      <c r="AV4" s="24">
        <f t="shared" si="1"/>
        <v>44</v>
      </c>
      <c r="AW4" s="24">
        <f t="shared" si="1"/>
        <v>45</v>
      </c>
      <c r="AX4" s="24">
        <f t="shared" si="1"/>
        <v>46</v>
      </c>
      <c r="AY4" s="24">
        <f t="shared" si="1"/>
        <v>47</v>
      </c>
      <c r="AZ4" s="24">
        <f t="shared" si="1"/>
        <v>48</v>
      </c>
      <c r="BA4" s="24">
        <f t="shared" si="1"/>
        <v>49</v>
      </c>
      <c r="BB4" s="24">
        <f t="shared" si="1"/>
        <v>50</v>
      </c>
      <c r="BC4" s="24">
        <f t="shared" si="1"/>
        <v>51</v>
      </c>
      <c r="BD4" s="24">
        <f t="shared" si="1"/>
        <v>52</v>
      </c>
      <c r="BE4" s="24">
        <f t="shared" si="1"/>
        <v>53</v>
      </c>
      <c r="BF4" s="24">
        <f t="shared" si="1"/>
        <v>54</v>
      </c>
      <c r="BG4" s="24">
        <f t="shared" si="1"/>
        <v>55</v>
      </c>
      <c r="BH4" s="24">
        <f t="shared" si="1"/>
        <v>56</v>
      </c>
      <c r="BI4" s="24">
        <f t="shared" si="1"/>
        <v>57</v>
      </c>
      <c r="BJ4" s="24">
        <f t="shared" si="1"/>
        <v>58</v>
      </c>
      <c r="BK4" s="24">
        <f t="shared" si="1"/>
        <v>59</v>
      </c>
      <c r="BL4" s="24">
        <f t="shared" si="1"/>
        <v>60</v>
      </c>
      <c r="BM4" s="24">
        <f t="shared" si="1"/>
        <v>61</v>
      </c>
      <c r="BN4" s="24">
        <f t="shared" si="1"/>
        <v>62</v>
      </c>
      <c r="BO4" s="24">
        <f t="shared" si="1"/>
        <v>63</v>
      </c>
      <c r="BP4" s="24">
        <f t="shared" si="1"/>
        <v>64</v>
      </c>
      <c r="BQ4" s="24">
        <f t="shared" ref="BQ4:CU4" si="2">BP4+1</f>
        <v>65</v>
      </c>
      <c r="BR4" s="24">
        <f t="shared" si="2"/>
        <v>66</v>
      </c>
      <c r="BS4" s="24">
        <f t="shared" si="2"/>
        <v>67</v>
      </c>
      <c r="BT4" s="24">
        <f t="shared" si="2"/>
        <v>68</v>
      </c>
      <c r="BU4" s="24">
        <f t="shared" si="2"/>
        <v>69</v>
      </c>
      <c r="BV4" s="24">
        <f t="shared" si="2"/>
        <v>70</v>
      </c>
      <c r="BW4" s="24">
        <f t="shared" si="2"/>
        <v>71</v>
      </c>
      <c r="BX4" s="24">
        <f t="shared" si="2"/>
        <v>72</v>
      </c>
      <c r="BY4" s="24">
        <f t="shared" si="2"/>
        <v>73</v>
      </c>
      <c r="BZ4" s="24">
        <f t="shared" si="2"/>
        <v>74</v>
      </c>
      <c r="CA4" s="24">
        <f t="shared" si="2"/>
        <v>75</v>
      </c>
      <c r="CB4" s="24">
        <f t="shared" si="2"/>
        <v>76</v>
      </c>
      <c r="CC4" s="24">
        <f t="shared" si="2"/>
        <v>77</v>
      </c>
      <c r="CD4" s="24">
        <f t="shared" si="2"/>
        <v>78</v>
      </c>
      <c r="CE4" s="24">
        <f t="shared" si="2"/>
        <v>79</v>
      </c>
      <c r="CF4" s="24">
        <f t="shared" si="2"/>
        <v>80</v>
      </c>
      <c r="CG4" s="24">
        <f t="shared" si="2"/>
        <v>81</v>
      </c>
      <c r="CH4" s="24">
        <f t="shared" si="2"/>
        <v>82</v>
      </c>
      <c r="CI4" s="24">
        <f t="shared" si="2"/>
        <v>83</v>
      </c>
      <c r="CJ4" s="24">
        <f t="shared" si="2"/>
        <v>84</v>
      </c>
      <c r="CK4" s="24">
        <f t="shared" si="2"/>
        <v>85</v>
      </c>
      <c r="CL4" s="24">
        <f t="shared" si="2"/>
        <v>86</v>
      </c>
      <c r="CM4" s="24">
        <f t="shared" si="2"/>
        <v>87</v>
      </c>
      <c r="CN4" s="24">
        <f t="shared" si="2"/>
        <v>88</v>
      </c>
      <c r="CO4" s="24">
        <f t="shared" si="2"/>
        <v>89</v>
      </c>
      <c r="CP4" s="24">
        <f t="shared" si="2"/>
        <v>90</v>
      </c>
      <c r="CQ4" s="24">
        <f t="shared" si="2"/>
        <v>91</v>
      </c>
      <c r="CR4" s="24">
        <f t="shared" si="2"/>
        <v>92</v>
      </c>
      <c r="CS4" s="24">
        <f t="shared" si="2"/>
        <v>93</v>
      </c>
      <c r="CT4" s="24">
        <f t="shared" si="2"/>
        <v>94</v>
      </c>
      <c r="CU4" s="24">
        <f t="shared" si="2"/>
        <v>95</v>
      </c>
    </row>
    <row r="5" spans="1:99" x14ac:dyDescent="0.3">
      <c r="A5" s="7" t="s">
        <v>390</v>
      </c>
      <c r="B5" s="34">
        <f>MAX(IF(in_mode_sale=1,MAX(T_Delivery,Sales_Last),R_Exit),IF(COUNT(cf_month)&gt;0,MAX(cf_month),0),SUMPRODUCT(MAX((Construction!$D$32:$CU$32&lt;&gt;0)*$D$4:$CU$4)))</f>
        <v>32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</row>
    <row r="6" spans="1:99" x14ac:dyDescent="0.3">
      <c r="A6" s="7" t="s">
        <v>391</v>
      </c>
      <c r="B6" s="34">
        <f>SUM($D$22:$CU$22)</f>
        <v>741893851.70836401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</row>
    <row r="7" spans="1:99" x14ac:dyDescent="0.3">
      <c r="A7" s="7" t="s">
        <v>392</v>
      </c>
      <c r="B7" s="34">
        <f ca="1">B30+B32+B33</f>
        <v>13348403.394471239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</row>
    <row r="8" spans="1:99" x14ac:dyDescent="0.3">
      <c r="A8" s="7" t="s">
        <v>62</v>
      </c>
      <c r="B8" s="34">
        <f ca="1">TDC+FinCost</f>
        <v>755242255.1028353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</row>
    <row r="9" spans="1:99" x14ac:dyDescent="0.3">
      <c r="A9" s="7" t="s">
        <v>393</v>
      </c>
      <c r="B9" s="45">
        <f>IF(in_fin_senior_rate_type="fixed",N(in_fin_senior_fixed_rate_pct),N(in_fin_reference_rate_pct)+in_fin_senior_spread_pct)</f>
        <v>0.1075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</row>
    <row r="10" spans="1:99" x14ac:dyDescent="0.3">
      <c r="A10" s="7" t="s">
        <v>394</v>
      </c>
      <c r="B10" s="34">
        <f ca="1">in_fin_senior_ltc_pct*(TDC+FinCostSizing)</f>
        <v>339859014.7963165</v>
      </c>
      <c r="C10" s="11" t="s">
        <v>395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</row>
    <row r="11" spans="1:99" x14ac:dyDescent="0.3">
      <c r="A11" s="7" t="s">
        <v>396</v>
      </c>
      <c r="B11" s="34">
        <f ca="1">N(in_fin_mezz_ltc_pct)*(TDC+FinCostSizing)</f>
        <v>0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</row>
    <row r="12" spans="1:99" x14ac:dyDescent="0.3">
      <c r="A12" s="7" t="s">
        <v>397</v>
      </c>
      <c r="B12" s="34">
        <f ca="1">MAX(TDC+FinCostSizing-F_SeniorCommit-F_MezzCommit,0)</f>
        <v>415383240.30660903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</row>
    <row r="13" spans="1:99" x14ac:dyDescent="0.3">
      <c r="A13" s="7" t="s">
        <v>398</v>
      </c>
      <c r="B13" s="34">
        <f>IF(N(in_fin_amortization_years)&gt;0,INDEX($D$56:$CU$56,1,T_Delivery+1)*IF(F_SeniorRate/12=0,1/(in_fin_amortization_years*12),F_SeniorRate/12/(1-(1+F_SeniorRate/12)^-(in_fin_amortization_years*12)))-INDEX($D$56:$CU$56,1,T_Delivery+1)*F_SeniorRate/12,0)</f>
        <v>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</row>
    <row r="14" spans="1:99" x14ac:dyDescent="0.3">
      <c r="A14" s="7" t="s">
        <v>399</v>
      </c>
      <c r="B14" s="34">
        <f ca="1">IF(in_circ_switch=1,IFERROR(FinCost,0),0)</f>
        <v>13348403.394471239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</row>
    <row r="15" spans="1:99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</row>
    <row r="16" spans="1:99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</row>
    <row r="17" spans="1:99" x14ac:dyDescent="0.3">
      <c r="A17" s="7" t="s">
        <v>400</v>
      </c>
      <c r="B17" s="1"/>
      <c r="C17" s="11"/>
      <c r="D17" s="34">
        <f t="shared" ref="D17:AI17" si="3">IF(D$4=T_End,1,0)</f>
        <v>0</v>
      </c>
      <c r="E17" s="34">
        <f t="shared" si="3"/>
        <v>0</v>
      </c>
      <c r="F17" s="34">
        <f t="shared" si="3"/>
        <v>0</v>
      </c>
      <c r="G17" s="34">
        <f t="shared" si="3"/>
        <v>0</v>
      </c>
      <c r="H17" s="34">
        <f t="shared" si="3"/>
        <v>0</v>
      </c>
      <c r="I17" s="34">
        <f t="shared" si="3"/>
        <v>0</v>
      </c>
      <c r="J17" s="34">
        <f t="shared" si="3"/>
        <v>0</v>
      </c>
      <c r="K17" s="34">
        <f t="shared" si="3"/>
        <v>0</v>
      </c>
      <c r="L17" s="34">
        <f t="shared" si="3"/>
        <v>0</v>
      </c>
      <c r="M17" s="34">
        <f t="shared" si="3"/>
        <v>0</v>
      </c>
      <c r="N17" s="34">
        <f t="shared" si="3"/>
        <v>0</v>
      </c>
      <c r="O17" s="34">
        <f t="shared" si="3"/>
        <v>0</v>
      </c>
      <c r="P17" s="34">
        <f t="shared" si="3"/>
        <v>0</v>
      </c>
      <c r="Q17" s="34">
        <f t="shared" si="3"/>
        <v>0</v>
      </c>
      <c r="R17" s="34">
        <f t="shared" si="3"/>
        <v>0</v>
      </c>
      <c r="S17" s="34">
        <f t="shared" si="3"/>
        <v>0</v>
      </c>
      <c r="T17" s="34">
        <f t="shared" si="3"/>
        <v>0</v>
      </c>
      <c r="U17" s="34">
        <f t="shared" si="3"/>
        <v>0</v>
      </c>
      <c r="V17" s="34">
        <f t="shared" si="3"/>
        <v>0</v>
      </c>
      <c r="W17" s="34">
        <f t="shared" si="3"/>
        <v>0</v>
      </c>
      <c r="X17" s="34">
        <f t="shared" si="3"/>
        <v>0</v>
      </c>
      <c r="Y17" s="34">
        <f t="shared" si="3"/>
        <v>0</v>
      </c>
      <c r="Z17" s="34">
        <f t="shared" si="3"/>
        <v>0</v>
      </c>
      <c r="AA17" s="34">
        <f t="shared" si="3"/>
        <v>0</v>
      </c>
      <c r="AB17" s="34">
        <f t="shared" si="3"/>
        <v>0</v>
      </c>
      <c r="AC17" s="34">
        <f t="shared" si="3"/>
        <v>0</v>
      </c>
      <c r="AD17" s="34">
        <f t="shared" si="3"/>
        <v>0</v>
      </c>
      <c r="AE17" s="34">
        <f t="shared" si="3"/>
        <v>0</v>
      </c>
      <c r="AF17" s="34">
        <f t="shared" si="3"/>
        <v>0</v>
      </c>
      <c r="AG17" s="34">
        <f t="shared" si="3"/>
        <v>0</v>
      </c>
      <c r="AH17" s="34">
        <f t="shared" si="3"/>
        <v>0</v>
      </c>
      <c r="AI17" s="34">
        <f t="shared" si="3"/>
        <v>0</v>
      </c>
      <c r="AJ17" s="34">
        <f t="shared" ref="AJ17:BO17" si="4">IF(AJ$4=T_End,1,0)</f>
        <v>1</v>
      </c>
      <c r="AK17" s="34">
        <f t="shared" si="4"/>
        <v>0</v>
      </c>
      <c r="AL17" s="34">
        <f t="shared" si="4"/>
        <v>0</v>
      </c>
      <c r="AM17" s="34">
        <f t="shared" si="4"/>
        <v>0</v>
      </c>
      <c r="AN17" s="34">
        <f t="shared" si="4"/>
        <v>0</v>
      </c>
      <c r="AO17" s="34">
        <f t="shared" si="4"/>
        <v>0</v>
      </c>
      <c r="AP17" s="34">
        <f t="shared" si="4"/>
        <v>0</v>
      </c>
      <c r="AQ17" s="34">
        <f t="shared" si="4"/>
        <v>0</v>
      </c>
      <c r="AR17" s="34">
        <f t="shared" si="4"/>
        <v>0</v>
      </c>
      <c r="AS17" s="34">
        <f t="shared" si="4"/>
        <v>0</v>
      </c>
      <c r="AT17" s="34">
        <f t="shared" si="4"/>
        <v>0</v>
      </c>
      <c r="AU17" s="34">
        <f t="shared" si="4"/>
        <v>0</v>
      </c>
      <c r="AV17" s="34">
        <f t="shared" si="4"/>
        <v>0</v>
      </c>
      <c r="AW17" s="34">
        <f t="shared" si="4"/>
        <v>0</v>
      </c>
      <c r="AX17" s="34">
        <f t="shared" si="4"/>
        <v>0</v>
      </c>
      <c r="AY17" s="34">
        <f t="shared" si="4"/>
        <v>0</v>
      </c>
      <c r="AZ17" s="34">
        <f t="shared" si="4"/>
        <v>0</v>
      </c>
      <c r="BA17" s="34">
        <f t="shared" si="4"/>
        <v>0</v>
      </c>
      <c r="BB17" s="34">
        <f t="shared" si="4"/>
        <v>0</v>
      </c>
      <c r="BC17" s="34">
        <f t="shared" si="4"/>
        <v>0</v>
      </c>
      <c r="BD17" s="34">
        <f t="shared" si="4"/>
        <v>0</v>
      </c>
      <c r="BE17" s="34">
        <f t="shared" si="4"/>
        <v>0</v>
      </c>
      <c r="BF17" s="34">
        <f t="shared" si="4"/>
        <v>0</v>
      </c>
      <c r="BG17" s="34">
        <f t="shared" si="4"/>
        <v>0</v>
      </c>
      <c r="BH17" s="34">
        <f t="shared" si="4"/>
        <v>0</v>
      </c>
      <c r="BI17" s="34">
        <f t="shared" si="4"/>
        <v>0</v>
      </c>
      <c r="BJ17" s="34">
        <f t="shared" si="4"/>
        <v>0</v>
      </c>
      <c r="BK17" s="34">
        <f t="shared" si="4"/>
        <v>0</v>
      </c>
      <c r="BL17" s="34">
        <f t="shared" si="4"/>
        <v>0</v>
      </c>
      <c r="BM17" s="34">
        <f t="shared" si="4"/>
        <v>0</v>
      </c>
      <c r="BN17" s="34">
        <f t="shared" si="4"/>
        <v>0</v>
      </c>
      <c r="BO17" s="34">
        <f t="shared" si="4"/>
        <v>0</v>
      </c>
      <c r="BP17" s="34">
        <f t="shared" ref="BP17:CU17" si="5">IF(BP$4=T_End,1,0)</f>
        <v>0</v>
      </c>
      <c r="BQ17" s="34">
        <f t="shared" si="5"/>
        <v>0</v>
      </c>
      <c r="BR17" s="34">
        <f t="shared" si="5"/>
        <v>0</v>
      </c>
      <c r="BS17" s="34">
        <f t="shared" si="5"/>
        <v>0</v>
      </c>
      <c r="BT17" s="34">
        <f t="shared" si="5"/>
        <v>0</v>
      </c>
      <c r="BU17" s="34">
        <f t="shared" si="5"/>
        <v>0</v>
      </c>
      <c r="BV17" s="34">
        <f t="shared" si="5"/>
        <v>0</v>
      </c>
      <c r="BW17" s="34">
        <f t="shared" si="5"/>
        <v>0</v>
      </c>
      <c r="BX17" s="34">
        <f t="shared" si="5"/>
        <v>0</v>
      </c>
      <c r="BY17" s="34">
        <f t="shared" si="5"/>
        <v>0</v>
      </c>
      <c r="BZ17" s="34">
        <f t="shared" si="5"/>
        <v>0</v>
      </c>
      <c r="CA17" s="34">
        <f t="shared" si="5"/>
        <v>0</v>
      </c>
      <c r="CB17" s="34">
        <f t="shared" si="5"/>
        <v>0</v>
      </c>
      <c r="CC17" s="34">
        <f t="shared" si="5"/>
        <v>0</v>
      </c>
      <c r="CD17" s="34">
        <f t="shared" si="5"/>
        <v>0</v>
      </c>
      <c r="CE17" s="34">
        <f t="shared" si="5"/>
        <v>0</v>
      </c>
      <c r="CF17" s="34">
        <f t="shared" si="5"/>
        <v>0</v>
      </c>
      <c r="CG17" s="34">
        <f t="shared" si="5"/>
        <v>0</v>
      </c>
      <c r="CH17" s="34">
        <f t="shared" si="5"/>
        <v>0</v>
      </c>
      <c r="CI17" s="34">
        <f t="shared" si="5"/>
        <v>0</v>
      </c>
      <c r="CJ17" s="34">
        <f t="shared" si="5"/>
        <v>0</v>
      </c>
      <c r="CK17" s="34">
        <f t="shared" si="5"/>
        <v>0</v>
      </c>
      <c r="CL17" s="34">
        <f t="shared" si="5"/>
        <v>0</v>
      </c>
      <c r="CM17" s="34">
        <f t="shared" si="5"/>
        <v>0</v>
      </c>
      <c r="CN17" s="34">
        <f t="shared" si="5"/>
        <v>0</v>
      </c>
      <c r="CO17" s="34">
        <f t="shared" si="5"/>
        <v>0</v>
      </c>
      <c r="CP17" s="34">
        <f t="shared" si="5"/>
        <v>0</v>
      </c>
      <c r="CQ17" s="34">
        <f t="shared" si="5"/>
        <v>0</v>
      </c>
      <c r="CR17" s="34">
        <f t="shared" si="5"/>
        <v>0</v>
      </c>
      <c r="CS17" s="34">
        <f t="shared" si="5"/>
        <v>0</v>
      </c>
      <c r="CT17" s="34">
        <f t="shared" si="5"/>
        <v>0</v>
      </c>
      <c r="CU17" s="34">
        <f t="shared" si="5"/>
        <v>0</v>
      </c>
    </row>
    <row r="18" spans="1:99" x14ac:dyDescent="0.3">
      <c r="A18" s="7" t="s">
        <v>401</v>
      </c>
      <c r="B18" s="1"/>
      <c r="C18" s="11"/>
      <c r="D18" s="34">
        <f t="shared" ref="D18:AI18" si="6">IF(OR(D$4&gt;=T_Delivery,D$4=T_End),1,0)</f>
        <v>0</v>
      </c>
      <c r="E18" s="34">
        <f t="shared" si="6"/>
        <v>0</v>
      </c>
      <c r="F18" s="34">
        <f t="shared" si="6"/>
        <v>0</v>
      </c>
      <c r="G18" s="34">
        <f t="shared" si="6"/>
        <v>0</v>
      </c>
      <c r="H18" s="34">
        <f t="shared" si="6"/>
        <v>0</v>
      </c>
      <c r="I18" s="34">
        <f t="shared" si="6"/>
        <v>0</v>
      </c>
      <c r="J18" s="34">
        <f t="shared" si="6"/>
        <v>0</v>
      </c>
      <c r="K18" s="34">
        <f t="shared" si="6"/>
        <v>0</v>
      </c>
      <c r="L18" s="34">
        <f t="shared" si="6"/>
        <v>0</v>
      </c>
      <c r="M18" s="34">
        <f t="shared" si="6"/>
        <v>0</v>
      </c>
      <c r="N18" s="34">
        <f t="shared" si="6"/>
        <v>0</v>
      </c>
      <c r="O18" s="34">
        <f t="shared" si="6"/>
        <v>0</v>
      </c>
      <c r="P18" s="34">
        <f t="shared" si="6"/>
        <v>0</v>
      </c>
      <c r="Q18" s="34">
        <f t="shared" si="6"/>
        <v>0</v>
      </c>
      <c r="R18" s="34">
        <f t="shared" si="6"/>
        <v>0</v>
      </c>
      <c r="S18" s="34">
        <f t="shared" si="6"/>
        <v>0</v>
      </c>
      <c r="T18" s="34">
        <f t="shared" si="6"/>
        <v>0</v>
      </c>
      <c r="U18" s="34">
        <f t="shared" si="6"/>
        <v>0</v>
      </c>
      <c r="V18" s="34">
        <f t="shared" si="6"/>
        <v>0</v>
      </c>
      <c r="W18" s="34">
        <f t="shared" si="6"/>
        <v>0</v>
      </c>
      <c r="X18" s="34">
        <f t="shared" si="6"/>
        <v>0</v>
      </c>
      <c r="Y18" s="34">
        <f t="shared" si="6"/>
        <v>0</v>
      </c>
      <c r="Z18" s="34">
        <f t="shared" si="6"/>
        <v>0</v>
      </c>
      <c r="AA18" s="34">
        <f t="shared" si="6"/>
        <v>0</v>
      </c>
      <c r="AB18" s="34">
        <f t="shared" si="6"/>
        <v>0</v>
      </c>
      <c r="AC18" s="34">
        <f t="shared" si="6"/>
        <v>0</v>
      </c>
      <c r="AD18" s="34">
        <f t="shared" si="6"/>
        <v>0</v>
      </c>
      <c r="AE18" s="34">
        <f t="shared" si="6"/>
        <v>0</v>
      </c>
      <c r="AF18" s="34">
        <f t="shared" si="6"/>
        <v>0</v>
      </c>
      <c r="AG18" s="34">
        <f t="shared" si="6"/>
        <v>0</v>
      </c>
      <c r="AH18" s="34">
        <f t="shared" si="6"/>
        <v>0</v>
      </c>
      <c r="AI18" s="34">
        <f t="shared" si="6"/>
        <v>0</v>
      </c>
      <c r="AJ18" s="34">
        <f t="shared" ref="AJ18:BO18" si="7">IF(OR(AJ$4&gt;=T_Delivery,AJ$4=T_End),1,0)</f>
        <v>1</v>
      </c>
      <c r="AK18" s="34">
        <f t="shared" si="7"/>
        <v>1</v>
      </c>
      <c r="AL18" s="34">
        <f t="shared" si="7"/>
        <v>1</v>
      </c>
      <c r="AM18" s="34">
        <f t="shared" si="7"/>
        <v>1</v>
      </c>
      <c r="AN18" s="34">
        <f t="shared" si="7"/>
        <v>1</v>
      </c>
      <c r="AO18" s="34">
        <f t="shared" si="7"/>
        <v>1</v>
      </c>
      <c r="AP18" s="34">
        <f t="shared" si="7"/>
        <v>1</v>
      </c>
      <c r="AQ18" s="34">
        <f t="shared" si="7"/>
        <v>1</v>
      </c>
      <c r="AR18" s="34">
        <f t="shared" si="7"/>
        <v>1</v>
      </c>
      <c r="AS18" s="34">
        <f t="shared" si="7"/>
        <v>1</v>
      </c>
      <c r="AT18" s="34">
        <f t="shared" si="7"/>
        <v>1</v>
      </c>
      <c r="AU18" s="34">
        <f t="shared" si="7"/>
        <v>1</v>
      </c>
      <c r="AV18" s="34">
        <f t="shared" si="7"/>
        <v>1</v>
      </c>
      <c r="AW18" s="34">
        <f t="shared" si="7"/>
        <v>1</v>
      </c>
      <c r="AX18" s="34">
        <f t="shared" si="7"/>
        <v>1</v>
      </c>
      <c r="AY18" s="34">
        <f t="shared" si="7"/>
        <v>1</v>
      </c>
      <c r="AZ18" s="34">
        <f t="shared" si="7"/>
        <v>1</v>
      </c>
      <c r="BA18" s="34">
        <f t="shared" si="7"/>
        <v>1</v>
      </c>
      <c r="BB18" s="34">
        <f t="shared" si="7"/>
        <v>1</v>
      </c>
      <c r="BC18" s="34">
        <f t="shared" si="7"/>
        <v>1</v>
      </c>
      <c r="BD18" s="34">
        <f t="shared" si="7"/>
        <v>1</v>
      </c>
      <c r="BE18" s="34">
        <f t="shared" si="7"/>
        <v>1</v>
      </c>
      <c r="BF18" s="34">
        <f t="shared" si="7"/>
        <v>1</v>
      </c>
      <c r="BG18" s="34">
        <f t="shared" si="7"/>
        <v>1</v>
      </c>
      <c r="BH18" s="34">
        <f t="shared" si="7"/>
        <v>1</v>
      </c>
      <c r="BI18" s="34">
        <f t="shared" si="7"/>
        <v>1</v>
      </c>
      <c r="BJ18" s="34">
        <f t="shared" si="7"/>
        <v>1</v>
      </c>
      <c r="BK18" s="34">
        <f t="shared" si="7"/>
        <v>1</v>
      </c>
      <c r="BL18" s="34">
        <f t="shared" si="7"/>
        <v>1</v>
      </c>
      <c r="BM18" s="34">
        <f t="shared" si="7"/>
        <v>1</v>
      </c>
      <c r="BN18" s="34">
        <f t="shared" si="7"/>
        <v>1</v>
      </c>
      <c r="BO18" s="34">
        <f t="shared" si="7"/>
        <v>1</v>
      </c>
      <c r="BP18" s="34">
        <f t="shared" ref="BP18:CU18" si="8">IF(OR(BP$4&gt;=T_Delivery,BP$4=T_End),1,0)</f>
        <v>1</v>
      </c>
      <c r="BQ18" s="34">
        <f t="shared" si="8"/>
        <v>1</v>
      </c>
      <c r="BR18" s="34">
        <f t="shared" si="8"/>
        <v>1</v>
      </c>
      <c r="BS18" s="34">
        <f t="shared" si="8"/>
        <v>1</v>
      </c>
      <c r="BT18" s="34">
        <f t="shared" si="8"/>
        <v>1</v>
      </c>
      <c r="BU18" s="34">
        <f t="shared" si="8"/>
        <v>1</v>
      </c>
      <c r="BV18" s="34">
        <f t="shared" si="8"/>
        <v>1</v>
      </c>
      <c r="BW18" s="34">
        <f t="shared" si="8"/>
        <v>1</v>
      </c>
      <c r="BX18" s="34">
        <f t="shared" si="8"/>
        <v>1</v>
      </c>
      <c r="BY18" s="34">
        <f t="shared" si="8"/>
        <v>1</v>
      </c>
      <c r="BZ18" s="34">
        <f t="shared" si="8"/>
        <v>1</v>
      </c>
      <c r="CA18" s="34">
        <f t="shared" si="8"/>
        <v>1</v>
      </c>
      <c r="CB18" s="34">
        <f t="shared" si="8"/>
        <v>1</v>
      </c>
      <c r="CC18" s="34">
        <f t="shared" si="8"/>
        <v>1</v>
      </c>
      <c r="CD18" s="34">
        <f t="shared" si="8"/>
        <v>1</v>
      </c>
      <c r="CE18" s="34">
        <f t="shared" si="8"/>
        <v>1</v>
      </c>
      <c r="CF18" s="34">
        <f t="shared" si="8"/>
        <v>1</v>
      </c>
      <c r="CG18" s="34">
        <f t="shared" si="8"/>
        <v>1</v>
      </c>
      <c r="CH18" s="34">
        <f t="shared" si="8"/>
        <v>1</v>
      </c>
      <c r="CI18" s="34">
        <f t="shared" si="8"/>
        <v>1</v>
      </c>
      <c r="CJ18" s="34">
        <f t="shared" si="8"/>
        <v>1</v>
      </c>
      <c r="CK18" s="34">
        <f t="shared" si="8"/>
        <v>1</v>
      </c>
      <c r="CL18" s="34">
        <f t="shared" si="8"/>
        <v>1</v>
      </c>
      <c r="CM18" s="34">
        <f t="shared" si="8"/>
        <v>1</v>
      </c>
      <c r="CN18" s="34">
        <f t="shared" si="8"/>
        <v>1</v>
      </c>
      <c r="CO18" s="34">
        <f t="shared" si="8"/>
        <v>1</v>
      </c>
      <c r="CP18" s="34">
        <f t="shared" si="8"/>
        <v>1</v>
      </c>
      <c r="CQ18" s="34">
        <f t="shared" si="8"/>
        <v>1</v>
      </c>
      <c r="CR18" s="34">
        <f t="shared" si="8"/>
        <v>1</v>
      </c>
      <c r="CS18" s="34">
        <f t="shared" si="8"/>
        <v>1</v>
      </c>
      <c r="CT18" s="34">
        <f t="shared" si="8"/>
        <v>1</v>
      </c>
      <c r="CU18" s="34">
        <f t="shared" si="8"/>
        <v>1</v>
      </c>
    </row>
    <row r="19" spans="1:99" x14ac:dyDescent="0.3">
      <c r="A19" s="13" t="s">
        <v>94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4"/>
      <c r="BJ19" s="14"/>
      <c r="BK19" s="14"/>
      <c r="BL19" s="14"/>
      <c r="BM19" s="14"/>
      <c r="BN19" s="14"/>
      <c r="BO19" s="14"/>
      <c r="BP19" s="14"/>
      <c r="BQ19" s="14"/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/>
      <c r="CS19" s="14"/>
      <c r="CT19" s="14"/>
      <c r="CU19" s="14"/>
    </row>
    <row r="20" spans="1:99" x14ac:dyDescent="0.3">
      <c r="A20" s="7" t="s">
        <v>402</v>
      </c>
      <c r="B20" s="21">
        <f t="shared" ref="B20:B26" si="9">SUM(D20:CU20)</f>
        <v>690069784.11769235</v>
      </c>
      <c r="C20" s="11"/>
      <c r="D20" s="34">
        <f>Construction!D32</f>
        <v>285050000</v>
      </c>
      <c r="E20" s="34">
        <f>Construction!E32</f>
        <v>1168515</v>
      </c>
      <c r="F20" s="34">
        <f>Construction!F32</f>
        <v>1168515</v>
      </c>
      <c r="G20" s="34">
        <f>Construction!G32</f>
        <v>1168515</v>
      </c>
      <c r="H20" s="34">
        <f>Construction!H32</f>
        <v>1168515</v>
      </c>
      <c r="I20" s="34">
        <f>Construction!I32</f>
        <v>1168515</v>
      </c>
      <c r="J20" s="34">
        <f>Construction!J32</f>
        <v>1168515</v>
      </c>
      <c r="K20" s="34">
        <f>Construction!K32</f>
        <v>1168515</v>
      </c>
      <c r="L20" s="34">
        <f>Construction!L32</f>
        <v>8958615</v>
      </c>
      <c r="M20" s="34">
        <f>Construction!M32</f>
        <v>11266885.396318972</v>
      </c>
      <c r="N20" s="34">
        <f>Construction!N32</f>
        <v>5598629.7237212751</v>
      </c>
      <c r="O20" s="34">
        <f>Construction!O32</f>
        <v>8379187.3915363485</v>
      </c>
      <c r="P20" s="34">
        <f>Construction!P32</f>
        <v>11060368.116871232</v>
      </c>
      <c r="Q20" s="34">
        <f>Construction!Q32</f>
        <v>13595316.785394723</v>
      </c>
      <c r="R20" s="34">
        <f>Construction!R32</f>
        <v>15939329.015342794</v>
      </c>
      <c r="S20" s="34">
        <f>Construction!S32</f>
        <v>18050636.076880895</v>
      </c>
      <c r="T20" s="34">
        <f>Construction!T32</f>
        <v>19891145.442698792</v>
      </c>
      <c r="U20" s="34">
        <f>Construction!U32</f>
        <v>21427123.901688214</v>
      </c>
      <c r="V20" s="34">
        <f>Construction!V32</f>
        <v>22629811.053109199</v>
      </c>
      <c r="W20" s="34">
        <f>Construction!W32</f>
        <v>23475952.100366376</v>
      </c>
      <c r="X20" s="34">
        <f>Construction!X32</f>
        <v>23948240.164133511</v>
      </c>
      <c r="Y20" s="34">
        <f>Construction!Y32</f>
        <v>24035659.813290831</v>
      </c>
      <c r="Z20" s="34">
        <f>Construction!Z32</f>
        <v>23733725.144954324</v>
      </c>
      <c r="AA20" s="34">
        <f>Construction!AA32</f>
        <v>23044607.504921697</v>
      </c>
      <c r="AB20" s="34">
        <f>Construction!AB32</f>
        <v>21977149.797896337</v>
      </c>
      <c r="AC20" s="34">
        <f>Construction!AC32</f>
        <v>20546766.261716682</v>
      </c>
      <c r="AD20" s="34">
        <f>Construction!AD32</f>
        <v>18775228.538967345</v>
      </c>
      <c r="AE20" s="34">
        <f>Construction!AE32</f>
        <v>16690340.839393651</v>
      </c>
      <c r="AF20" s="34">
        <f>Construction!AF32</f>
        <v>14325508.913815506</v>
      </c>
      <c r="AG20" s="34">
        <f>Construction!AG32</f>
        <v>11719209.421383554</v>
      </c>
      <c r="AH20" s="34">
        <f>Construction!AH32</f>
        <v>8914368.034547098</v>
      </c>
      <c r="AI20" s="34">
        <f>Construction!AI32</f>
        <v>5957656.2589692194</v>
      </c>
      <c r="AJ20" s="34">
        <f>Construction!AJ32</f>
        <v>2898718.4197738017</v>
      </c>
      <c r="AK20" s="34">
        <f>Construction!AK32</f>
        <v>0</v>
      </c>
      <c r="AL20" s="34">
        <f>Construction!AL32</f>
        <v>0</v>
      </c>
      <c r="AM20" s="34">
        <f>Construction!AM32</f>
        <v>0</v>
      </c>
      <c r="AN20" s="34">
        <f>Construction!AN32</f>
        <v>0</v>
      </c>
      <c r="AO20" s="34">
        <f>Construction!AO32</f>
        <v>0</v>
      </c>
      <c r="AP20" s="34">
        <f>Construction!AP32</f>
        <v>0</v>
      </c>
      <c r="AQ20" s="34">
        <f>Construction!AQ32</f>
        <v>0</v>
      </c>
      <c r="AR20" s="34">
        <f>Construction!AR32</f>
        <v>0</v>
      </c>
      <c r="AS20" s="34">
        <f>Construction!AS32</f>
        <v>0</v>
      </c>
      <c r="AT20" s="34">
        <f>Construction!AT32</f>
        <v>0</v>
      </c>
      <c r="AU20" s="34">
        <f>Construction!AU32</f>
        <v>0</v>
      </c>
      <c r="AV20" s="34">
        <f>Construction!AV32</f>
        <v>0</v>
      </c>
      <c r="AW20" s="34">
        <f>Construction!AW32</f>
        <v>0</v>
      </c>
      <c r="AX20" s="34">
        <f>Construction!AX32</f>
        <v>0</v>
      </c>
      <c r="AY20" s="34">
        <f>Construction!AY32</f>
        <v>0</v>
      </c>
      <c r="AZ20" s="34">
        <f>Construction!AZ32</f>
        <v>0</v>
      </c>
      <c r="BA20" s="34">
        <f>Construction!BA32</f>
        <v>0</v>
      </c>
      <c r="BB20" s="34">
        <f>Construction!BB32</f>
        <v>0</v>
      </c>
      <c r="BC20" s="34">
        <f>Construction!BC32</f>
        <v>0</v>
      </c>
      <c r="BD20" s="34">
        <f>Construction!BD32</f>
        <v>0</v>
      </c>
      <c r="BE20" s="34">
        <f>Construction!BE32</f>
        <v>0</v>
      </c>
      <c r="BF20" s="34">
        <f>Construction!BF32</f>
        <v>0</v>
      </c>
      <c r="BG20" s="34">
        <f>Construction!BG32</f>
        <v>0</v>
      </c>
      <c r="BH20" s="34">
        <f>Construction!BH32</f>
        <v>0</v>
      </c>
      <c r="BI20" s="34">
        <f>Construction!BI32</f>
        <v>0</v>
      </c>
      <c r="BJ20" s="34">
        <f>Construction!BJ32</f>
        <v>0</v>
      </c>
      <c r="BK20" s="34">
        <f>Construction!BK32</f>
        <v>0</v>
      </c>
      <c r="BL20" s="34">
        <f>Construction!BL32</f>
        <v>0</v>
      </c>
      <c r="BM20" s="34">
        <f>Construction!BM32</f>
        <v>0</v>
      </c>
      <c r="BN20" s="34">
        <f>Construction!BN32</f>
        <v>0</v>
      </c>
      <c r="BO20" s="34">
        <f>Construction!BO32</f>
        <v>0</v>
      </c>
      <c r="BP20" s="34">
        <f>Construction!BP32</f>
        <v>0</v>
      </c>
      <c r="BQ20" s="34">
        <f>Construction!BQ32</f>
        <v>0</v>
      </c>
      <c r="BR20" s="34">
        <f>Construction!BR32</f>
        <v>0</v>
      </c>
      <c r="BS20" s="34">
        <f>Construction!BS32</f>
        <v>0</v>
      </c>
      <c r="BT20" s="34">
        <f>Construction!BT32</f>
        <v>0</v>
      </c>
      <c r="BU20" s="34">
        <f>Construction!BU32</f>
        <v>0</v>
      </c>
      <c r="BV20" s="34">
        <f>Construction!BV32</f>
        <v>0</v>
      </c>
      <c r="BW20" s="34">
        <f>Construction!BW32</f>
        <v>0</v>
      </c>
      <c r="BX20" s="34">
        <f>Construction!BX32</f>
        <v>0</v>
      </c>
      <c r="BY20" s="34">
        <f>Construction!BY32</f>
        <v>0</v>
      </c>
      <c r="BZ20" s="34">
        <f>Construction!BZ32</f>
        <v>0</v>
      </c>
      <c r="CA20" s="34">
        <f>Construction!CA32</f>
        <v>0</v>
      </c>
      <c r="CB20" s="34">
        <f>Construction!CB32</f>
        <v>0</v>
      </c>
      <c r="CC20" s="34">
        <f>Construction!CC32</f>
        <v>0</v>
      </c>
      <c r="CD20" s="34">
        <f>Construction!CD32</f>
        <v>0</v>
      </c>
      <c r="CE20" s="34">
        <f>Construction!CE32</f>
        <v>0</v>
      </c>
      <c r="CF20" s="34">
        <f>Construction!CF32</f>
        <v>0</v>
      </c>
      <c r="CG20" s="34">
        <f>Construction!CG32</f>
        <v>0</v>
      </c>
      <c r="CH20" s="34">
        <f>Construction!CH32</f>
        <v>0</v>
      </c>
      <c r="CI20" s="34">
        <f>Construction!CI32</f>
        <v>0</v>
      </c>
      <c r="CJ20" s="34">
        <f>Construction!CJ32</f>
        <v>0</v>
      </c>
      <c r="CK20" s="34">
        <f>Construction!CK32</f>
        <v>0</v>
      </c>
      <c r="CL20" s="34">
        <f>Construction!CL32</f>
        <v>0</v>
      </c>
      <c r="CM20" s="34">
        <f>Construction!CM32</f>
        <v>0</v>
      </c>
      <c r="CN20" s="34">
        <f>Construction!CN32</f>
        <v>0</v>
      </c>
      <c r="CO20" s="34">
        <f>Construction!CO32</f>
        <v>0</v>
      </c>
      <c r="CP20" s="34">
        <f>Construction!CP32</f>
        <v>0</v>
      </c>
      <c r="CQ20" s="34">
        <f>Construction!CQ32</f>
        <v>0</v>
      </c>
      <c r="CR20" s="34">
        <f>Construction!CR32</f>
        <v>0</v>
      </c>
      <c r="CS20" s="34">
        <f>Construction!CS32</f>
        <v>0</v>
      </c>
      <c r="CT20" s="34">
        <f>Construction!CT32</f>
        <v>0</v>
      </c>
      <c r="CU20" s="34">
        <f>Construction!CU32</f>
        <v>0</v>
      </c>
    </row>
    <row r="21" spans="1:99" x14ac:dyDescent="0.3">
      <c r="A21" s="7" t="s">
        <v>368</v>
      </c>
      <c r="B21" s="21">
        <f t="shared" si="9"/>
        <v>51824067.59067139</v>
      </c>
      <c r="C21" s="11"/>
      <c r="D21" s="34">
        <f>IF(in_mode_sale=1,Sales!D30,0)</f>
        <v>0</v>
      </c>
      <c r="E21" s="34">
        <f>IF(in_mode_sale=1,Sales!E30,0)</f>
        <v>0</v>
      </c>
      <c r="F21" s="34">
        <f>IF(in_mode_sale=1,Sales!F30,0)</f>
        <v>0</v>
      </c>
      <c r="G21" s="34">
        <f>IF(in_mode_sale=1,Sales!G30,0)</f>
        <v>0</v>
      </c>
      <c r="H21" s="34">
        <f>IF(in_mode_sale=1,Sales!H30,0)</f>
        <v>0</v>
      </c>
      <c r="I21" s="34">
        <f>IF(in_mode_sale=1,Sales!I30,0)</f>
        <v>1889526.3191975728</v>
      </c>
      <c r="J21" s="34">
        <f>IF(in_mode_sale=1,Sales!J30,0)</f>
        <v>1894096.517887237</v>
      </c>
      <c r="K21" s="34">
        <f>IF(in_mode_sale=1,Sales!K30,0)</f>
        <v>1898685.3361320789</v>
      </c>
      <c r="L21" s="34">
        <f>IF(in_mode_sale=1,Sales!L30,0)</f>
        <v>1903292.8497904707</v>
      </c>
      <c r="M21" s="34">
        <f>IF(in_mode_sale=1,Sales!M30,0)</f>
        <v>1907919.1350298412</v>
      </c>
      <c r="N21" s="34">
        <f>IF(in_mode_sale=1,Sales!N30,0)</f>
        <v>1912564.2683279361</v>
      </c>
      <c r="O21" s="34">
        <f>IF(in_mode_sale=1,Sales!O30,0)</f>
        <v>1917228.3264740789</v>
      </c>
      <c r="P21" s="34">
        <f>IF(in_mode_sale=1,Sales!P30,0)</f>
        <v>1921911.3865704425</v>
      </c>
      <c r="Q21" s="34">
        <f>IF(in_mode_sale=1,Sales!Q30,0)</f>
        <v>1926613.5260333256</v>
      </c>
      <c r="R21" s="34">
        <f>IF(in_mode_sale=1,Sales!R30,0)</f>
        <v>1931334.8225944284</v>
      </c>
      <c r="S21" s="34">
        <f>IF(in_mode_sale=1,Sales!S30,0)</f>
        <v>1936075.3543021404</v>
      </c>
      <c r="T21" s="34">
        <f>IF(in_mode_sale=1,Sales!T30,0)</f>
        <v>1940835.1995228301</v>
      </c>
      <c r="U21" s="34">
        <f>IF(in_mode_sale=1,Sales!U30,0)</f>
        <v>1945614.4369421392</v>
      </c>
      <c r="V21" s="34">
        <f>IF(in_mode_sale=1,Sales!V30,0)</f>
        <v>1950413.145566287</v>
      </c>
      <c r="W21" s="34">
        <f>IF(in_mode_sale=1,Sales!W30,0)</f>
        <v>1955231.4047233709</v>
      </c>
      <c r="X21" s="34">
        <f>IF(in_mode_sale=1,Sales!X30,0)</f>
        <v>1960069.294064682</v>
      </c>
      <c r="Y21" s="34">
        <f>IF(in_mode_sale=1,Sales!Y30,0)</f>
        <v>1964926.8935660212</v>
      </c>
      <c r="Z21" s="34">
        <f>IF(in_mode_sale=1,Sales!Z30,0)</f>
        <v>1969804.2835290208</v>
      </c>
      <c r="AA21" s="34">
        <f>IF(in_mode_sale=1,Sales!AA30,0)</f>
        <v>1974701.5445824703</v>
      </c>
      <c r="AB21" s="34">
        <f>IF(in_mode_sale=1,Sales!AB30,0)</f>
        <v>1979618.7576836525</v>
      </c>
      <c r="AC21" s="34">
        <f>IF(in_mode_sale=1,Sales!AC30,0)</f>
        <v>1984556.0041196798</v>
      </c>
      <c r="AD21" s="34">
        <f>IF(in_mode_sale=1,Sales!AD30,0)</f>
        <v>1989513.3655088376</v>
      </c>
      <c r="AE21" s="34">
        <f>IF(in_mode_sale=1,Sales!AE30,0)</f>
        <v>1994490.9238019353</v>
      </c>
      <c r="AF21" s="34">
        <f>IF(in_mode_sale=1,Sales!AF30,0)</f>
        <v>1999488.7612836594</v>
      </c>
      <c r="AG21" s="34">
        <f>IF(in_mode_sale=1,Sales!AG30,0)</f>
        <v>2004506.9605739345</v>
      </c>
      <c r="AH21" s="34">
        <f>IF(in_mode_sale=1,Sales!AH30,0)</f>
        <v>2009545.6046292889</v>
      </c>
      <c r="AI21" s="34">
        <f>IF(in_mode_sale=1,Sales!AI30,0)</f>
        <v>1161503.1682340251</v>
      </c>
      <c r="AJ21" s="34">
        <f>IF(in_mode_sale=1,Sales!AJ30,0)</f>
        <v>0</v>
      </c>
      <c r="AK21" s="34">
        <f>IF(in_mode_sale=1,Sales!AK30,0)</f>
        <v>0</v>
      </c>
      <c r="AL21" s="34">
        <f>IF(in_mode_sale=1,Sales!AL30,0)</f>
        <v>0</v>
      </c>
      <c r="AM21" s="34">
        <f>IF(in_mode_sale=1,Sales!AM30,0)</f>
        <v>0</v>
      </c>
      <c r="AN21" s="34">
        <f>IF(in_mode_sale=1,Sales!AN30,0)</f>
        <v>0</v>
      </c>
      <c r="AO21" s="34">
        <f>IF(in_mode_sale=1,Sales!AO30,0)</f>
        <v>0</v>
      </c>
      <c r="AP21" s="34">
        <f>IF(in_mode_sale=1,Sales!AP30,0)</f>
        <v>0</v>
      </c>
      <c r="AQ21" s="34">
        <f>IF(in_mode_sale=1,Sales!AQ30,0)</f>
        <v>0</v>
      </c>
      <c r="AR21" s="34">
        <f>IF(in_mode_sale=1,Sales!AR30,0)</f>
        <v>0</v>
      </c>
      <c r="AS21" s="34">
        <f>IF(in_mode_sale=1,Sales!AS30,0)</f>
        <v>0</v>
      </c>
      <c r="AT21" s="34">
        <f>IF(in_mode_sale=1,Sales!AT30,0)</f>
        <v>0</v>
      </c>
      <c r="AU21" s="34">
        <f>IF(in_mode_sale=1,Sales!AU30,0)</f>
        <v>0</v>
      </c>
      <c r="AV21" s="34">
        <f>IF(in_mode_sale=1,Sales!AV30,0)</f>
        <v>0</v>
      </c>
      <c r="AW21" s="34">
        <f>IF(in_mode_sale=1,Sales!AW30,0)</f>
        <v>0</v>
      </c>
      <c r="AX21" s="34">
        <f>IF(in_mode_sale=1,Sales!AX30,0)</f>
        <v>0</v>
      </c>
      <c r="AY21" s="34">
        <f>IF(in_mode_sale=1,Sales!AY30,0)</f>
        <v>0</v>
      </c>
      <c r="AZ21" s="34">
        <f>IF(in_mode_sale=1,Sales!AZ30,0)</f>
        <v>0</v>
      </c>
      <c r="BA21" s="34">
        <f>IF(in_mode_sale=1,Sales!BA30,0)</f>
        <v>0</v>
      </c>
      <c r="BB21" s="34">
        <f>IF(in_mode_sale=1,Sales!BB30,0)</f>
        <v>0</v>
      </c>
      <c r="BC21" s="34">
        <f>IF(in_mode_sale=1,Sales!BC30,0)</f>
        <v>0</v>
      </c>
      <c r="BD21" s="34">
        <f>IF(in_mode_sale=1,Sales!BD30,0)</f>
        <v>0</v>
      </c>
      <c r="BE21" s="34">
        <f>IF(in_mode_sale=1,Sales!BE30,0)</f>
        <v>0</v>
      </c>
      <c r="BF21" s="34">
        <f>IF(in_mode_sale=1,Sales!BF30,0)</f>
        <v>0</v>
      </c>
      <c r="BG21" s="34">
        <f>IF(in_mode_sale=1,Sales!BG30,0)</f>
        <v>0</v>
      </c>
      <c r="BH21" s="34">
        <f>IF(in_mode_sale=1,Sales!BH30,0)</f>
        <v>0</v>
      </c>
      <c r="BI21" s="34">
        <f>IF(in_mode_sale=1,Sales!BI30,0)</f>
        <v>0</v>
      </c>
      <c r="BJ21" s="34">
        <f>IF(in_mode_sale=1,Sales!BJ30,0)</f>
        <v>0</v>
      </c>
      <c r="BK21" s="34">
        <f>IF(in_mode_sale=1,Sales!BK30,0)</f>
        <v>0</v>
      </c>
      <c r="BL21" s="34">
        <f>IF(in_mode_sale=1,Sales!BL30,0)</f>
        <v>0</v>
      </c>
      <c r="BM21" s="34">
        <f>IF(in_mode_sale=1,Sales!BM30,0)</f>
        <v>0</v>
      </c>
      <c r="BN21" s="34">
        <f>IF(in_mode_sale=1,Sales!BN30,0)</f>
        <v>0</v>
      </c>
      <c r="BO21" s="34">
        <f>IF(in_mode_sale=1,Sales!BO30,0)</f>
        <v>0</v>
      </c>
      <c r="BP21" s="34">
        <f>IF(in_mode_sale=1,Sales!BP30,0)</f>
        <v>0</v>
      </c>
      <c r="BQ21" s="34">
        <f>IF(in_mode_sale=1,Sales!BQ30,0)</f>
        <v>0</v>
      </c>
      <c r="BR21" s="34">
        <f>IF(in_mode_sale=1,Sales!BR30,0)</f>
        <v>0</v>
      </c>
      <c r="BS21" s="34">
        <f>IF(in_mode_sale=1,Sales!BS30,0)</f>
        <v>0</v>
      </c>
      <c r="BT21" s="34">
        <f>IF(in_mode_sale=1,Sales!BT30,0)</f>
        <v>0</v>
      </c>
      <c r="BU21" s="34">
        <f>IF(in_mode_sale=1,Sales!BU30,0)</f>
        <v>0</v>
      </c>
      <c r="BV21" s="34">
        <f>IF(in_mode_sale=1,Sales!BV30,0)</f>
        <v>0</v>
      </c>
      <c r="BW21" s="34">
        <f>IF(in_mode_sale=1,Sales!BW30,0)</f>
        <v>0</v>
      </c>
      <c r="BX21" s="34">
        <f>IF(in_mode_sale=1,Sales!BX30,0)</f>
        <v>0</v>
      </c>
      <c r="BY21" s="34">
        <f>IF(in_mode_sale=1,Sales!BY30,0)</f>
        <v>0</v>
      </c>
      <c r="BZ21" s="34">
        <f>IF(in_mode_sale=1,Sales!BZ30,0)</f>
        <v>0</v>
      </c>
      <c r="CA21" s="34">
        <f>IF(in_mode_sale=1,Sales!CA30,0)</f>
        <v>0</v>
      </c>
      <c r="CB21" s="34">
        <f>IF(in_mode_sale=1,Sales!CB30,0)</f>
        <v>0</v>
      </c>
      <c r="CC21" s="34">
        <f>IF(in_mode_sale=1,Sales!CC30,0)</f>
        <v>0</v>
      </c>
      <c r="CD21" s="34">
        <f>IF(in_mode_sale=1,Sales!CD30,0)</f>
        <v>0</v>
      </c>
      <c r="CE21" s="34">
        <f>IF(in_mode_sale=1,Sales!CE30,0)</f>
        <v>0</v>
      </c>
      <c r="CF21" s="34">
        <f>IF(in_mode_sale=1,Sales!CF30,0)</f>
        <v>0</v>
      </c>
      <c r="CG21" s="34">
        <f>IF(in_mode_sale=1,Sales!CG30,0)</f>
        <v>0</v>
      </c>
      <c r="CH21" s="34">
        <f>IF(in_mode_sale=1,Sales!CH30,0)</f>
        <v>0</v>
      </c>
      <c r="CI21" s="34">
        <f>IF(in_mode_sale=1,Sales!CI30,0)</f>
        <v>0</v>
      </c>
      <c r="CJ21" s="34">
        <f>IF(in_mode_sale=1,Sales!CJ30,0)</f>
        <v>0</v>
      </c>
      <c r="CK21" s="34">
        <f>IF(in_mode_sale=1,Sales!CK30,0)</f>
        <v>0</v>
      </c>
      <c r="CL21" s="34">
        <f>IF(in_mode_sale=1,Sales!CL30,0)</f>
        <v>0</v>
      </c>
      <c r="CM21" s="34">
        <f>IF(in_mode_sale=1,Sales!CM30,0)</f>
        <v>0</v>
      </c>
      <c r="CN21" s="34">
        <f>IF(in_mode_sale=1,Sales!CN30,0)</f>
        <v>0</v>
      </c>
      <c r="CO21" s="34">
        <f>IF(in_mode_sale=1,Sales!CO30,0)</f>
        <v>0</v>
      </c>
      <c r="CP21" s="34">
        <f>IF(in_mode_sale=1,Sales!CP30,0)</f>
        <v>0</v>
      </c>
      <c r="CQ21" s="34">
        <f>IF(in_mode_sale=1,Sales!CQ30,0)</f>
        <v>0</v>
      </c>
      <c r="CR21" s="34">
        <f>IF(in_mode_sale=1,Sales!CR30,0)</f>
        <v>0</v>
      </c>
      <c r="CS21" s="34">
        <f>IF(in_mode_sale=1,Sales!CS30,0)</f>
        <v>0</v>
      </c>
      <c r="CT21" s="34">
        <f>IF(in_mode_sale=1,Sales!CT30,0)</f>
        <v>0</v>
      </c>
      <c r="CU21" s="34">
        <f>IF(in_mode_sale=1,Sales!CU30,0)</f>
        <v>0</v>
      </c>
    </row>
    <row r="22" spans="1:99" x14ac:dyDescent="0.3">
      <c r="A22" s="38" t="s">
        <v>92</v>
      </c>
      <c r="B22" s="39">
        <f t="shared" si="9"/>
        <v>741893851.70836401</v>
      </c>
      <c r="C22" s="40"/>
      <c r="D22" s="39">
        <f t="shared" ref="D22:AI22" si="10">IF(D$4&gt;T_End,0,D20+D21)</f>
        <v>285050000</v>
      </c>
      <c r="E22" s="39">
        <f t="shared" si="10"/>
        <v>1168515</v>
      </c>
      <c r="F22" s="39">
        <f t="shared" si="10"/>
        <v>1168515</v>
      </c>
      <c r="G22" s="39">
        <f t="shared" si="10"/>
        <v>1168515</v>
      </c>
      <c r="H22" s="39">
        <f t="shared" si="10"/>
        <v>1168515</v>
      </c>
      <c r="I22" s="39">
        <f t="shared" si="10"/>
        <v>3058041.3191975728</v>
      </c>
      <c r="J22" s="39">
        <f t="shared" si="10"/>
        <v>3062611.517887237</v>
      </c>
      <c r="K22" s="39">
        <f t="shared" si="10"/>
        <v>3067200.3361320789</v>
      </c>
      <c r="L22" s="39">
        <f t="shared" si="10"/>
        <v>10861907.849790471</v>
      </c>
      <c r="M22" s="39">
        <f t="shared" si="10"/>
        <v>13174804.531348813</v>
      </c>
      <c r="N22" s="39">
        <f t="shared" si="10"/>
        <v>7511193.9920492116</v>
      </c>
      <c r="O22" s="39">
        <f t="shared" si="10"/>
        <v>10296415.718010427</v>
      </c>
      <c r="P22" s="39">
        <f t="shared" si="10"/>
        <v>12982279.503441675</v>
      </c>
      <c r="Q22" s="39">
        <f t="shared" si="10"/>
        <v>15521930.311428048</v>
      </c>
      <c r="R22" s="39">
        <f t="shared" si="10"/>
        <v>17870663.837937221</v>
      </c>
      <c r="S22" s="39">
        <f t="shared" si="10"/>
        <v>19986711.431183036</v>
      </c>
      <c r="T22" s="39">
        <f t="shared" si="10"/>
        <v>21831980.642221622</v>
      </c>
      <c r="U22" s="39">
        <f t="shared" si="10"/>
        <v>23372738.338630352</v>
      </c>
      <c r="V22" s="39">
        <f t="shared" si="10"/>
        <v>24580224.198675487</v>
      </c>
      <c r="W22" s="39">
        <f t="shared" si="10"/>
        <v>25431183.505089749</v>
      </c>
      <c r="X22" s="39">
        <f t="shared" si="10"/>
        <v>25908309.458198193</v>
      </c>
      <c r="Y22" s="39">
        <f t="shared" si="10"/>
        <v>26000586.706856851</v>
      </c>
      <c r="Z22" s="39">
        <f t="shared" si="10"/>
        <v>25703529.428483345</v>
      </c>
      <c r="AA22" s="39">
        <f t="shared" si="10"/>
        <v>25019309.049504168</v>
      </c>
      <c r="AB22" s="39">
        <f t="shared" si="10"/>
        <v>23956768.55557999</v>
      </c>
      <c r="AC22" s="39">
        <f t="shared" si="10"/>
        <v>22531322.265836362</v>
      </c>
      <c r="AD22" s="39">
        <f t="shared" si="10"/>
        <v>20764741.904476181</v>
      </c>
      <c r="AE22" s="39">
        <f t="shared" si="10"/>
        <v>18684831.763195585</v>
      </c>
      <c r="AF22" s="39">
        <f t="shared" si="10"/>
        <v>16324997.675099164</v>
      </c>
      <c r="AG22" s="39">
        <f t="shared" si="10"/>
        <v>13723716.381957488</v>
      </c>
      <c r="AH22" s="39">
        <f t="shared" si="10"/>
        <v>10923913.639176387</v>
      </c>
      <c r="AI22" s="39">
        <f t="shared" si="10"/>
        <v>7119159.4272032445</v>
      </c>
      <c r="AJ22" s="39">
        <f t="shared" ref="AJ22:BO22" si="11">IF(AJ$4&gt;T_End,0,AJ20+AJ21)</f>
        <v>2898718.4197738017</v>
      </c>
      <c r="AK22" s="39">
        <f t="shared" si="11"/>
        <v>0</v>
      </c>
      <c r="AL22" s="39">
        <f t="shared" si="11"/>
        <v>0</v>
      </c>
      <c r="AM22" s="39">
        <f t="shared" si="11"/>
        <v>0</v>
      </c>
      <c r="AN22" s="39">
        <f t="shared" si="11"/>
        <v>0</v>
      </c>
      <c r="AO22" s="39">
        <f t="shared" si="11"/>
        <v>0</v>
      </c>
      <c r="AP22" s="39">
        <f t="shared" si="11"/>
        <v>0</v>
      </c>
      <c r="AQ22" s="39">
        <f t="shared" si="11"/>
        <v>0</v>
      </c>
      <c r="AR22" s="39">
        <f t="shared" si="11"/>
        <v>0</v>
      </c>
      <c r="AS22" s="39">
        <f t="shared" si="11"/>
        <v>0</v>
      </c>
      <c r="AT22" s="39">
        <f t="shared" si="11"/>
        <v>0</v>
      </c>
      <c r="AU22" s="39">
        <f t="shared" si="11"/>
        <v>0</v>
      </c>
      <c r="AV22" s="39">
        <f t="shared" si="11"/>
        <v>0</v>
      </c>
      <c r="AW22" s="39">
        <f t="shared" si="11"/>
        <v>0</v>
      </c>
      <c r="AX22" s="39">
        <f t="shared" si="11"/>
        <v>0</v>
      </c>
      <c r="AY22" s="39">
        <f t="shared" si="11"/>
        <v>0</v>
      </c>
      <c r="AZ22" s="39">
        <f t="shared" si="11"/>
        <v>0</v>
      </c>
      <c r="BA22" s="39">
        <f t="shared" si="11"/>
        <v>0</v>
      </c>
      <c r="BB22" s="39">
        <f t="shared" si="11"/>
        <v>0</v>
      </c>
      <c r="BC22" s="39">
        <f t="shared" si="11"/>
        <v>0</v>
      </c>
      <c r="BD22" s="39">
        <f t="shared" si="11"/>
        <v>0</v>
      </c>
      <c r="BE22" s="39">
        <f t="shared" si="11"/>
        <v>0</v>
      </c>
      <c r="BF22" s="39">
        <f t="shared" si="11"/>
        <v>0</v>
      </c>
      <c r="BG22" s="39">
        <f t="shared" si="11"/>
        <v>0</v>
      </c>
      <c r="BH22" s="39">
        <f t="shared" si="11"/>
        <v>0</v>
      </c>
      <c r="BI22" s="39">
        <f t="shared" si="11"/>
        <v>0</v>
      </c>
      <c r="BJ22" s="39">
        <f t="shared" si="11"/>
        <v>0</v>
      </c>
      <c r="BK22" s="39">
        <f t="shared" si="11"/>
        <v>0</v>
      </c>
      <c r="BL22" s="39">
        <f t="shared" si="11"/>
        <v>0</v>
      </c>
      <c r="BM22" s="39">
        <f t="shared" si="11"/>
        <v>0</v>
      </c>
      <c r="BN22" s="39">
        <f t="shared" si="11"/>
        <v>0</v>
      </c>
      <c r="BO22" s="39">
        <f t="shared" si="11"/>
        <v>0</v>
      </c>
      <c r="BP22" s="39">
        <f t="shared" ref="BP22:CU22" si="12">IF(BP$4&gt;T_End,0,BP20+BP21)</f>
        <v>0</v>
      </c>
      <c r="BQ22" s="39">
        <f t="shared" si="12"/>
        <v>0</v>
      </c>
      <c r="BR22" s="39">
        <f t="shared" si="12"/>
        <v>0</v>
      </c>
      <c r="BS22" s="39">
        <f t="shared" si="12"/>
        <v>0</v>
      </c>
      <c r="BT22" s="39">
        <f t="shared" si="12"/>
        <v>0</v>
      </c>
      <c r="BU22" s="39">
        <f t="shared" si="12"/>
        <v>0</v>
      </c>
      <c r="BV22" s="39">
        <f t="shared" si="12"/>
        <v>0</v>
      </c>
      <c r="BW22" s="39">
        <f t="shared" si="12"/>
        <v>0</v>
      </c>
      <c r="BX22" s="39">
        <f t="shared" si="12"/>
        <v>0</v>
      </c>
      <c r="BY22" s="39">
        <f t="shared" si="12"/>
        <v>0</v>
      </c>
      <c r="BZ22" s="39">
        <f t="shared" si="12"/>
        <v>0</v>
      </c>
      <c r="CA22" s="39">
        <f t="shared" si="12"/>
        <v>0</v>
      </c>
      <c r="CB22" s="39">
        <f t="shared" si="12"/>
        <v>0</v>
      </c>
      <c r="CC22" s="39">
        <f t="shared" si="12"/>
        <v>0</v>
      </c>
      <c r="CD22" s="39">
        <f t="shared" si="12"/>
        <v>0</v>
      </c>
      <c r="CE22" s="39">
        <f t="shared" si="12"/>
        <v>0</v>
      </c>
      <c r="CF22" s="39">
        <f t="shared" si="12"/>
        <v>0</v>
      </c>
      <c r="CG22" s="39">
        <f t="shared" si="12"/>
        <v>0</v>
      </c>
      <c r="CH22" s="39">
        <f t="shared" si="12"/>
        <v>0</v>
      </c>
      <c r="CI22" s="39">
        <f t="shared" si="12"/>
        <v>0</v>
      </c>
      <c r="CJ22" s="39">
        <f t="shared" si="12"/>
        <v>0</v>
      </c>
      <c r="CK22" s="39">
        <f t="shared" si="12"/>
        <v>0</v>
      </c>
      <c r="CL22" s="39">
        <f t="shared" si="12"/>
        <v>0</v>
      </c>
      <c r="CM22" s="39">
        <f t="shared" si="12"/>
        <v>0</v>
      </c>
      <c r="CN22" s="39">
        <f t="shared" si="12"/>
        <v>0</v>
      </c>
      <c r="CO22" s="39">
        <f t="shared" si="12"/>
        <v>0</v>
      </c>
      <c r="CP22" s="39">
        <f t="shared" si="12"/>
        <v>0</v>
      </c>
      <c r="CQ22" s="39">
        <f t="shared" si="12"/>
        <v>0</v>
      </c>
      <c r="CR22" s="39">
        <f t="shared" si="12"/>
        <v>0</v>
      </c>
      <c r="CS22" s="39">
        <f t="shared" si="12"/>
        <v>0</v>
      </c>
      <c r="CT22" s="39">
        <f t="shared" si="12"/>
        <v>0</v>
      </c>
      <c r="CU22" s="39">
        <f t="shared" si="12"/>
        <v>0</v>
      </c>
    </row>
    <row r="23" spans="1:99" x14ac:dyDescent="0.3">
      <c r="A23" s="7" t="s">
        <v>403</v>
      </c>
      <c r="B23" s="21">
        <f t="shared" si="9"/>
        <v>1036481351.8134279</v>
      </c>
      <c r="C23" s="11"/>
      <c r="D23" s="34">
        <f>IF(in_mode_sale=1,Sales!D25+Sales!D24,Rental!D20)</f>
        <v>0</v>
      </c>
      <c r="E23" s="34">
        <f>IF(in_mode_sale=1,Sales!E25+Sales!E24,Rental!E20)</f>
        <v>0</v>
      </c>
      <c r="F23" s="34">
        <f>IF(in_mode_sale=1,Sales!F25+Sales!F24,Rental!F20)</f>
        <v>0</v>
      </c>
      <c r="G23" s="34">
        <f>IF(in_mode_sale=1,Sales!G25+Sales!G24,Rental!G20)</f>
        <v>0</v>
      </c>
      <c r="H23" s="34">
        <f>IF(in_mode_sale=1,Sales!H25+Sales!H24,Rental!H20)</f>
        <v>0</v>
      </c>
      <c r="I23" s="34">
        <f>IF(in_mode_sale=1,Sales!I25+Sales!I24,Rental!I20)</f>
        <v>3739207.8496377673</v>
      </c>
      <c r="J23" s="34">
        <f>IF(in_mode_sale=1,Sales!J25+Sales!J24,Rental!J20)</f>
        <v>4042073.2183190403</v>
      </c>
      <c r="K23" s="34">
        <f>IF(in_mode_sale=1,Sales!K25+Sales!K24,Rental!K20)</f>
        <v>4357724.626756778</v>
      </c>
      <c r="L23" s="34">
        <f>IF(in_mode_sale=1,Sales!L25+Sales!L24,Rental!L20)</f>
        <v>4687227.8311252603</v>
      </c>
      <c r="M23" s="34">
        <f>IF(in_mode_sale=1,Sales!M25+Sales!M24,Rental!M20)</f>
        <v>5031787.5893098954</v>
      </c>
      <c r="N23" s="34">
        <f>IF(in_mode_sale=1,Sales!N25+Sales!N24,Rental!N20)</f>
        <v>5392772.9338561501</v>
      </c>
      <c r="O23" s="34">
        <f>IF(in_mode_sale=1,Sales!O25+Sales!O24,Rental!O20)</f>
        <v>5771748.4622866865</v>
      </c>
      <c r="P23" s="34">
        <f>IF(in_mode_sale=1,Sales!P25+Sales!P24,Rental!P20)</f>
        <v>6170513.4499971792</v>
      </c>
      <c r="Q23" s="34">
        <f>IF(in_mode_sale=1,Sales!Q25+Sales!Q24,Rental!Q20)</f>
        <v>6591151.2560187886</v>
      </c>
      <c r="R23" s="34">
        <f>IF(in_mode_sale=1,Sales!R25+Sales!R24,Rental!R20)</f>
        <v>7036092.4526028652</v>
      </c>
      <c r="S23" s="34">
        <f>IF(in_mode_sale=1,Sales!S25+Sales!S24,Rental!S20)</f>
        <v>7508196.5223298213</v>
      </c>
      <c r="T23" s="34">
        <f>IF(in_mode_sale=1,Sales!T25+Sales!T24,Rental!T20)</f>
        <v>8010859.0855637435</v>
      </c>
      <c r="U23" s="34">
        <f>IF(in_mode_sale=1,Sales!U25+Sales!U24,Rental!U20)</f>
        <v>8548154.8703910373</v>
      </c>
      <c r="V23" s="34">
        <f>IF(in_mode_sale=1,Sales!V25+Sales!V24,Rental!V20)</f>
        <v>9125031.7432505265</v>
      </c>
      <c r="W23" s="34">
        <f>IF(in_mode_sale=1,Sales!W25+Sales!W24,Rental!W20)</f>
        <v>9747579.3667280078</v>
      </c>
      <c r="X23" s="34">
        <f>IF(in_mode_sale=1,Sales!X25+Sales!X24,Rental!X20)</f>
        <v>10423409.79809745</v>
      </c>
      <c r="Y23" s="34">
        <f>IF(in_mode_sale=1,Sales!Y25+Sales!Y24,Rental!Y20)</f>
        <v>11162211.087197939</v>
      </c>
      <c r="Z23" s="34">
        <f>IF(in_mode_sale=1,Sales!Z25+Sales!Z24,Rental!Z20)</f>
        <v>11976577.67324779</v>
      </c>
      <c r="AA23" s="34">
        <f>IF(in_mode_sale=1,Sales!AA25+Sales!AA24,Rental!AA20)</f>
        <v>12883302.113220604</v>
      </c>
      <c r="AB23" s="34">
        <f>IF(in_mode_sale=1,Sales!AB25+Sales!AB24,Rental!AB20)</f>
        <v>13905474.140454734</v>
      </c>
      <c r="AC23" s="34">
        <f>IF(in_mode_sale=1,Sales!AC25+Sales!AC24,Rental!AC20)</f>
        <v>15076079.050839026</v>
      </c>
      <c r="AD23" s="34">
        <f>IF(in_mode_sale=1,Sales!AD25+Sales!AD24,Rental!AD20)</f>
        <v>16444594.744151149</v>
      </c>
      <c r="AE23" s="34">
        <f>IF(in_mode_sale=1,Sales!AE25+Sales!AE24,Rental!AE20)</f>
        <v>18090185.8067316</v>
      </c>
      <c r="AF23" s="34">
        <f>IF(in_mode_sale=1,Sales!AF25+Sales!AF24,Rental!AF20)</f>
        <v>20151390.197496835</v>
      </c>
      <c r="AG23" s="34">
        <f>IF(in_mode_sale=1,Sales!AG25+Sales!AG24,Rental!AG20)</f>
        <v>22905283.743969791</v>
      </c>
      <c r="AH23" s="34">
        <f>IF(in_mode_sale=1,Sales!AH25+Sales!AH24,Rental!AH20)</f>
        <v>27044555.878379945</v>
      </c>
      <c r="AI23" s="34">
        <f>IF(in_mode_sale=1,Sales!AI25+Sales!AI24,Rental!AI20)</f>
        <v>32496292.025882706</v>
      </c>
      <c r="AJ23" s="34">
        <f>IF(in_mode_sale=1,Sales!AJ25+Sales!AJ24,Rental!AJ20)</f>
        <v>728161874.29558468</v>
      </c>
      <c r="AK23" s="34">
        <f>IF(in_mode_sale=1,Sales!AK25+Sales!AK24,Rental!AK20)</f>
        <v>0</v>
      </c>
      <c r="AL23" s="34">
        <f>IF(in_mode_sale=1,Sales!AL25+Sales!AL24,Rental!AL20)</f>
        <v>0</v>
      </c>
      <c r="AM23" s="34">
        <f>IF(in_mode_sale=1,Sales!AM25+Sales!AM24,Rental!AM20)</f>
        <v>0</v>
      </c>
      <c r="AN23" s="34">
        <f>IF(in_mode_sale=1,Sales!AN25+Sales!AN24,Rental!AN20)</f>
        <v>0</v>
      </c>
      <c r="AO23" s="34">
        <f>IF(in_mode_sale=1,Sales!AO25+Sales!AO24,Rental!AO20)</f>
        <v>0</v>
      </c>
      <c r="AP23" s="34">
        <f>IF(in_mode_sale=1,Sales!AP25+Sales!AP24,Rental!AP20)</f>
        <v>0</v>
      </c>
      <c r="AQ23" s="34">
        <f>IF(in_mode_sale=1,Sales!AQ25+Sales!AQ24,Rental!AQ20)</f>
        <v>0</v>
      </c>
      <c r="AR23" s="34">
        <f>IF(in_mode_sale=1,Sales!AR25+Sales!AR24,Rental!AR20)</f>
        <v>0</v>
      </c>
      <c r="AS23" s="34">
        <f>IF(in_mode_sale=1,Sales!AS25+Sales!AS24,Rental!AS20)</f>
        <v>0</v>
      </c>
      <c r="AT23" s="34">
        <f>IF(in_mode_sale=1,Sales!AT25+Sales!AT24,Rental!AT20)</f>
        <v>0</v>
      </c>
      <c r="AU23" s="34">
        <f>IF(in_mode_sale=1,Sales!AU25+Sales!AU24,Rental!AU20)</f>
        <v>0</v>
      </c>
      <c r="AV23" s="34">
        <f>IF(in_mode_sale=1,Sales!AV25+Sales!AV24,Rental!AV20)</f>
        <v>0</v>
      </c>
      <c r="AW23" s="34">
        <f>IF(in_mode_sale=1,Sales!AW25+Sales!AW24,Rental!AW20)</f>
        <v>0</v>
      </c>
      <c r="AX23" s="34">
        <f>IF(in_mode_sale=1,Sales!AX25+Sales!AX24,Rental!AX20)</f>
        <v>0</v>
      </c>
      <c r="AY23" s="34">
        <f>IF(in_mode_sale=1,Sales!AY25+Sales!AY24,Rental!AY20)</f>
        <v>0</v>
      </c>
      <c r="AZ23" s="34">
        <f>IF(in_mode_sale=1,Sales!AZ25+Sales!AZ24,Rental!AZ20)</f>
        <v>0</v>
      </c>
      <c r="BA23" s="34">
        <f>IF(in_mode_sale=1,Sales!BA25+Sales!BA24,Rental!BA20)</f>
        <v>0</v>
      </c>
      <c r="BB23" s="34">
        <f>IF(in_mode_sale=1,Sales!BB25+Sales!BB24,Rental!BB20)</f>
        <v>0</v>
      </c>
      <c r="BC23" s="34">
        <f>IF(in_mode_sale=1,Sales!BC25+Sales!BC24,Rental!BC20)</f>
        <v>0</v>
      </c>
      <c r="BD23" s="34">
        <f>IF(in_mode_sale=1,Sales!BD25+Sales!BD24,Rental!BD20)</f>
        <v>0</v>
      </c>
      <c r="BE23" s="34">
        <f>IF(in_mode_sale=1,Sales!BE25+Sales!BE24,Rental!BE20)</f>
        <v>0</v>
      </c>
      <c r="BF23" s="34">
        <f>IF(in_mode_sale=1,Sales!BF25+Sales!BF24,Rental!BF20)</f>
        <v>0</v>
      </c>
      <c r="BG23" s="34">
        <f>IF(in_mode_sale=1,Sales!BG25+Sales!BG24,Rental!BG20)</f>
        <v>0</v>
      </c>
      <c r="BH23" s="34">
        <f>IF(in_mode_sale=1,Sales!BH25+Sales!BH24,Rental!BH20)</f>
        <v>0</v>
      </c>
      <c r="BI23" s="34">
        <f>IF(in_mode_sale=1,Sales!BI25+Sales!BI24,Rental!BI20)</f>
        <v>0</v>
      </c>
      <c r="BJ23" s="34">
        <f>IF(in_mode_sale=1,Sales!BJ25+Sales!BJ24,Rental!BJ20)</f>
        <v>0</v>
      </c>
      <c r="BK23" s="34">
        <f>IF(in_mode_sale=1,Sales!BK25+Sales!BK24,Rental!BK20)</f>
        <v>0</v>
      </c>
      <c r="BL23" s="34">
        <f>IF(in_mode_sale=1,Sales!BL25+Sales!BL24,Rental!BL20)</f>
        <v>0</v>
      </c>
      <c r="BM23" s="34">
        <f>IF(in_mode_sale=1,Sales!BM25+Sales!BM24,Rental!BM20)</f>
        <v>0</v>
      </c>
      <c r="BN23" s="34">
        <f>IF(in_mode_sale=1,Sales!BN25+Sales!BN24,Rental!BN20)</f>
        <v>0</v>
      </c>
      <c r="BO23" s="34">
        <f>IF(in_mode_sale=1,Sales!BO25+Sales!BO24,Rental!BO20)</f>
        <v>0</v>
      </c>
      <c r="BP23" s="34">
        <f>IF(in_mode_sale=1,Sales!BP25+Sales!BP24,Rental!BP20)</f>
        <v>0</v>
      </c>
      <c r="BQ23" s="34">
        <f>IF(in_mode_sale=1,Sales!BQ25+Sales!BQ24,Rental!BQ20)</f>
        <v>0</v>
      </c>
      <c r="BR23" s="34">
        <f>IF(in_mode_sale=1,Sales!BR25+Sales!BR24,Rental!BR20)</f>
        <v>0</v>
      </c>
      <c r="BS23" s="34">
        <f>IF(in_mode_sale=1,Sales!BS25+Sales!BS24,Rental!BS20)</f>
        <v>0</v>
      </c>
      <c r="BT23" s="34">
        <f>IF(in_mode_sale=1,Sales!BT25+Sales!BT24,Rental!BT20)</f>
        <v>0</v>
      </c>
      <c r="BU23" s="34">
        <f>IF(in_mode_sale=1,Sales!BU25+Sales!BU24,Rental!BU20)</f>
        <v>0</v>
      </c>
      <c r="BV23" s="34">
        <f>IF(in_mode_sale=1,Sales!BV25+Sales!BV24,Rental!BV20)</f>
        <v>0</v>
      </c>
      <c r="BW23" s="34">
        <f>IF(in_mode_sale=1,Sales!BW25+Sales!BW24,Rental!BW20)</f>
        <v>0</v>
      </c>
      <c r="BX23" s="34">
        <f>IF(in_mode_sale=1,Sales!BX25+Sales!BX24,Rental!BX20)</f>
        <v>0</v>
      </c>
      <c r="BY23" s="34">
        <f>IF(in_mode_sale=1,Sales!BY25+Sales!BY24,Rental!BY20)</f>
        <v>0</v>
      </c>
      <c r="BZ23" s="34">
        <f>IF(in_mode_sale=1,Sales!BZ25+Sales!BZ24,Rental!BZ20)</f>
        <v>0</v>
      </c>
      <c r="CA23" s="34">
        <f>IF(in_mode_sale=1,Sales!CA25+Sales!CA24,Rental!CA20)</f>
        <v>0</v>
      </c>
      <c r="CB23" s="34">
        <f>IF(in_mode_sale=1,Sales!CB25+Sales!CB24,Rental!CB20)</f>
        <v>0</v>
      </c>
      <c r="CC23" s="34">
        <f>IF(in_mode_sale=1,Sales!CC25+Sales!CC24,Rental!CC20)</f>
        <v>0</v>
      </c>
      <c r="CD23" s="34">
        <f>IF(in_mode_sale=1,Sales!CD25+Sales!CD24,Rental!CD20)</f>
        <v>0</v>
      </c>
      <c r="CE23" s="34">
        <f>IF(in_mode_sale=1,Sales!CE25+Sales!CE24,Rental!CE20)</f>
        <v>0</v>
      </c>
      <c r="CF23" s="34">
        <f>IF(in_mode_sale=1,Sales!CF25+Sales!CF24,Rental!CF20)</f>
        <v>0</v>
      </c>
      <c r="CG23" s="34">
        <f>IF(in_mode_sale=1,Sales!CG25+Sales!CG24,Rental!CG20)</f>
        <v>0</v>
      </c>
      <c r="CH23" s="34">
        <f>IF(in_mode_sale=1,Sales!CH25+Sales!CH24,Rental!CH20)</f>
        <v>0</v>
      </c>
      <c r="CI23" s="34">
        <f>IF(in_mode_sale=1,Sales!CI25+Sales!CI24,Rental!CI20)</f>
        <v>0</v>
      </c>
      <c r="CJ23" s="34">
        <f>IF(in_mode_sale=1,Sales!CJ25+Sales!CJ24,Rental!CJ20)</f>
        <v>0</v>
      </c>
      <c r="CK23" s="34">
        <f>IF(in_mode_sale=1,Sales!CK25+Sales!CK24,Rental!CK20)</f>
        <v>0</v>
      </c>
      <c r="CL23" s="34">
        <f>IF(in_mode_sale=1,Sales!CL25+Sales!CL24,Rental!CL20)</f>
        <v>0</v>
      </c>
      <c r="CM23" s="34">
        <f>IF(in_mode_sale=1,Sales!CM25+Sales!CM24,Rental!CM20)</f>
        <v>0</v>
      </c>
      <c r="CN23" s="34">
        <f>IF(in_mode_sale=1,Sales!CN25+Sales!CN24,Rental!CN20)</f>
        <v>0</v>
      </c>
      <c r="CO23" s="34">
        <f>IF(in_mode_sale=1,Sales!CO25+Sales!CO24,Rental!CO20)</f>
        <v>0</v>
      </c>
      <c r="CP23" s="34">
        <f>IF(in_mode_sale=1,Sales!CP25+Sales!CP24,Rental!CP20)</f>
        <v>0</v>
      </c>
      <c r="CQ23" s="34">
        <f>IF(in_mode_sale=1,Sales!CQ25+Sales!CQ24,Rental!CQ20)</f>
        <v>0</v>
      </c>
      <c r="CR23" s="34">
        <f>IF(in_mode_sale=1,Sales!CR25+Sales!CR24,Rental!CR20)</f>
        <v>0</v>
      </c>
      <c r="CS23" s="34">
        <f>IF(in_mode_sale=1,Sales!CS25+Sales!CS24,Rental!CS20)</f>
        <v>0</v>
      </c>
      <c r="CT23" s="34">
        <f>IF(in_mode_sale=1,Sales!CT25+Sales!CT24,Rental!CT20)</f>
        <v>0</v>
      </c>
      <c r="CU23" s="34">
        <f>IF(in_mode_sale=1,Sales!CU25+Sales!CU24,Rental!CU20)</f>
        <v>0</v>
      </c>
    </row>
    <row r="24" spans="1:99" x14ac:dyDescent="0.3">
      <c r="A24" s="7" t="s">
        <v>404</v>
      </c>
      <c r="B24" s="21">
        <f t="shared" si="9"/>
        <v>0</v>
      </c>
      <c r="C24" s="11"/>
      <c r="D24" s="34">
        <f t="shared" ref="D24:AI24" si="13">SUMPRODUCT((cf_type="revenue")*(cf_month=D$4)*cf_amount)+SUMPRODUCT((cv_effect="revenue_fixed")*(cv_start=D$4)*cv_value)+SUMPRODUCT((cv_effect="revenue_monthly")*(cv_start&lt;=D$4)*(cv_end&gt;D$4)*cv_value)+IF(AND(in_mode_sale=0,D$4=R_Start),D_Units*SUMPRODUCT((cv_effect="revenue_per_unit")*cv_value),0)</f>
        <v>0</v>
      </c>
      <c r="E24" s="34">
        <f t="shared" si="13"/>
        <v>0</v>
      </c>
      <c r="F24" s="34">
        <f t="shared" si="13"/>
        <v>0</v>
      </c>
      <c r="G24" s="34">
        <f t="shared" si="13"/>
        <v>0</v>
      </c>
      <c r="H24" s="34">
        <f t="shared" si="13"/>
        <v>0</v>
      </c>
      <c r="I24" s="34">
        <f t="shared" si="13"/>
        <v>0</v>
      </c>
      <c r="J24" s="34">
        <f t="shared" si="13"/>
        <v>0</v>
      </c>
      <c r="K24" s="34">
        <f t="shared" si="13"/>
        <v>0</v>
      </c>
      <c r="L24" s="34">
        <f t="shared" si="13"/>
        <v>0</v>
      </c>
      <c r="M24" s="34">
        <f t="shared" si="13"/>
        <v>0</v>
      </c>
      <c r="N24" s="34">
        <f t="shared" si="13"/>
        <v>0</v>
      </c>
      <c r="O24" s="34">
        <f t="shared" si="13"/>
        <v>0</v>
      </c>
      <c r="P24" s="34">
        <f t="shared" si="13"/>
        <v>0</v>
      </c>
      <c r="Q24" s="34">
        <f t="shared" si="13"/>
        <v>0</v>
      </c>
      <c r="R24" s="34">
        <f t="shared" si="13"/>
        <v>0</v>
      </c>
      <c r="S24" s="34">
        <f t="shared" si="13"/>
        <v>0</v>
      </c>
      <c r="T24" s="34">
        <f t="shared" si="13"/>
        <v>0</v>
      </c>
      <c r="U24" s="34">
        <f t="shared" si="13"/>
        <v>0</v>
      </c>
      <c r="V24" s="34">
        <f t="shared" si="13"/>
        <v>0</v>
      </c>
      <c r="W24" s="34">
        <f t="shared" si="13"/>
        <v>0</v>
      </c>
      <c r="X24" s="34">
        <f t="shared" si="13"/>
        <v>0</v>
      </c>
      <c r="Y24" s="34">
        <f t="shared" si="13"/>
        <v>0</v>
      </c>
      <c r="Z24" s="34">
        <f t="shared" si="13"/>
        <v>0</v>
      </c>
      <c r="AA24" s="34">
        <f t="shared" si="13"/>
        <v>0</v>
      </c>
      <c r="AB24" s="34">
        <f t="shared" si="13"/>
        <v>0</v>
      </c>
      <c r="AC24" s="34">
        <f t="shared" si="13"/>
        <v>0</v>
      </c>
      <c r="AD24" s="34">
        <f t="shared" si="13"/>
        <v>0</v>
      </c>
      <c r="AE24" s="34">
        <f t="shared" si="13"/>
        <v>0</v>
      </c>
      <c r="AF24" s="34">
        <f t="shared" si="13"/>
        <v>0</v>
      </c>
      <c r="AG24" s="34">
        <f t="shared" si="13"/>
        <v>0</v>
      </c>
      <c r="AH24" s="34">
        <f t="shared" si="13"/>
        <v>0</v>
      </c>
      <c r="AI24" s="34">
        <f t="shared" si="13"/>
        <v>0</v>
      </c>
      <c r="AJ24" s="34">
        <f t="shared" ref="AJ24:BO24" si="14">SUMPRODUCT((cf_type="revenue")*(cf_month=AJ$4)*cf_amount)+SUMPRODUCT((cv_effect="revenue_fixed")*(cv_start=AJ$4)*cv_value)+SUMPRODUCT((cv_effect="revenue_monthly")*(cv_start&lt;=AJ$4)*(cv_end&gt;AJ$4)*cv_value)+IF(AND(in_mode_sale=0,AJ$4=R_Start),D_Units*SUMPRODUCT((cv_effect="revenue_per_unit")*cv_value),0)</f>
        <v>0</v>
      </c>
      <c r="AK24" s="34">
        <f t="shared" si="14"/>
        <v>0</v>
      </c>
      <c r="AL24" s="34">
        <f t="shared" si="14"/>
        <v>0</v>
      </c>
      <c r="AM24" s="34">
        <f t="shared" si="14"/>
        <v>0</v>
      </c>
      <c r="AN24" s="34">
        <f t="shared" si="14"/>
        <v>0</v>
      </c>
      <c r="AO24" s="34">
        <f t="shared" si="14"/>
        <v>0</v>
      </c>
      <c r="AP24" s="34">
        <f t="shared" si="14"/>
        <v>0</v>
      </c>
      <c r="AQ24" s="34">
        <f t="shared" si="14"/>
        <v>0</v>
      </c>
      <c r="AR24" s="34">
        <f t="shared" si="14"/>
        <v>0</v>
      </c>
      <c r="AS24" s="34">
        <f t="shared" si="14"/>
        <v>0</v>
      </c>
      <c r="AT24" s="34">
        <f t="shared" si="14"/>
        <v>0</v>
      </c>
      <c r="AU24" s="34">
        <f t="shared" si="14"/>
        <v>0</v>
      </c>
      <c r="AV24" s="34">
        <f t="shared" si="14"/>
        <v>0</v>
      </c>
      <c r="AW24" s="34">
        <f t="shared" si="14"/>
        <v>0</v>
      </c>
      <c r="AX24" s="34">
        <f t="shared" si="14"/>
        <v>0</v>
      </c>
      <c r="AY24" s="34">
        <f t="shared" si="14"/>
        <v>0</v>
      </c>
      <c r="AZ24" s="34">
        <f t="shared" si="14"/>
        <v>0</v>
      </c>
      <c r="BA24" s="34">
        <f t="shared" si="14"/>
        <v>0</v>
      </c>
      <c r="BB24" s="34">
        <f t="shared" si="14"/>
        <v>0</v>
      </c>
      <c r="BC24" s="34">
        <f t="shared" si="14"/>
        <v>0</v>
      </c>
      <c r="BD24" s="34">
        <f t="shared" si="14"/>
        <v>0</v>
      </c>
      <c r="BE24" s="34">
        <f t="shared" si="14"/>
        <v>0</v>
      </c>
      <c r="BF24" s="34">
        <f t="shared" si="14"/>
        <v>0</v>
      </c>
      <c r="BG24" s="34">
        <f t="shared" si="14"/>
        <v>0</v>
      </c>
      <c r="BH24" s="34">
        <f t="shared" si="14"/>
        <v>0</v>
      </c>
      <c r="BI24" s="34">
        <f t="shared" si="14"/>
        <v>0</v>
      </c>
      <c r="BJ24" s="34">
        <f t="shared" si="14"/>
        <v>0</v>
      </c>
      <c r="BK24" s="34">
        <f t="shared" si="14"/>
        <v>0</v>
      </c>
      <c r="BL24" s="34">
        <f t="shared" si="14"/>
        <v>0</v>
      </c>
      <c r="BM24" s="34">
        <f t="shared" si="14"/>
        <v>0</v>
      </c>
      <c r="BN24" s="34">
        <f t="shared" si="14"/>
        <v>0</v>
      </c>
      <c r="BO24" s="34">
        <f t="shared" si="14"/>
        <v>0</v>
      </c>
      <c r="BP24" s="34">
        <f t="shared" ref="BP24:CU24" si="15">SUMPRODUCT((cf_type="revenue")*(cf_month=BP$4)*cf_amount)+SUMPRODUCT((cv_effect="revenue_fixed")*(cv_start=BP$4)*cv_value)+SUMPRODUCT((cv_effect="revenue_monthly")*(cv_start&lt;=BP$4)*(cv_end&gt;BP$4)*cv_value)+IF(AND(in_mode_sale=0,BP$4=R_Start),D_Units*SUMPRODUCT((cv_effect="revenue_per_unit")*cv_value),0)</f>
        <v>0</v>
      </c>
      <c r="BQ24" s="34">
        <f t="shared" si="15"/>
        <v>0</v>
      </c>
      <c r="BR24" s="34">
        <f t="shared" si="15"/>
        <v>0</v>
      </c>
      <c r="BS24" s="34">
        <f t="shared" si="15"/>
        <v>0</v>
      </c>
      <c r="BT24" s="34">
        <f t="shared" si="15"/>
        <v>0</v>
      </c>
      <c r="BU24" s="34">
        <f t="shared" si="15"/>
        <v>0</v>
      </c>
      <c r="BV24" s="34">
        <f t="shared" si="15"/>
        <v>0</v>
      </c>
      <c r="BW24" s="34">
        <f t="shared" si="15"/>
        <v>0</v>
      </c>
      <c r="BX24" s="34">
        <f t="shared" si="15"/>
        <v>0</v>
      </c>
      <c r="BY24" s="34">
        <f t="shared" si="15"/>
        <v>0</v>
      </c>
      <c r="BZ24" s="34">
        <f t="shared" si="15"/>
        <v>0</v>
      </c>
      <c r="CA24" s="34">
        <f t="shared" si="15"/>
        <v>0</v>
      </c>
      <c r="CB24" s="34">
        <f t="shared" si="15"/>
        <v>0</v>
      </c>
      <c r="CC24" s="34">
        <f t="shared" si="15"/>
        <v>0</v>
      </c>
      <c r="CD24" s="34">
        <f t="shared" si="15"/>
        <v>0</v>
      </c>
      <c r="CE24" s="34">
        <f t="shared" si="15"/>
        <v>0</v>
      </c>
      <c r="CF24" s="34">
        <f t="shared" si="15"/>
        <v>0</v>
      </c>
      <c r="CG24" s="34">
        <f t="shared" si="15"/>
        <v>0</v>
      </c>
      <c r="CH24" s="34">
        <f t="shared" si="15"/>
        <v>0</v>
      </c>
      <c r="CI24" s="34">
        <f t="shared" si="15"/>
        <v>0</v>
      </c>
      <c r="CJ24" s="34">
        <f t="shared" si="15"/>
        <v>0</v>
      </c>
      <c r="CK24" s="34">
        <f t="shared" si="15"/>
        <v>0</v>
      </c>
      <c r="CL24" s="34">
        <f t="shared" si="15"/>
        <v>0</v>
      </c>
      <c r="CM24" s="34">
        <f t="shared" si="15"/>
        <v>0</v>
      </c>
      <c r="CN24" s="34">
        <f t="shared" si="15"/>
        <v>0</v>
      </c>
      <c r="CO24" s="34">
        <f t="shared" si="15"/>
        <v>0</v>
      </c>
      <c r="CP24" s="34">
        <f t="shared" si="15"/>
        <v>0</v>
      </c>
      <c r="CQ24" s="34">
        <f t="shared" si="15"/>
        <v>0</v>
      </c>
      <c r="CR24" s="34">
        <f t="shared" si="15"/>
        <v>0</v>
      </c>
      <c r="CS24" s="34">
        <f t="shared" si="15"/>
        <v>0</v>
      </c>
      <c r="CT24" s="34">
        <f t="shared" si="15"/>
        <v>0</v>
      </c>
      <c r="CU24" s="34">
        <f t="shared" si="15"/>
        <v>0</v>
      </c>
    </row>
    <row r="25" spans="1:99" x14ac:dyDescent="0.3">
      <c r="A25" s="38" t="s">
        <v>93</v>
      </c>
      <c r="B25" s="39">
        <f t="shared" si="9"/>
        <v>1036481351.8134279</v>
      </c>
      <c r="C25" s="40"/>
      <c r="D25" s="39">
        <f t="shared" ref="D25:AI25" si="16">IF(D$4&gt;T_End,0,D23+D24)</f>
        <v>0</v>
      </c>
      <c r="E25" s="39">
        <f t="shared" si="16"/>
        <v>0</v>
      </c>
      <c r="F25" s="39">
        <f t="shared" si="16"/>
        <v>0</v>
      </c>
      <c r="G25" s="39">
        <f t="shared" si="16"/>
        <v>0</v>
      </c>
      <c r="H25" s="39">
        <f t="shared" si="16"/>
        <v>0</v>
      </c>
      <c r="I25" s="39">
        <f t="shared" si="16"/>
        <v>3739207.8496377673</v>
      </c>
      <c r="J25" s="39">
        <f t="shared" si="16"/>
        <v>4042073.2183190403</v>
      </c>
      <c r="K25" s="39">
        <f t="shared" si="16"/>
        <v>4357724.626756778</v>
      </c>
      <c r="L25" s="39">
        <f t="shared" si="16"/>
        <v>4687227.8311252603</v>
      </c>
      <c r="M25" s="39">
        <f t="shared" si="16"/>
        <v>5031787.5893098954</v>
      </c>
      <c r="N25" s="39">
        <f t="shared" si="16"/>
        <v>5392772.9338561501</v>
      </c>
      <c r="O25" s="39">
        <f t="shared" si="16"/>
        <v>5771748.4622866865</v>
      </c>
      <c r="P25" s="39">
        <f t="shared" si="16"/>
        <v>6170513.4499971792</v>
      </c>
      <c r="Q25" s="39">
        <f t="shared" si="16"/>
        <v>6591151.2560187886</v>
      </c>
      <c r="R25" s="39">
        <f t="shared" si="16"/>
        <v>7036092.4526028652</v>
      </c>
      <c r="S25" s="39">
        <f t="shared" si="16"/>
        <v>7508196.5223298213</v>
      </c>
      <c r="T25" s="39">
        <f t="shared" si="16"/>
        <v>8010859.0855637435</v>
      </c>
      <c r="U25" s="39">
        <f t="shared" si="16"/>
        <v>8548154.8703910373</v>
      </c>
      <c r="V25" s="39">
        <f t="shared" si="16"/>
        <v>9125031.7432505265</v>
      </c>
      <c r="W25" s="39">
        <f t="shared" si="16"/>
        <v>9747579.3667280078</v>
      </c>
      <c r="X25" s="39">
        <f t="shared" si="16"/>
        <v>10423409.79809745</v>
      </c>
      <c r="Y25" s="39">
        <f t="shared" si="16"/>
        <v>11162211.087197939</v>
      </c>
      <c r="Z25" s="39">
        <f t="shared" si="16"/>
        <v>11976577.67324779</v>
      </c>
      <c r="AA25" s="39">
        <f t="shared" si="16"/>
        <v>12883302.113220604</v>
      </c>
      <c r="AB25" s="39">
        <f t="shared" si="16"/>
        <v>13905474.140454734</v>
      </c>
      <c r="AC25" s="39">
        <f t="shared" si="16"/>
        <v>15076079.050839026</v>
      </c>
      <c r="AD25" s="39">
        <f t="shared" si="16"/>
        <v>16444594.744151149</v>
      </c>
      <c r="AE25" s="39">
        <f t="shared" si="16"/>
        <v>18090185.8067316</v>
      </c>
      <c r="AF25" s="39">
        <f t="shared" si="16"/>
        <v>20151390.197496835</v>
      </c>
      <c r="AG25" s="39">
        <f t="shared" si="16"/>
        <v>22905283.743969791</v>
      </c>
      <c r="AH25" s="39">
        <f t="shared" si="16"/>
        <v>27044555.878379945</v>
      </c>
      <c r="AI25" s="39">
        <f t="shared" si="16"/>
        <v>32496292.025882706</v>
      </c>
      <c r="AJ25" s="39">
        <f t="shared" ref="AJ25:BO25" si="17">IF(AJ$4&gt;T_End,0,AJ23+AJ24)</f>
        <v>728161874.29558468</v>
      </c>
      <c r="AK25" s="39">
        <f t="shared" si="17"/>
        <v>0</v>
      </c>
      <c r="AL25" s="39">
        <f t="shared" si="17"/>
        <v>0</v>
      </c>
      <c r="AM25" s="39">
        <f t="shared" si="17"/>
        <v>0</v>
      </c>
      <c r="AN25" s="39">
        <f t="shared" si="17"/>
        <v>0</v>
      </c>
      <c r="AO25" s="39">
        <f t="shared" si="17"/>
        <v>0</v>
      </c>
      <c r="AP25" s="39">
        <f t="shared" si="17"/>
        <v>0</v>
      </c>
      <c r="AQ25" s="39">
        <f t="shared" si="17"/>
        <v>0</v>
      </c>
      <c r="AR25" s="39">
        <f t="shared" si="17"/>
        <v>0</v>
      </c>
      <c r="AS25" s="39">
        <f t="shared" si="17"/>
        <v>0</v>
      </c>
      <c r="AT25" s="39">
        <f t="shared" si="17"/>
        <v>0</v>
      </c>
      <c r="AU25" s="39">
        <f t="shared" si="17"/>
        <v>0</v>
      </c>
      <c r="AV25" s="39">
        <f t="shared" si="17"/>
        <v>0</v>
      </c>
      <c r="AW25" s="39">
        <f t="shared" si="17"/>
        <v>0</v>
      </c>
      <c r="AX25" s="39">
        <f t="shared" si="17"/>
        <v>0</v>
      </c>
      <c r="AY25" s="39">
        <f t="shared" si="17"/>
        <v>0</v>
      </c>
      <c r="AZ25" s="39">
        <f t="shared" si="17"/>
        <v>0</v>
      </c>
      <c r="BA25" s="39">
        <f t="shared" si="17"/>
        <v>0</v>
      </c>
      <c r="BB25" s="39">
        <f t="shared" si="17"/>
        <v>0</v>
      </c>
      <c r="BC25" s="39">
        <f t="shared" si="17"/>
        <v>0</v>
      </c>
      <c r="BD25" s="39">
        <f t="shared" si="17"/>
        <v>0</v>
      </c>
      <c r="BE25" s="39">
        <f t="shared" si="17"/>
        <v>0</v>
      </c>
      <c r="BF25" s="39">
        <f t="shared" si="17"/>
        <v>0</v>
      </c>
      <c r="BG25" s="39">
        <f t="shared" si="17"/>
        <v>0</v>
      </c>
      <c r="BH25" s="39">
        <f t="shared" si="17"/>
        <v>0</v>
      </c>
      <c r="BI25" s="39">
        <f t="shared" si="17"/>
        <v>0</v>
      </c>
      <c r="BJ25" s="39">
        <f t="shared" si="17"/>
        <v>0</v>
      </c>
      <c r="BK25" s="39">
        <f t="shared" si="17"/>
        <v>0</v>
      </c>
      <c r="BL25" s="39">
        <f t="shared" si="17"/>
        <v>0</v>
      </c>
      <c r="BM25" s="39">
        <f t="shared" si="17"/>
        <v>0</v>
      </c>
      <c r="BN25" s="39">
        <f t="shared" si="17"/>
        <v>0</v>
      </c>
      <c r="BO25" s="39">
        <f t="shared" si="17"/>
        <v>0</v>
      </c>
      <c r="BP25" s="39">
        <f t="shared" ref="BP25:CU25" si="18">IF(BP$4&gt;T_End,0,BP23+BP24)</f>
        <v>0</v>
      </c>
      <c r="BQ25" s="39">
        <f t="shared" si="18"/>
        <v>0</v>
      </c>
      <c r="BR25" s="39">
        <f t="shared" si="18"/>
        <v>0</v>
      </c>
      <c r="BS25" s="39">
        <f t="shared" si="18"/>
        <v>0</v>
      </c>
      <c r="BT25" s="39">
        <f t="shared" si="18"/>
        <v>0</v>
      </c>
      <c r="BU25" s="39">
        <f t="shared" si="18"/>
        <v>0</v>
      </c>
      <c r="BV25" s="39">
        <f t="shared" si="18"/>
        <v>0</v>
      </c>
      <c r="BW25" s="39">
        <f t="shared" si="18"/>
        <v>0</v>
      </c>
      <c r="BX25" s="39">
        <f t="shared" si="18"/>
        <v>0</v>
      </c>
      <c r="BY25" s="39">
        <f t="shared" si="18"/>
        <v>0</v>
      </c>
      <c r="BZ25" s="39">
        <f t="shared" si="18"/>
        <v>0</v>
      </c>
      <c r="CA25" s="39">
        <f t="shared" si="18"/>
        <v>0</v>
      </c>
      <c r="CB25" s="39">
        <f t="shared" si="18"/>
        <v>0</v>
      </c>
      <c r="CC25" s="39">
        <f t="shared" si="18"/>
        <v>0</v>
      </c>
      <c r="CD25" s="39">
        <f t="shared" si="18"/>
        <v>0</v>
      </c>
      <c r="CE25" s="39">
        <f t="shared" si="18"/>
        <v>0</v>
      </c>
      <c r="CF25" s="39">
        <f t="shared" si="18"/>
        <v>0</v>
      </c>
      <c r="CG25" s="39">
        <f t="shared" si="18"/>
        <v>0</v>
      </c>
      <c r="CH25" s="39">
        <f t="shared" si="18"/>
        <v>0</v>
      </c>
      <c r="CI25" s="39">
        <f t="shared" si="18"/>
        <v>0</v>
      </c>
      <c r="CJ25" s="39">
        <f t="shared" si="18"/>
        <v>0</v>
      </c>
      <c r="CK25" s="39">
        <f t="shared" si="18"/>
        <v>0</v>
      </c>
      <c r="CL25" s="39">
        <f t="shared" si="18"/>
        <v>0</v>
      </c>
      <c r="CM25" s="39">
        <f t="shared" si="18"/>
        <v>0</v>
      </c>
      <c r="CN25" s="39">
        <f t="shared" si="18"/>
        <v>0</v>
      </c>
      <c r="CO25" s="39">
        <f t="shared" si="18"/>
        <v>0</v>
      </c>
      <c r="CP25" s="39">
        <f t="shared" si="18"/>
        <v>0</v>
      </c>
      <c r="CQ25" s="39">
        <f t="shared" si="18"/>
        <v>0</v>
      </c>
      <c r="CR25" s="39">
        <f t="shared" si="18"/>
        <v>0</v>
      </c>
      <c r="CS25" s="39">
        <f t="shared" si="18"/>
        <v>0</v>
      </c>
      <c r="CT25" s="39">
        <f t="shared" si="18"/>
        <v>0</v>
      </c>
      <c r="CU25" s="39">
        <f t="shared" si="18"/>
        <v>0</v>
      </c>
    </row>
    <row r="26" spans="1:99" x14ac:dyDescent="0.3">
      <c r="A26" s="38" t="s">
        <v>94</v>
      </c>
      <c r="B26" s="39">
        <f t="shared" si="9"/>
        <v>294587500.10506409</v>
      </c>
      <c r="C26" s="40"/>
      <c r="D26" s="39">
        <f t="shared" ref="D26:AI26" si="19">D25-D22</f>
        <v>-285050000</v>
      </c>
      <c r="E26" s="39">
        <f t="shared" si="19"/>
        <v>-1168515</v>
      </c>
      <c r="F26" s="39">
        <f t="shared" si="19"/>
        <v>-1168515</v>
      </c>
      <c r="G26" s="39">
        <f t="shared" si="19"/>
        <v>-1168515</v>
      </c>
      <c r="H26" s="39">
        <f t="shared" si="19"/>
        <v>-1168515</v>
      </c>
      <c r="I26" s="39">
        <f t="shared" si="19"/>
        <v>681166.53044019453</v>
      </c>
      <c r="J26" s="39">
        <f t="shared" si="19"/>
        <v>979461.70043180324</v>
      </c>
      <c r="K26" s="39">
        <f t="shared" si="19"/>
        <v>1290524.2906246991</v>
      </c>
      <c r="L26" s="39">
        <f t="shared" si="19"/>
        <v>-6174680.0186652103</v>
      </c>
      <c r="M26" s="39">
        <f t="shared" si="19"/>
        <v>-8143016.9420389179</v>
      </c>
      <c r="N26" s="39">
        <f t="shared" si="19"/>
        <v>-2118421.0581930615</v>
      </c>
      <c r="O26" s="39">
        <f t="shared" si="19"/>
        <v>-4524667.2557237409</v>
      </c>
      <c r="P26" s="39">
        <f t="shared" si="19"/>
        <v>-6811766.0534444954</v>
      </c>
      <c r="Q26" s="39">
        <f t="shared" si="19"/>
        <v>-8930779.0554092601</v>
      </c>
      <c r="R26" s="39">
        <f t="shared" si="19"/>
        <v>-10834571.385334356</v>
      </c>
      <c r="S26" s="39">
        <f t="shared" si="19"/>
        <v>-12478514.908853214</v>
      </c>
      <c r="T26" s="39">
        <f t="shared" si="19"/>
        <v>-13821121.556657879</v>
      </c>
      <c r="U26" s="39">
        <f t="shared" si="19"/>
        <v>-14824583.468239315</v>
      </c>
      <c r="V26" s="39">
        <f t="shared" si="19"/>
        <v>-15455192.455424961</v>
      </c>
      <c r="W26" s="39">
        <f t="shared" si="19"/>
        <v>-15683604.138361741</v>
      </c>
      <c r="X26" s="39">
        <f t="shared" si="19"/>
        <v>-15484899.660100743</v>
      </c>
      <c r="Y26" s="39">
        <f t="shared" si="19"/>
        <v>-14838375.619658912</v>
      </c>
      <c r="Z26" s="39">
        <f t="shared" si="19"/>
        <v>-13726951.755235555</v>
      </c>
      <c r="AA26" s="39">
        <f t="shared" si="19"/>
        <v>-12136006.936283564</v>
      </c>
      <c r="AB26" s="39">
        <f t="shared" si="19"/>
        <v>-10051294.415125256</v>
      </c>
      <c r="AC26" s="39">
        <f t="shared" si="19"/>
        <v>-7455243.2149973363</v>
      </c>
      <c r="AD26" s="39">
        <f t="shared" si="19"/>
        <v>-4320147.1603250317</v>
      </c>
      <c r="AE26" s="39">
        <f t="shared" si="19"/>
        <v>-594645.95646398515</v>
      </c>
      <c r="AF26" s="39">
        <f t="shared" si="19"/>
        <v>3826392.5223976709</v>
      </c>
      <c r="AG26" s="39">
        <f t="shared" si="19"/>
        <v>9181567.3620123025</v>
      </c>
      <c r="AH26" s="39">
        <f t="shared" si="19"/>
        <v>16120642.239203557</v>
      </c>
      <c r="AI26" s="39">
        <f t="shared" si="19"/>
        <v>25377132.598679461</v>
      </c>
      <c r="AJ26" s="39">
        <f t="shared" ref="AJ26:BO26" si="20">AJ25-AJ22</f>
        <v>725263155.87581086</v>
      </c>
      <c r="AK26" s="39">
        <f t="shared" si="20"/>
        <v>0</v>
      </c>
      <c r="AL26" s="39">
        <f t="shared" si="20"/>
        <v>0</v>
      </c>
      <c r="AM26" s="39">
        <f t="shared" si="20"/>
        <v>0</v>
      </c>
      <c r="AN26" s="39">
        <f t="shared" si="20"/>
        <v>0</v>
      </c>
      <c r="AO26" s="39">
        <f t="shared" si="20"/>
        <v>0</v>
      </c>
      <c r="AP26" s="39">
        <f t="shared" si="20"/>
        <v>0</v>
      </c>
      <c r="AQ26" s="39">
        <f t="shared" si="20"/>
        <v>0</v>
      </c>
      <c r="AR26" s="39">
        <f t="shared" si="20"/>
        <v>0</v>
      </c>
      <c r="AS26" s="39">
        <f t="shared" si="20"/>
        <v>0</v>
      </c>
      <c r="AT26" s="39">
        <f t="shared" si="20"/>
        <v>0</v>
      </c>
      <c r="AU26" s="39">
        <f t="shared" si="20"/>
        <v>0</v>
      </c>
      <c r="AV26" s="39">
        <f t="shared" si="20"/>
        <v>0</v>
      </c>
      <c r="AW26" s="39">
        <f t="shared" si="20"/>
        <v>0</v>
      </c>
      <c r="AX26" s="39">
        <f t="shared" si="20"/>
        <v>0</v>
      </c>
      <c r="AY26" s="39">
        <f t="shared" si="20"/>
        <v>0</v>
      </c>
      <c r="AZ26" s="39">
        <f t="shared" si="20"/>
        <v>0</v>
      </c>
      <c r="BA26" s="39">
        <f t="shared" si="20"/>
        <v>0</v>
      </c>
      <c r="BB26" s="39">
        <f t="shared" si="20"/>
        <v>0</v>
      </c>
      <c r="BC26" s="39">
        <f t="shared" si="20"/>
        <v>0</v>
      </c>
      <c r="BD26" s="39">
        <f t="shared" si="20"/>
        <v>0</v>
      </c>
      <c r="BE26" s="39">
        <f t="shared" si="20"/>
        <v>0</v>
      </c>
      <c r="BF26" s="39">
        <f t="shared" si="20"/>
        <v>0</v>
      </c>
      <c r="BG26" s="39">
        <f t="shared" si="20"/>
        <v>0</v>
      </c>
      <c r="BH26" s="39">
        <f t="shared" si="20"/>
        <v>0</v>
      </c>
      <c r="BI26" s="39">
        <f t="shared" si="20"/>
        <v>0</v>
      </c>
      <c r="BJ26" s="39">
        <f t="shared" si="20"/>
        <v>0</v>
      </c>
      <c r="BK26" s="39">
        <f t="shared" si="20"/>
        <v>0</v>
      </c>
      <c r="BL26" s="39">
        <f t="shared" si="20"/>
        <v>0</v>
      </c>
      <c r="BM26" s="39">
        <f t="shared" si="20"/>
        <v>0</v>
      </c>
      <c r="BN26" s="39">
        <f t="shared" si="20"/>
        <v>0</v>
      </c>
      <c r="BO26" s="39">
        <f t="shared" si="20"/>
        <v>0</v>
      </c>
      <c r="BP26" s="39">
        <f t="shared" ref="BP26:CU26" si="21">BP25-BP22</f>
        <v>0</v>
      </c>
      <c r="BQ26" s="39">
        <f t="shared" si="21"/>
        <v>0</v>
      </c>
      <c r="BR26" s="39">
        <f t="shared" si="21"/>
        <v>0</v>
      </c>
      <c r="BS26" s="39">
        <f t="shared" si="21"/>
        <v>0</v>
      </c>
      <c r="BT26" s="39">
        <f t="shared" si="21"/>
        <v>0</v>
      </c>
      <c r="BU26" s="39">
        <f t="shared" si="21"/>
        <v>0</v>
      </c>
      <c r="BV26" s="39">
        <f t="shared" si="21"/>
        <v>0</v>
      </c>
      <c r="BW26" s="39">
        <f t="shared" si="21"/>
        <v>0</v>
      </c>
      <c r="BX26" s="39">
        <f t="shared" si="21"/>
        <v>0</v>
      </c>
      <c r="BY26" s="39">
        <f t="shared" si="21"/>
        <v>0</v>
      </c>
      <c r="BZ26" s="39">
        <f t="shared" si="21"/>
        <v>0</v>
      </c>
      <c r="CA26" s="39">
        <f t="shared" si="21"/>
        <v>0</v>
      </c>
      <c r="CB26" s="39">
        <f t="shared" si="21"/>
        <v>0</v>
      </c>
      <c r="CC26" s="39">
        <f t="shared" si="21"/>
        <v>0</v>
      </c>
      <c r="CD26" s="39">
        <f t="shared" si="21"/>
        <v>0</v>
      </c>
      <c r="CE26" s="39">
        <f t="shared" si="21"/>
        <v>0</v>
      </c>
      <c r="CF26" s="39">
        <f t="shared" si="21"/>
        <v>0</v>
      </c>
      <c r="CG26" s="39">
        <f t="shared" si="21"/>
        <v>0</v>
      </c>
      <c r="CH26" s="39">
        <f t="shared" si="21"/>
        <v>0</v>
      </c>
      <c r="CI26" s="39">
        <f t="shared" si="21"/>
        <v>0</v>
      </c>
      <c r="CJ26" s="39">
        <f t="shared" si="21"/>
        <v>0</v>
      </c>
      <c r="CK26" s="39">
        <f t="shared" si="21"/>
        <v>0</v>
      </c>
      <c r="CL26" s="39">
        <f t="shared" si="21"/>
        <v>0</v>
      </c>
      <c r="CM26" s="39">
        <f t="shared" si="21"/>
        <v>0</v>
      </c>
      <c r="CN26" s="39">
        <f t="shared" si="21"/>
        <v>0</v>
      </c>
      <c r="CO26" s="39">
        <f t="shared" si="21"/>
        <v>0</v>
      </c>
      <c r="CP26" s="39">
        <f t="shared" si="21"/>
        <v>0</v>
      </c>
      <c r="CQ26" s="39">
        <f t="shared" si="21"/>
        <v>0</v>
      </c>
      <c r="CR26" s="39">
        <f t="shared" si="21"/>
        <v>0</v>
      </c>
      <c r="CS26" s="39">
        <f t="shared" si="21"/>
        <v>0</v>
      </c>
      <c r="CT26" s="39">
        <f t="shared" si="21"/>
        <v>0</v>
      </c>
      <c r="CU26" s="39">
        <f t="shared" si="21"/>
        <v>0</v>
      </c>
    </row>
    <row r="27" spans="1:99" x14ac:dyDescent="0.3">
      <c r="A27" s="7" t="s">
        <v>405</v>
      </c>
      <c r="B27" s="1"/>
      <c r="C27" s="11"/>
      <c r="D27" s="34">
        <f>D26</f>
        <v>-285050000</v>
      </c>
      <c r="E27" s="34">
        <f t="shared" ref="E27:AJ27" si="22">E26+D27</f>
        <v>-286218515</v>
      </c>
      <c r="F27" s="34">
        <f t="shared" si="22"/>
        <v>-287387030</v>
      </c>
      <c r="G27" s="34">
        <f t="shared" si="22"/>
        <v>-288555545</v>
      </c>
      <c r="H27" s="34">
        <f t="shared" si="22"/>
        <v>-289724060</v>
      </c>
      <c r="I27" s="34">
        <f t="shared" si="22"/>
        <v>-289042893.46955979</v>
      </c>
      <c r="J27" s="34">
        <f t="shared" si="22"/>
        <v>-288063431.76912796</v>
      </c>
      <c r="K27" s="34">
        <f t="shared" si="22"/>
        <v>-286772907.47850329</v>
      </c>
      <c r="L27" s="34">
        <f t="shared" si="22"/>
        <v>-292947587.49716848</v>
      </c>
      <c r="M27" s="34">
        <f t="shared" si="22"/>
        <v>-301090604.43920738</v>
      </c>
      <c r="N27" s="34">
        <f t="shared" si="22"/>
        <v>-303209025.49740046</v>
      </c>
      <c r="O27" s="34">
        <f t="shared" si="22"/>
        <v>-307733692.75312418</v>
      </c>
      <c r="P27" s="34">
        <f t="shared" si="22"/>
        <v>-314545458.80656868</v>
      </c>
      <c r="Q27" s="34">
        <f t="shared" si="22"/>
        <v>-323476237.86197793</v>
      </c>
      <c r="R27" s="34">
        <f t="shared" si="22"/>
        <v>-334310809.24731231</v>
      </c>
      <c r="S27" s="34">
        <f t="shared" si="22"/>
        <v>-346789324.15616554</v>
      </c>
      <c r="T27" s="34">
        <f t="shared" si="22"/>
        <v>-360610445.71282339</v>
      </c>
      <c r="U27" s="34">
        <f t="shared" si="22"/>
        <v>-375435029.1810627</v>
      </c>
      <c r="V27" s="34">
        <f t="shared" si="22"/>
        <v>-390890221.63648766</v>
      </c>
      <c r="W27" s="34">
        <f t="shared" si="22"/>
        <v>-406573825.77484941</v>
      </c>
      <c r="X27" s="34">
        <f t="shared" si="22"/>
        <v>-422058725.43495017</v>
      </c>
      <c r="Y27" s="34">
        <f t="shared" si="22"/>
        <v>-436897101.05460906</v>
      </c>
      <c r="Z27" s="34">
        <f t="shared" si="22"/>
        <v>-450624052.80984461</v>
      </c>
      <c r="AA27" s="34">
        <f t="shared" si="22"/>
        <v>-462760059.7461282</v>
      </c>
      <c r="AB27" s="34">
        <f t="shared" si="22"/>
        <v>-472811354.16125345</v>
      </c>
      <c r="AC27" s="34">
        <f t="shared" si="22"/>
        <v>-480266597.3762508</v>
      </c>
      <c r="AD27" s="34">
        <f t="shared" si="22"/>
        <v>-484586744.53657585</v>
      </c>
      <c r="AE27" s="34">
        <f t="shared" si="22"/>
        <v>-485181390.49303985</v>
      </c>
      <c r="AF27" s="34">
        <f t="shared" si="22"/>
        <v>-481354997.97064215</v>
      </c>
      <c r="AG27" s="34">
        <f t="shared" si="22"/>
        <v>-472173430.60862982</v>
      </c>
      <c r="AH27" s="34">
        <f t="shared" si="22"/>
        <v>-456052788.36942625</v>
      </c>
      <c r="AI27" s="34">
        <f t="shared" si="22"/>
        <v>-430675655.77074677</v>
      </c>
      <c r="AJ27" s="34">
        <f t="shared" si="22"/>
        <v>294587500.10506409</v>
      </c>
      <c r="AK27" s="34">
        <f t="shared" ref="AK27:BP27" si="23">AK26+AJ27</f>
        <v>294587500.10506409</v>
      </c>
      <c r="AL27" s="34">
        <f t="shared" si="23"/>
        <v>294587500.10506409</v>
      </c>
      <c r="AM27" s="34">
        <f t="shared" si="23"/>
        <v>294587500.10506409</v>
      </c>
      <c r="AN27" s="34">
        <f t="shared" si="23"/>
        <v>294587500.10506409</v>
      </c>
      <c r="AO27" s="34">
        <f t="shared" si="23"/>
        <v>294587500.10506409</v>
      </c>
      <c r="AP27" s="34">
        <f t="shared" si="23"/>
        <v>294587500.10506409</v>
      </c>
      <c r="AQ27" s="34">
        <f t="shared" si="23"/>
        <v>294587500.10506409</v>
      </c>
      <c r="AR27" s="34">
        <f t="shared" si="23"/>
        <v>294587500.10506409</v>
      </c>
      <c r="AS27" s="34">
        <f t="shared" si="23"/>
        <v>294587500.10506409</v>
      </c>
      <c r="AT27" s="34">
        <f t="shared" si="23"/>
        <v>294587500.10506409</v>
      </c>
      <c r="AU27" s="34">
        <f t="shared" si="23"/>
        <v>294587500.10506409</v>
      </c>
      <c r="AV27" s="34">
        <f t="shared" si="23"/>
        <v>294587500.10506409</v>
      </c>
      <c r="AW27" s="34">
        <f t="shared" si="23"/>
        <v>294587500.10506409</v>
      </c>
      <c r="AX27" s="34">
        <f t="shared" si="23"/>
        <v>294587500.10506409</v>
      </c>
      <c r="AY27" s="34">
        <f t="shared" si="23"/>
        <v>294587500.10506409</v>
      </c>
      <c r="AZ27" s="34">
        <f t="shared" si="23"/>
        <v>294587500.10506409</v>
      </c>
      <c r="BA27" s="34">
        <f t="shared" si="23"/>
        <v>294587500.10506409</v>
      </c>
      <c r="BB27" s="34">
        <f t="shared" si="23"/>
        <v>294587500.10506409</v>
      </c>
      <c r="BC27" s="34">
        <f t="shared" si="23"/>
        <v>294587500.10506409</v>
      </c>
      <c r="BD27" s="34">
        <f t="shared" si="23"/>
        <v>294587500.10506409</v>
      </c>
      <c r="BE27" s="34">
        <f t="shared" si="23"/>
        <v>294587500.10506409</v>
      </c>
      <c r="BF27" s="34">
        <f t="shared" si="23"/>
        <v>294587500.10506409</v>
      </c>
      <c r="BG27" s="34">
        <f t="shared" si="23"/>
        <v>294587500.10506409</v>
      </c>
      <c r="BH27" s="34">
        <f t="shared" si="23"/>
        <v>294587500.10506409</v>
      </c>
      <c r="BI27" s="34">
        <f t="shared" si="23"/>
        <v>294587500.10506409</v>
      </c>
      <c r="BJ27" s="34">
        <f t="shared" si="23"/>
        <v>294587500.10506409</v>
      </c>
      <c r="BK27" s="34">
        <f t="shared" si="23"/>
        <v>294587500.10506409</v>
      </c>
      <c r="BL27" s="34">
        <f t="shared" si="23"/>
        <v>294587500.10506409</v>
      </c>
      <c r="BM27" s="34">
        <f t="shared" si="23"/>
        <v>294587500.10506409</v>
      </c>
      <c r="BN27" s="34">
        <f t="shared" si="23"/>
        <v>294587500.10506409</v>
      </c>
      <c r="BO27" s="34">
        <f t="shared" si="23"/>
        <v>294587500.10506409</v>
      </c>
      <c r="BP27" s="34">
        <f t="shared" si="23"/>
        <v>294587500.10506409</v>
      </c>
      <c r="BQ27" s="34">
        <f t="shared" ref="BQ27:CV27" si="24">BQ26+BP27</f>
        <v>294587500.10506409</v>
      </c>
      <c r="BR27" s="34">
        <f t="shared" si="24"/>
        <v>294587500.10506409</v>
      </c>
      <c r="BS27" s="34">
        <f t="shared" si="24"/>
        <v>294587500.10506409</v>
      </c>
      <c r="BT27" s="34">
        <f t="shared" si="24"/>
        <v>294587500.10506409</v>
      </c>
      <c r="BU27" s="34">
        <f t="shared" si="24"/>
        <v>294587500.10506409</v>
      </c>
      <c r="BV27" s="34">
        <f t="shared" si="24"/>
        <v>294587500.10506409</v>
      </c>
      <c r="BW27" s="34">
        <f t="shared" si="24"/>
        <v>294587500.10506409</v>
      </c>
      <c r="BX27" s="34">
        <f t="shared" si="24"/>
        <v>294587500.10506409</v>
      </c>
      <c r="BY27" s="34">
        <f t="shared" si="24"/>
        <v>294587500.10506409</v>
      </c>
      <c r="BZ27" s="34">
        <f t="shared" si="24"/>
        <v>294587500.10506409</v>
      </c>
      <c r="CA27" s="34">
        <f t="shared" si="24"/>
        <v>294587500.10506409</v>
      </c>
      <c r="CB27" s="34">
        <f t="shared" si="24"/>
        <v>294587500.10506409</v>
      </c>
      <c r="CC27" s="34">
        <f t="shared" si="24"/>
        <v>294587500.10506409</v>
      </c>
      <c r="CD27" s="34">
        <f t="shared" si="24"/>
        <v>294587500.10506409</v>
      </c>
      <c r="CE27" s="34">
        <f t="shared" si="24"/>
        <v>294587500.10506409</v>
      </c>
      <c r="CF27" s="34">
        <f t="shared" si="24"/>
        <v>294587500.10506409</v>
      </c>
      <c r="CG27" s="34">
        <f t="shared" si="24"/>
        <v>294587500.10506409</v>
      </c>
      <c r="CH27" s="34">
        <f t="shared" si="24"/>
        <v>294587500.10506409</v>
      </c>
      <c r="CI27" s="34">
        <f t="shared" si="24"/>
        <v>294587500.10506409</v>
      </c>
      <c r="CJ27" s="34">
        <f t="shared" si="24"/>
        <v>294587500.10506409</v>
      </c>
      <c r="CK27" s="34">
        <f t="shared" si="24"/>
        <v>294587500.10506409</v>
      </c>
      <c r="CL27" s="34">
        <f t="shared" si="24"/>
        <v>294587500.10506409</v>
      </c>
      <c r="CM27" s="34">
        <f t="shared" si="24"/>
        <v>294587500.10506409</v>
      </c>
      <c r="CN27" s="34">
        <f t="shared" si="24"/>
        <v>294587500.10506409</v>
      </c>
      <c r="CO27" s="34">
        <f t="shared" si="24"/>
        <v>294587500.10506409</v>
      </c>
      <c r="CP27" s="34">
        <f t="shared" si="24"/>
        <v>294587500.10506409</v>
      </c>
      <c r="CQ27" s="34">
        <f t="shared" si="24"/>
        <v>294587500.10506409</v>
      </c>
      <c r="CR27" s="34">
        <f t="shared" si="24"/>
        <v>294587500.10506409</v>
      </c>
      <c r="CS27" s="34">
        <f t="shared" si="24"/>
        <v>294587500.10506409</v>
      </c>
      <c r="CT27" s="34">
        <f t="shared" si="24"/>
        <v>294587500.10506409</v>
      </c>
      <c r="CU27" s="34">
        <f t="shared" si="24"/>
        <v>294587500.10506409</v>
      </c>
    </row>
    <row r="28" spans="1:99" x14ac:dyDescent="0.3">
      <c r="A28" s="13" t="s">
        <v>105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/>
      <c r="BG28" s="14"/>
      <c r="BH28" s="14"/>
      <c r="BI28" s="14"/>
      <c r="BJ28" s="14"/>
      <c r="BK28" s="14"/>
      <c r="BL28" s="14"/>
      <c r="BM28" s="14"/>
      <c r="BN28" s="14"/>
      <c r="BO28" s="14"/>
      <c r="BP28" s="14"/>
      <c r="BQ28" s="14"/>
      <c r="BR28" s="14"/>
      <c r="BS28" s="14"/>
      <c r="BT28" s="14"/>
      <c r="BU28" s="14"/>
      <c r="BV28" s="14"/>
      <c r="BW28" s="14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  <c r="CL28" s="14"/>
      <c r="CM28" s="14"/>
      <c r="CN28" s="14"/>
      <c r="CO28" s="14"/>
      <c r="CP28" s="14"/>
      <c r="CQ28" s="14"/>
      <c r="CR28" s="14"/>
      <c r="CS28" s="14"/>
      <c r="CT28" s="14"/>
      <c r="CU28" s="14"/>
    </row>
    <row r="29" spans="1:99" x14ac:dyDescent="0.3">
      <c r="A29" s="7" t="s">
        <v>406</v>
      </c>
      <c r="B29" s="1"/>
      <c r="C29" s="11"/>
      <c r="D29" s="34">
        <f>0</f>
        <v>0</v>
      </c>
      <c r="E29" s="34">
        <f t="shared" ref="E29:AJ29" ca="1" si="25">D56</f>
        <v>0</v>
      </c>
      <c r="F29" s="34">
        <f t="shared" ca="1" si="25"/>
        <v>0</v>
      </c>
      <c r="G29" s="34">
        <f t="shared" ca="1" si="25"/>
        <v>0</v>
      </c>
      <c r="H29" s="34">
        <f t="shared" ca="1" si="25"/>
        <v>0</v>
      </c>
      <c r="I29" s="34">
        <f t="shared" ca="1" si="25"/>
        <v>0</v>
      </c>
      <c r="J29" s="34">
        <f t="shared" ca="1" si="25"/>
        <v>0</v>
      </c>
      <c r="K29" s="34">
        <f t="shared" ca="1" si="25"/>
        <v>0</v>
      </c>
      <c r="L29" s="34">
        <f t="shared" ca="1" si="25"/>
        <v>0</v>
      </c>
      <c r="M29" s="34">
        <f t="shared" ca="1" si="25"/>
        <v>0</v>
      </c>
      <c r="N29" s="34">
        <f t="shared" ca="1" si="25"/>
        <v>0</v>
      </c>
      <c r="O29" s="34">
        <f t="shared" ca="1" si="25"/>
        <v>0</v>
      </c>
      <c r="P29" s="34">
        <f t="shared" ca="1" si="25"/>
        <v>0</v>
      </c>
      <c r="Q29" s="34">
        <f t="shared" ca="1" si="25"/>
        <v>0</v>
      </c>
      <c r="R29" s="34">
        <f t="shared" ca="1" si="25"/>
        <v>0</v>
      </c>
      <c r="S29" s="34">
        <f t="shared" ca="1" si="25"/>
        <v>0</v>
      </c>
      <c r="T29" s="34">
        <f t="shared" ca="1" si="25"/>
        <v>0</v>
      </c>
      <c r="U29" s="34">
        <f t="shared" ca="1" si="25"/>
        <v>0</v>
      </c>
      <c r="V29" s="34">
        <f t="shared" ca="1" si="25"/>
        <v>0</v>
      </c>
      <c r="W29" s="34">
        <f t="shared" ca="1" si="25"/>
        <v>0</v>
      </c>
      <c r="X29" s="34">
        <f t="shared" ca="1" si="25"/>
        <v>0</v>
      </c>
      <c r="Y29" s="34">
        <f t="shared" ca="1" si="25"/>
        <v>11914978.273061782</v>
      </c>
      <c r="Z29" s="34">
        <f t="shared" ca="1" si="25"/>
        <v>26996735.588240765</v>
      </c>
      <c r="AA29" s="34">
        <f t="shared" ca="1" si="25"/>
        <v>41095892.382738084</v>
      </c>
      <c r="AB29" s="34">
        <f t="shared" ca="1" si="25"/>
        <v>53724534.655930012</v>
      </c>
      <c r="AC29" s="34">
        <f t="shared" ca="1" si="25"/>
        <v>64376334.060740121</v>
      </c>
      <c r="AD29" s="34">
        <f t="shared" ca="1" si="25"/>
        <v>72523066.38536863</v>
      </c>
      <c r="AE29" s="34">
        <f t="shared" ca="1" si="25"/>
        <v>77604289.327362686</v>
      </c>
      <c r="AF29" s="34">
        <f t="shared" ca="1" si="25"/>
        <v>79003413.178275153</v>
      </c>
      <c r="AG29" s="34">
        <f t="shared" ca="1" si="25"/>
        <v>79711152.088489905</v>
      </c>
      <c r="AH29" s="34">
        <f t="shared" ca="1" si="25"/>
        <v>80425231.160062507</v>
      </c>
      <c r="AI29" s="34">
        <f t="shared" ca="1" si="25"/>
        <v>81145707.190345824</v>
      </c>
      <c r="AJ29" s="34">
        <f t="shared" ca="1" si="25"/>
        <v>81872637.485467076</v>
      </c>
      <c r="AK29" s="34">
        <f t="shared" ref="AK29:BP29" si="26">AJ56</f>
        <v>0</v>
      </c>
      <c r="AL29" s="34">
        <f t="shared" ca="1" si="26"/>
        <v>0</v>
      </c>
      <c r="AM29" s="34">
        <f t="shared" ca="1" si="26"/>
        <v>0</v>
      </c>
      <c r="AN29" s="34">
        <f t="shared" ca="1" si="26"/>
        <v>0</v>
      </c>
      <c r="AO29" s="34">
        <f t="shared" ca="1" si="26"/>
        <v>0</v>
      </c>
      <c r="AP29" s="34">
        <f t="shared" ca="1" si="26"/>
        <v>0</v>
      </c>
      <c r="AQ29" s="34">
        <f t="shared" ca="1" si="26"/>
        <v>0</v>
      </c>
      <c r="AR29" s="34">
        <f t="shared" ca="1" si="26"/>
        <v>0</v>
      </c>
      <c r="AS29" s="34">
        <f t="shared" ca="1" si="26"/>
        <v>0</v>
      </c>
      <c r="AT29" s="34">
        <f t="shared" ca="1" si="26"/>
        <v>0</v>
      </c>
      <c r="AU29" s="34">
        <f t="shared" ca="1" si="26"/>
        <v>0</v>
      </c>
      <c r="AV29" s="34">
        <f t="shared" ca="1" si="26"/>
        <v>0</v>
      </c>
      <c r="AW29" s="34">
        <f t="shared" ca="1" si="26"/>
        <v>0</v>
      </c>
      <c r="AX29" s="34">
        <f t="shared" ca="1" si="26"/>
        <v>0</v>
      </c>
      <c r="AY29" s="34">
        <f t="shared" ca="1" si="26"/>
        <v>0</v>
      </c>
      <c r="AZ29" s="34">
        <f t="shared" ca="1" si="26"/>
        <v>0</v>
      </c>
      <c r="BA29" s="34">
        <f t="shared" ca="1" si="26"/>
        <v>0</v>
      </c>
      <c r="BB29" s="34">
        <f t="shared" ca="1" si="26"/>
        <v>0</v>
      </c>
      <c r="BC29" s="34">
        <f t="shared" ca="1" si="26"/>
        <v>0</v>
      </c>
      <c r="BD29" s="34">
        <f t="shared" ca="1" si="26"/>
        <v>0</v>
      </c>
      <c r="BE29" s="34">
        <f t="shared" ca="1" si="26"/>
        <v>0</v>
      </c>
      <c r="BF29" s="34">
        <f t="shared" ca="1" si="26"/>
        <v>0</v>
      </c>
      <c r="BG29" s="34">
        <f t="shared" ca="1" si="26"/>
        <v>0</v>
      </c>
      <c r="BH29" s="34">
        <f t="shared" ca="1" si="26"/>
        <v>0</v>
      </c>
      <c r="BI29" s="34">
        <f t="shared" ca="1" si="26"/>
        <v>0</v>
      </c>
      <c r="BJ29" s="34">
        <f t="shared" ca="1" si="26"/>
        <v>0</v>
      </c>
      <c r="BK29" s="34">
        <f t="shared" ca="1" si="26"/>
        <v>0</v>
      </c>
      <c r="BL29" s="34">
        <f t="shared" ca="1" si="26"/>
        <v>0</v>
      </c>
      <c r="BM29" s="34">
        <f t="shared" ca="1" si="26"/>
        <v>0</v>
      </c>
      <c r="BN29" s="34">
        <f t="shared" ca="1" si="26"/>
        <v>0</v>
      </c>
      <c r="BO29" s="34">
        <f t="shared" ca="1" si="26"/>
        <v>0</v>
      </c>
      <c r="BP29" s="34">
        <f t="shared" ca="1" si="26"/>
        <v>0</v>
      </c>
      <c r="BQ29" s="34">
        <f t="shared" ref="BQ29:CU29" ca="1" si="27">BP56</f>
        <v>0</v>
      </c>
      <c r="BR29" s="34">
        <f t="shared" ca="1" si="27"/>
        <v>0</v>
      </c>
      <c r="BS29" s="34">
        <f t="shared" ca="1" si="27"/>
        <v>0</v>
      </c>
      <c r="BT29" s="34">
        <f t="shared" ca="1" si="27"/>
        <v>0</v>
      </c>
      <c r="BU29" s="34">
        <f t="shared" ca="1" si="27"/>
        <v>0</v>
      </c>
      <c r="BV29" s="34">
        <f t="shared" ca="1" si="27"/>
        <v>0</v>
      </c>
      <c r="BW29" s="34">
        <f t="shared" ca="1" si="27"/>
        <v>0</v>
      </c>
      <c r="BX29" s="34">
        <f t="shared" ca="1" si="27"/>
        <v>0</v>
      </c>
      <c r="BY29" s="34">
        <f t="shared" ca="1" si="27"/>
        <v>0</v>
      </c>
      <c r="BZ29" s="34">
        <f t="shared" ca="1" si="27"/>
        <v>0</v>
      </c>
      <c r="CA29" s="34">
        <f t="shared" ca="1" si="27"/>
        <v>0</v>
      </c>
      <c r="CB29" s="34">
        <f t="shared" ca="1" si="27"/>
        <v>0</v>
      </c>
      <c r="CC29" s="34">
        <f t="shared" ca="1" si="27"/>
        <v>0</v>
      </c>
      <c r="CD29" s="34">
        <f t="shared" ca="1" si="27"/>
        <v>0</v>
      </c>
      <c r="CE29" s="34">
        <f t="shared" ca="1" si="27"/>
        <v>0</v>
      </c>
      <c r="CF29" s="34">
        <f t="shared" ca="1" si="27"/>
        <v>0</v>
      </c>
      <c r="CG29" s="34">
        <f t="shared" ca="1" si="27"/>
        <v>0</v>
      </c>
      <c r="CH29" s="34">
        <f t="shared" ca="1" si="27"/>
        <v>0</v>
      </c>
      <c r="CI29" s="34">
        <f t="shared" ca="1" si="27"/>
        <v>0</v>
      </c>
      <c r="CJ29" s="34">
        <f t="shared" ca="1" si="27"/>
        <v>0</v>
      </c>
      <c r="CK29" s="34">
        <f t="shared" ca="1" si="27"/>
        <v>0</v>
      </c>
      <c r="CL29" s="34">
        <f t="shared" ca="1" si="27"/>
        <v>0</v>
      </c>
      <c r="CM29" s="34">
        <f t="shared" ca="1" si="27"/>
        <v>0</v>
      </c>
      <c r="CN29" s="34">
        <f t="shared" ca="1" si="27"/>
        <v>0</v>
      </c>
      <c r="CO29" s="34">
        <f t="shared" ca="1" si="27"/>
        <v>0</v>
      </c>
      <c r="CP29" s="34">
        <f t="shared" ca="1" si="27"/>
        <v>0</v>
      </c>
      <c r="CQ29" s="34">
        <f t="shared" ca="1" si="27"/>
        <v>0</v>
      </c>
      <c r="CR29" s="34">
        <f t="shared" ca="1" si="27"/>
        <v>0</v>
      </c>
      <c r="CS29" s="34">
        <f t="shared" ca="1" si="27"/>
        <v>0</v>
      </c>
      <c r="CT29" s="34">
        <f t="shared" ca="1" si="27"/>
        <v>0</v>
      </c>
      <c r="CU29" s="34">
        <f t="shared" ca="1" si="27"/>
        <v>0</v>
      </c>
    </row>
    <row r="30" spans="1:99" x14ac:dyDescent="0.3">
      <c r="A30" s="7" t="s">
        <v>407</v>
      </c>
      <c r="B30" s="21">
        <f ca="1">SUM(D30:CU30)</f>
        <v>6722279.3305491153</v>
      </c>
      <c r="C30" s="11"/>
      <c r="D30" s="34">
        <f t="shared" ref="D30:AI30" si="28">D29*F_SeniorRate/12</f>
        <v>0</v>
      </c>
      <c r="E30" s="34">
        <f t="shared" ca="1" si="28"/>
        <v>0</v>
      </c>
      <c r="F30" s="34">
        <f t="shared" ca="1" si="28"/>
        <v>0</v>
      </c>
      <c r="G30" s="34">
        <f t="shared" ca="1" si="28"/>
        <v>0</v>
      </c>
      <c r="H30" s="34">
        <f t="shared" ca="1" si="28"/>
        <v>0</v>
      </c>
      <c r="I30" s="34">
        <f t="shared" ca="1" si="28"/>
        <v>0</v>
      </c>
      <c r="J30" s="34">
        <f t="shared" ca="1" si="28"/>
        <v>0</v>
      </c>
      <c r="K30" s="34">
        <f t="shared" ca="1" si="28"/>
        <v>0</v>
      </c>
      <c r="L30" s="34">
        <f t="shared" ca="1" si="28"/>
        <v>0</v>
      </c>
      <c r="M30" s="34">
        <f t="shared" ca="1" si="28"/>
        <v>0</v>
      </c>
      <c r="N30" s="34">
        <f t="shared" ca="1" si="28"/>
        <v>0</v>
      </c>
      <c r="O30" s="34">
        <f t="shared" ca="1" si="28"/>
        <v>0</v>
      </c>
      <c r="P30" s="34">
        <f t="shared" ca="1" si="28"/>
        <v>0</v>
      </c>
      <c r="Q30" s="34">
        <f t="shared" ca="1" si="28"/>
        <v>0</v>
      </c>
      <c r="R30" s="34">
        <f t="shared" ca="1" si="28"/>
        <v>0</v>
      </c>
      <c r="S30" s="34">
        <f t="shared" ca="1" si="28"/>
        <v>0</v>
      </c>
      <c r="T30" s="34">
        <f t="shared" ca="1" si="28"/>
        <v>0</v>
      </c>
      <c r="U30" s="34">
        <f t="shared" ca="1" si="28"/>
        <v>0</v>
      </c>
      <c r="V30" s="34">
        <f t="shared" ca="1" si="28"/>
        <v>0</v>
      </c>
      <c r="W30" s="34">
        <f t="shared" ca="1" si="28"/>
        <v>0</v>
      </c>
      <c r="X30" s="34">
        <f t="shared" ca="1" si="28"/>
        <v>0</v>
      </c>
      <c r="Y30" s="34">
        <f t="shared" ca="1" si="28"/>
        <v>106738.3470295118</v>
      </c>
      <c r="Z30" s="34">
        <f t="shared" ca="1" si="28"/>
        <v>241845.75631132352</v>
      </c>
      <c r="AA30" s="34">
        <f t="shared" ca="1" si="28"/>
        <v>368150.70259536197</v>
      </c>
      <c r="AB30" s="34">
        <f t="shared" ca="1" si="28"/>
        <v>481282.28962603974</v>
      </c>
      <c r="AC30" s="34">
        <f t="shared" ca="1" si="28"/>
        <v>576704.65929413016</v>
      </c>
      <c r="AD30" s="34">
        <f t="shared" ca="1" si="28"/>
        <v>649685.80303559394</v>
      </c>
      <c r="AE30" s="34">
        <f t="shared" ca="1" si="28"/>
        <v>695205.09189095732</v>
      </c>
      <c r="AF30" s="34">
        <f t="shared" ca="1" si="28"/>
        <v>707738.90972204821</v>
      </c>
      <c r="AG30" s="34">
        <f t="shared" ca="1" si="28"/>
        <v>714079.07079272205</v>
      </c>
      <c r="AH30" s="34">
        <f t="shared" ca="1" si="28"/>
        <v>720476.02914222656</v>
      </c>
      <c r="AI30" s="34">
        <f t="shared" ca="1" si="28"/>
        <v>726930.29358018131</v>
      </c>
      <c r="AJ30" s="34">
        <f t="shared" ref="AJ30:BO30" ca="1" si="29">AJ29*F_SeniorRate/12</f>
        <v>733442.37747397588</v>
      </c>
      <c r="AK30" s="34">
        <f t="shared" si="29"/>
        <v>0</v>
      </c>
      <c r="AL30" s="34">
        <f t="shared" ca="1" si="29"/>
        <v>0</v>
      </c>
      <c r="AM30" s="34">
        <f t="shared" ca="1" si="29"/>
        <v>0</v>
      </c>
      <c r="AN30" s="34">
        <f t="shared" ca="1" si="29"/>
        <v>0</v>
      </c>
      <c r="AO30" s="34">
        <f t="shared" ca="1" si="29"/>
        <v>0</v>
      </c>
      <c r="AP30" s="34">
        <f t="shared" ca="1" si="29"/>
        <v>0</v>
      </c>
      <c r="AQ30" s="34">
        <f t="shared" ca="1" si="29"/>
        <v>0</v>
      </c>
      <c r="AR30" s="34">
        <f t="shared" ca="1" si="29"/>
        <v>0</v>
      </c>
      <c r="AS30" s="34">
        <f t="shared" ca="1" si="29"/>
        <v>0</v>
      </c>
      <c r="AT30" s="34">
        <f t="shared" ca="1" si="29"/>
        <v>0</v>
      </c>
      <c r="AU30" s="34">
        <f t="shared" ca="1" si="29"/>
        <v>0</v>
      </c>
      <c r="AV30" s="34">
        <f t="shared" ca="1" si="29"/>
        <v>0</v>
      </c>
      <c r="AW30" s="34">
        <f t="shared" ca="1" si="29"/>
        <v>0</v>
      </c>
      <c r="AX30" s="34">
        <f t="shared" ca="1" si="29"/>
        <v>0</v>
      </c>
      <c r="AY30" s="34">
        <f t="shared" ca="1" si="29"/>
        <v>0</v>
      </c>
      <c r="AZ30" s="34">
        <f t="shared" ca="1" si="29"/>
        <v>0</v>
      </c>
      <c r="BA30" s="34">
        <f t="shared" ca="1" si="29"/>
        <v>0</v>
      </c>
      <c r="BB30" s="34">
        <f t="shared" ca="1" si="29"/>
        <v>0</v>
      </c>
      <c r="BC30" s="34">
        <f t="shared" ca="1" si="29"/>
        <v>0</v>
      </c>
      <c r="BD30" s="34">
        <f t="shared" ca="1" si="29"/>
        <v>0</v>
      </c>
      <c r="BE30" s="34">
        <f t="shared" ca="1" si="29"/>
        <v>0</v>
      </c>
      <c r="BF30" s="34">
        <f t="shared" ca="1" si="29"/>
        <v>0</v>
      </c>
      <c r="BG30" s="34">
        <f t="shared" ca="1" si="29"/>
        <v>0</v>
      </c>
      <c r="BH30" s="34">
        <f t="shared" ca="1" si="29"/>
        <v>0</v>
      </c>
      <c r="BI30" s="34">
        <f t="shared" ca="1" si="29"/>
        <v>0</v>
      </c>
      <c r="BJ30" s="34">
        <f t="shared" ca="1" si="29"/>
        <v>0</v>
      </c>
      <c r="BK30" s="34">
        <f t="shared" ca="1" si="29"/>
        <v>0</v>
      </c>
      <c r="BL30" s="34">
        <f t="shared" ca="1" si="29"/>
        <v>0</v>
      </c>
      <c r="BM30" s="34">
        <f t="shared" ca="1" si="29"/>
        <v>0</v>
      </c>
      <c r="BN30" s="34">
        <f t="shared" ca="1" si="29"/>
        <v>0</v>
      </c>
      <c r="BO30" s="34">
        <f t="shared" ca="1" si="29"/>
        <v>0</v>
      </c>
      <c r="BP30" s="34">
        <f t="shared" ref="BP30:CU30" ca="1" si="30">BP29*F_SeniorRate/12</f>
        <v>0</v>
      </c>
      <c r="BQ30" s="34">
        <f t="shared" ca="1" si="30"/>
        <v>0</v>
      </c>
      <c r="BR30" s="34">
        <f t="shared" ca="1" si="30"/>
        <v>0</v>
      </c>
      <c r="BS30" s="34">
        <f t="shared" ca="1" si="30"/>
        <v>0</v>
      </c>
      <c r="BT30" s="34">
        <f t="shared" ca="1" si="30"/>
        <v>0</v>
      </c>
      <c r="BU30" s="34">
        <f t="shared" ca="1" si="30"/>
        <v>0</v>
      </c>
      <c r="BV30" s="34">
        <f t="shared" ca="1" si="30"/>
        <v>0</v>
      </c>
      <c r="BW30" s="34">
        <f t="shared" ca="1" si="30"/>
        <v>0</v>
      </c>
      <c r="BX30" s="34">
        <f t="shared" ca="1" si="30"/>
        <v>0</v>
      </c>
      <c r="BY30" s="34">
        <f t="shared" ca="1" si="30"/>
        <v>0</v>
      </c>
      <c r="BZ30" s="34">
        <f t="shared" ca="1" si="30"/>
        <v>0</v>
      </c>
      <c r="CA30" s="34">
        <f t="shared" ca="1" si="30"/>
        <v>0</v>
      </c>
      <c r="CB30" s="34">
        <f t="shared" ca="1" si="30"/>
        <v>0</v>
      </c>
      <c r="CC30" s="34">
        <f t="shared" ca="1" si="30"/>
        <v>0</v>
      </c>
      <c r="CD30" s="34">
        <f t="shared" ca="1" si="30"/>
        <v>0</v>
      </c>
      <c r="CE30" s="34">
        <f t="shared" ca="1" si="30"/>
        <v>0</v>
      </c>
      <c r="CF30" s="34">
        <f t="shared" ca="1" si="30"/>
        <v>0</v>
      </c>
      <c r="CG30" s="34">
        <f t="shared" ca="1" si="30"/>
        <v>0</v>
      </c>
      <c r="CH30" s="34">
        <f t="shared" ca="1" si="30"/>
        <v>0</v>
      </c>
      <c r="CI30" s="34">
        <f t="shared" ca="1" si="30"/>
        <v>0</v>
      </c>
      <c r="CJ30" s="34">
        <f t="shared" ca="1" si="30"/>
        <v>0</v>
      </c>
      <c r="CK30" s="34">
        <f t="shared" ca="1" si="30"/>
        <v>0</v>
      </c>
      <c r="CL30" s="34">
        <f t="shared" ca="1" si="30"/>
        <v>0</v>
      </c>
      <c r="CM30" s="34">
        <f t="shared" ca="1" si="30"/>
        <v>0</v>
      </c>
      <c r="CN30" s="34">
        <f t="shared" ca="1" si="30"/>
        <v>0</v>
      </c>
      <c r="CO30" s="34">
        <f t="shared" ca="1" si="30"/>
        <v>0</v>
      </c>
      <c r="CP30" s="34">
        <f t="shared" ca="1" si="30"/>
        <v>0</v>
      </c>
      <c r="CQ30" s="34">
        <f t="shared" ca="1" si="30"/>
        <v>0</v>
      </c>
      <c r="CR30" s="34">
        <f t="shared" ca="1" si="30"/>
        <v>0</v>
      </c>
      <c r="CS30" s="34">
        <f t="shared" ca="1" si="30"/>
        <v>0</v>
      </c>
      <c r="CT30" s="34">
        <f t="shared" ca="1" si="30"/>
        <v>0</v>
      </c>
      <c r="CU30" s="34">
        <f t="shared" ca="1" si="30"/>
        <v>0</v>
      </c>
    </row>
    <row r="31" spans="1:99" x14ac:dyDescent="0.3">
      <c r="A31" s="7" t="s">
        <v>408</v>
      </c>
      <c r="B31" s="1"/>
      <c r="C31" s="11"/>
      <c r="D31" s="34">
        <f>0</f>
        <v>0</v>
      </c>
      <c r="E31" s="34">
        <f t="shared" ref="E31:AJ31" ca="1" si="31">D57</f>
        <v>0</v>
      </c>
      <c r="F31" s="34">
        <f t="shared" ca="1" si="31"/>
        <v>0</v>
      </c>
      <c r="G31" s="34">
        <f t="shared" ca="1" si="31"/>
        <v>0</v>
      </c>
      <c r="H31" s="34">
        <f t="shared" ca="1" si="31"/>
        <v>0</v>
      </c>
      <c r="I31" s="34">
        <f t="shared" ca="1" si="31"/>
        <v>0</v>
      </c>
      <c r="J31" s="34">
        <f t="shared" ca="1" si="31"/>
        <v>0</v>
      </c>
      <c r="K31" s="34">
        <f t="shared" ca="1" si="31"/>
        <v>0</v>
      </c>
      <c r="L31" s="34">
        <f t="shared" ca="1" si="31"/>
        <v>0</v>
      </c>
      <c r="M31" s="34">
        <f t="shared" ca="1" si="31"/>
        <v>0</v>
      </c>
      <c r="N31" s="34">
        <f t="shared" ca="1" si="31"/>
        <v>0</v>
      </c>
      <c r="O31" s="34">
        <f t="shared" ca="1" si="31"/>
        <v>0</v>
      </c>
      <c r="P31" s="34">
        <f t="shared" ca="1" si="31"/>
        <v>0</v>
      </c>
      <c r="Q31" s="34">
        <f t="shared" ca="1" si="31"/>
        <v>0</v>
      </c>
      <c r="R31" s="34">
        <f t="shared" ca="1" si="31"/>
        <v>0</v>
      </c>
      <c r="S31" s="34">
        <f t="shared" ca="1" si="31"/>
        <v>0</v>
      </c>
      <c r="T31" s="34">
        <f t="shared" ca="1" si="31"/>
        <v>0</v>
      </c>
      <c r="U31" s="34">
        <f t="shared" ca="1" si="31"/>
        <v>0</v>
      </c>
      <c r="V31" s="34">
        <f t="shared" ca="1" si="31"/>
        <v>0</v>
      </c>
      <c r="W31" s="34">
        <f t="shared" ca="1" si="31"/>
        <v>0</v>
      </c>
      <c r="X31" s="34">
        <f t="shared" ca="1" si="31"/>
        <v>0</v>
      </c>
      <c r="Y31" s="34">
        <f t="shared" ca="1" si="31"/>
        <v>0</v>
      </c>
      <c r="Z31" s="34">
        <f t="shared" ca="1" si="31"/>
        <v>0</v>
      </c>
      <c r="AA31" s="34">
        <f t="shared" ca="1" si="31"/>
        <v>0</v>
      </c>
      <c r="AB31" s="34">
        <f t="shared" ca="1" si="31"/>
        <v>0</v>
      </c>
      <c r="AC31" s="34">
        <f t="shared" ca="1" si="31"/>
        <v>0</v>
      </c>
      <c r="AD31" s="34">
        <f t="shared" ca="1" si="31"/>
        <v>0</v>
      </c>
      <c r="AE31" s="34">
        <f t="shared" ca="1" si="31"/>
        <v>0</v>
      </c>
      <c r="AF31" s="34">
        <f t="shared" ca="1" si="31"/>
        <v>0</v>
      </c>
      <c r="AG31" s="34">
        <f t="shared" ca="1" si="31"/>
        <v>0</v>
      </c>
      <c r="AH31" s="34">
        <f t="shared" ca="1" si="31"/>
        <v>0</v>
      </c>
      <c r="AI31" s="34">
        <f t="shared" ca="1" si="31"/>
        <v>0</v>
      </c>
      <c r="AJ31" s="34">
        <f t="shared" ca="1" si="31"/>
        <v>0</v>
      </c>
      <c r="AK31" s="34">
        <f t="shared" ref="AK31:BP31" si="32">AJ57</f>
        <v>0</v>
      </c>
      <c r="AL31" s="34">
        <f t="shared" ca="1" si="32"/>
        <v>0</v>
      </c>
      <c r="AM31" s="34">
        <f t="shared" ca="1" si="32"/>
        <v>0</v>
      </c>
      <c r="AN31" s="34">
        <f t="shared" ca="1" si="32"/>
        <v>0</v>
      </c>
      <c r="AO31" s="34">
        <f t="shared" ca="1" si="32"/>
        <v>0</v>
      </c>
      <c r="AP31" s="34">
        <f t="shared" ca="1" si="32"/>
        <v>0</v>
      </c>
      <c r="AQ31" s="34">
        <f t="shared" ca="1" si="32"/>
        <v>0</v>
      </c>
      <c r="AR31" s="34">
        <f t="shared" ca="1" si="32"/>
        <v>0</v>
      </c>
      <c r="AS31" s="34">
        <f t="shared" ca="1" si="32"/>
        <v>0</v>
      </c>
      <c r="AT31" s="34">
        <f t="shared" ca="1" si="32"/>
        <v>0</v>
      </c>
      <c r="AU31" s="34">
        <f t="shared" ca="1" si="32"/>
        <v>0</v>
      </c>
      <c r="AV31" s="34">
        <f t="shared" ca="1" si="32"/>
        <v>0</v>
      </c>
      <c r="AW31" s="34">
        <f t="shared" ca="1" si="32"/>
        <v>0</v>
      </c>
      <c r="AX31" s="34">
        <f t="shared" ca="1" si="32"/>
        <v>0</v>
      </c>
      <c r="AY31" s="34">
        <f t="shared" ca="1" si="32"/>
        <v>0</v>
      </c>
      <c r="AZ31" s="34">
        <f t="shared" ca="1" si="32"/>
        <v>0</v>
      </c>
      <c r="BA31" s="34">
        <f t="shared" ca="1" si="32"/>
        <v>0</v>
      </c>
      <c r="BB31" s="34">
        <f t="shared" ca="1" si="32"/>
        <v>0</v>
      </c>
      <c r="BC31" s="34">
        <f t="shared" ca="1" si="32"/>
        <v>0</v>
      </c>
      <c r="BD31" s="34">
        <f t="shared" ca="1" si="32"/>
        <v>0</v>
      </c>
      <c r="BE31" s="34">
        <f t="shared" ca="1" si="32"/>
        <v>0</v>
      </c>
      <c r="BF31" s="34">
        <f t="shared" ca="1" si="32"/>
        <v>0</v>
      </c>
      <c r="BG31" s="34">
        <f t="shared" ca="1" si="32"/>
        <v>0</v>
      </c>
      <c r="BH31" s="34">
        <f t="shared" ca="1" si="32"/>
        <v>0</v>
      </c>
      <c r="BI31" s="34">
        <f t="shared" ca="1" si="32"/>
        <v>0</v>
      </c>
      <c r="BJ31" s="34">
        <f t="shared" ca="1" si="32"/>
        <v>0</v>
      </c>
      <c r="BK31" s="34">
        <f t="shared" ca="1" si="32"/>
        <v>0</v>
      </c>
      <c r="BL31" s="34">
        <f t="shared" ca="1" si="32"/>
        <v>0</v>
      </c>
      <c r="BM31" s="34">
        <f t="shared" ca="1" si="32"/>
        <v>0</v>
      </c>
      <c r="BN31" s="34">
        <f t="shared" ca="1" si="32"/>
        <v>0</v>
      </c>
      <c r="BO31" s="34">
        <f t="shared" ca="1" si="32"/>
        <v>0</v>
      </c>
      <c r="BP31" s="34">
        <f t="shared" ca="1" si="32"/>
        <v>0</v>
      </c>
      <c r="BQ31" s="34">
        <f t="shared" ref="BQ31:CU31" ca="1" si="33">BP57</f>
        <v>0</v>
      </c>
      <c r="BR31" s="34">
        <f t="shared" ca="1" si="33"/>
        <v>0</v>
      </c>
      <c r="BS31" s="34">
        <f t="shared" ca="1" si="33"/>
        <v>0</v>
      </c>
      <c r="BT31" s="34">
        <f t="shared" ca="1" si="33"/>
        <v>0</v>
      </c>
      <c r="BU31" s="34">
        <f t="shared" ca="1" si="33"/>
        <v>0</v>
      </c>
      <c r="BV31" s="34">
        <f t="shared" ca="1" si="33"/>
        <v>0</v>
      </c>
      <c r="BW31" s="34">
        <f t="shared" ca="1" si="33"/>
        <v>0</v>
      </c>
      <c r="BX31" s="34">
        <f t="shared" ca="1" si="33"/>
        <v>0</v>
      </c>
      <c r="BY31" s="34">
        <f t="shared" ca="1" si="33"/>
        <v>0</v>
      </c>
      <c r="BZ31" s="34">
        <f t="shared" ca="1" si="33"/>
        <v>0</v>
      </c>
      <c r="CA31" s="34">
        <f t="shared" ca="1" si="33"/>
        <v>0</v>
      </c>
      <c r="CB31" s="34">
        <f t="shared" ca="1" si="33"/>
        <v>0</v>
      </c>
      <c r="CC31" s="34">
        <f t="shared" ca="1" si="33"/>
        <v>0</v>
      </c>
      <c r="CD31" s="34">
        <f t="shared" ca="1" si="33"/>
        <v>0</v>
      </c>
      <c r="CE31" s="34">
        <f t="shared" ca="1" si="33"/>
        <v>0</v>
      </c>
      <c r="CF31" s="34">
        <f t="shared" ca="1" si="33"/>
        <v>0</v>
      </c>
      <c r="CG31" s="34">
        <f t="shared" ca="1" si="33"/>
        <v>0</v>
      </c>
      <c r="CH31" s="34">
        <f t="shared" ca="1" si="33"/>
        <v>0</v>
      </c>
      <c r="CI31" s="34">
        <f t="shared" ca="1" si="33"/>
        <v>0</v>
      </c>
      <c r="CJ31" s="34">
        <f t="shared" ca="1" si="33"/>
        <v>0</v>
      </c>
      <c r="CK31" s="34">
        <f t="shared" ca="1" si="33"/>
        <v>0</v>
      </c>
      <c r="CL31" s="34">
        <f t="shared" ca="1" si="33"/>
        <v>0</v>
      </c>
      <c r="CM31" s="34">
        <f t="shared" ca="1" si="33"/>
        <v>0</v>
      </c>
      <c r="CN31" s="34">
        <f t="shared" ca="1" si="33"/>
        <v>0</v>
      </c>
      <c r="CO31" s="34">
        <f t="shared" ca="1" si="33"/>
        <v>0</v>
      </c>
      <c r="CP31" s="34">
        <f t="shared" ca="1" si="33"/>
        <v>0</v>
      </c>
      <c r="CQ31" s="34">
        <f t="shared" ca="1" si="33"/>
        <v>0</v>
      </c>
      <c r="CR31" s="34">
        <f t="shared" ca="1" si="33"/>
        <v>0</v>
      </c>
      <c r="CS31" s="34">
        <f t="shared" ca="1" si="33"/>
        <v>0</v>
      </c>
      <c r="CT31" s="34">
        <f t="shared" ca="1" si="33"/>
        <v>0</v>
      </c>
      <c r="CU31" s="34">
        <f t="shared" ca="1" si="33"/>
        <v>0</v>
      </c>
    </row>
    <row r="32" spans="1:99" x14ac:dyDescent="0.3">
      <c r="A32" s="7" t="s">
        <v>409</v>
      </c>
      <c r="B32" s="21">
        <f t="shared" ref="B32:B37" ca="1" si="34">SUM(D32:CU32)</f>
        <v>0</v>
      </c>
      <c r="C32" s="11"/>
      <c r="D32" s="34">
        <f t="shared" ref="D32:AI32" si="35">D31*N(in_fin_mezz_rate_pct)/12</f>
        <v>0</v>
      </c>
      <c r="E32" s="34">
        <f t="shared" ca="1" si="35"/>
        <v>0</v>
      </c>
      <c r="F32" s="34">
        <f t="shared" ca="1" si="35"/>
        <v>0</v>
      </c>
      <c r="G32" s="34">
        <f t="shared" ca="1" si="35"/>
        <v>0</v>
      </c>
      <c r="H32" s="34">
        <f t="shared" ca="1" si="35"/>
        <v>0</v>
      </c>
      <c r="I32" s="34">
        <f t="shared" ca="1" si="35"/>
        <v>0</v>
      </c>
      <c r="J32" s="34">
        <f t="shared" ca="1" si="35"/>
        <v>0</v>
      </c>
      <c r="K32" s="34">
        <f t="shared" ca="1" si="35"/>
        <v>0</v>
      </c>
      <c r="L32" s="34">
        <f t="shared" ca="1" si="35"/>
        <v>0</v>
      </c>
      <c r="M32" s="34">
        <f t="shared" ca="1" si="35"/>
        <v>0</v>
      </c>
      <c r="N32" s="34">
        <f t="shared" ca="1" si="35"/>
        <v>0</v>
      </c>
      <c r="O32" s="34">
        <f t="shared" ca="1" si="35"/>
        <v>0</v>
      </c>
      <c r="P32" s="34">
        <f t="shared" ca="1" si="35"/>
        <v>0</v>
      </c>
      <c r="Q32" s="34">
        <f t="shared" ca="1" si="35"/>
        <v>0</v>
      </c>
      <c r="R32" s="34">
        <f t="shared" ca="1" si="35"/>
        <v>0</v>
      </c>
      <c r="S32" s="34">
        <f t="shared" ca="1" si="35"/>
        <v>0</v>
      </c>
      <c r="T32" s="34">
        <f t="shared" ca="1" si="35"/>
        <v>0</v>
      </c>
      <c r="U32" s="34">
        <f t="shared" ca="1" si="35"/>
        <v>0</v>
      </c>
      <c r="V32" s="34">
        <f t="shared" ca="1" si="35"/>
        <v>0</v>
      </c>
      <c r="W32" s="34">
        <f t="shared" ca="1" si="35"/>
        <v>0</v>
      </c>
      <c r="X32" s="34">
        <f t="shared" ca="1" si="35"/>
        <v>0</v>
      </c>
      <c r="Y32" s="34">
        <f t="shared" ca="1" si="35"/>
        <v>0</v>
      </c>
      <c r="Z32" s="34">
        <f t="shared" ca="1" si="35"/>
        <v>0</v>
      </c>
      <c r="AA32" s="34">
        <f t="shared" ca="1" si="35"/>
        <v>0</v>
      </c>
      <c r="AB32" s="34">
        <f t="shared" ca="1" si="35"/>
        <v>0</v>
      </c>
      <c r="AC32" s="34">
        <f t="shared" ca="1" si="35"/>
        <v>0</v>
      </c>
      <c r="AD32" s="34">
        <f t="shared" ca="1" si="35"/>
        <v>0</v>
      </c>
      <c r="AE32" s="34">
        <f t="shared" ca="1" si="35"/>
        <v>0</v>
      </c>
      <c r="AF32" s="34">
        <f t="shared" ca="1" si="35"/>
        <v>0</v>
      </c>
      <c r="AG32" s="34">
        <f t="shared" ca="1" si="35"/>
        <v>0</v>
      </c>
      <c r="AH32" s="34">
        <f t="shared" ca="1" si="35"/>
        <v>0</v>
      </c>
      <c r="AI32" s="34">
        <f t="shared" ca="1" si="35"/>
        <v>0</v>
      </c>
      <c r="AJ32" s="34">
        <f t="shared" ref="AJ32:BO32" ca="1" si="36">AJ31*N(in_fin_mezz_rate_pct)/12</f>
        <v>0</v>
      </c>
      <c r="AK32" s="34">
        <f t="shared" si="36"/>
        <v>0</v>
      </c>
      <c r="AL32" s="34">
        <f t="shared" ca="1" si="36"/>
        <v>0</v>
      </c>
      <c r="AM32" s="34">
        <f t="shared" ca="1" si="36"/>
        <v>0</v>
      </c>
      <c r="AN32" s="34">
        <f t="shared" ca="1" si="36"/>
        <v>0</v>
      </c>
      <c r="AO32" s="34">
        <f t="shared" ca="1" si="36"/>
        <v>0</v>
      </c>
      <c r="AP32" s="34">
        <f t="shared" ca="1" si="36"/>
        <v>0</v>
      </c>
      <c r="AQ32" s="34">
        <f t="shared" ca="1" si="36"/>
        <v>0</v>
      </c>
      <c r="AR32" s="34">
        <f t="shared" ca="1" si="36"/>
        <v>0</v>
      </c>
      <c r="AS32" s="34">
        <f t="shared" ca="1" si="36"/>
        <v>0</v>
      </c>
      <c r="AT32" s="34">
        <f t="shared" ca="1" si="36"/>
        <v>0</v>
      </c>
      <c r="AU32" s="34">
        <f t="shared" ca="1" si="36"/>
        <v>0</v>
      </c>
      <c r="AV32" s="34">
        <f t="shared" ca="1" si="36"/>
        <v>0</v>
      </c>
      <c r="AW32" s="34">
        <f t="shared" ca="1" si="36"/>
        <v>0</v>
      </c>
      <c r="AX32" s="34">
        <f t="shared" ca="1" si="36"/>
        <v>0</v>
      </c>
      <c r="AY32" s="34">
        <f t="shared" ca="1" si="36"/>
        <v>0</v>
      </c>
      <c r="AZ32" s="34">
        <f t="shared" ca="1" si="36"/>
        <v>0</v>
      </c>
      <c r="BA32" s="34">
        <f t="shared" ca="1" si="36"/>
        <v>0</v>
      </c>
      <c r="BB32" s="34">
        <f t="shared" ca="1" si="36"/>
        <v>0</v>
      </c>
      <c r="BC32" s="34">
        <f t="shared" ca="1" si="36"/>
        <v>0</v>
      </c>
      <c r="BD32" s="34">
        <f t="shared" ca="1" si="36"/>
        <v>0</v>
      </c>
      <c r="BE32" s="34">
        <f t="shared" ca="1" si="36"/>
        <v>0</v>
      </c>
      <c r="BF32" s="34">
        <f t="shared" ca="1" si="36"/>
        <v>0</v>
      </c>
      <c r="BG32" s="34">
        <f t="shared" ca="1" si="36"/>
        <v>0</v>
      </c>
      <c r="BH32" s="34">
        <f t="shared" ca="1" si="36"/>
        <v>0</v>
      </c>
      <c r="BI32" s="34">
        <f t="shared" ca="1" si="36"/>
        <v>0</v>
      </c>
      <c r="BJ32" s="34">
        <f t="shared" ca="1" si="36"/>
        <v>0</v>
      </c>
      <c r="BK32" s="34">
        <f t="shared" ca="1" si="36"/>
        <v>0</v>
      </c>
      <c r="BL32" s="34">
        <f t="shared" ca="1" si="36"/>
        <v>0</v>
      </c>
      <c r="BM32" s="34">
        <f t="shared" ca="1" si="36"/>
        <v>0</v>
      </c>
      <c r="BN32" s="34">
        <f t="shared" ca="1" si="36"/>
        <v>0</v>
      </c>
      <c r="BO32" s="34">
        <f t="shared" ca="1" si="36"/>
        <v>0</v>
      </c>
      <c r="BP32" s="34">
        <f t="shared" ref="BP32:CU32" ca="1" si="37">BP31*N(in_fin_mezz_rate_pct)/12</f>
        <v>0</v>
      </c>
      <c r="BQ32" s="34">
        <f t="shared" ca="1" si="37"/>
        <v>0</v>
      </c>
      <c r="BR32" s="34">
        <f t="shared" ca="1" si="37"/>
        <v>0</v>
      </c>
      <c r="BS32" s="34">
        <f t="shared" ca="1" si="37"/>
        <v>0</v>
      </c>
      <c r="BT32" s="34">
        <f t="shared" ca="1" si="37"/>
        <v>0</v>
      </c>
      <c r="BU32" s="34">
        <f t="shared" ca="1" si="37"/>
        <v>0</v>
      </c>
      <c r="BV32" s="34">
        <f t="shared" ca="1" si="37"/>
        <v>0</v>
      </c>
      <c r="BW32" s="34">
        <f t="shared" ca="1" si="37"/>
        <v>0</v>
      </c>
      <c r="BX32" s="34">
        <f t="shared" ca="1" si="37"/>
        <v>0</v>
      </c>
      <c r="BY32" s="34">
        <f t="shared" ca="1" si="37"/>
        <v>0</v>
      </c>
      <c r="BZ32" s="34">
        <f t="shared" ca="1" si="37"/>
        <v>0</v>
      </c>
      <c r="CA32" s="34">
        <f t="shared" ca="1" si="37"/>
        <v>0</v>
      </c>
      <c r="CB32" s="34">
        <f t="shared" ca="1" si="37"/>
        <v>0</v>
      </c>
      <c r="CC32" s="34">
        <f t="shared" ca="1" si="37"/>
        <v>0</v>
      </c>
      <c r="CD32" s="34">
        <f t="shared" ca="1" si="37"/>
        <v>0</v>
      </c>
      <c r="CE32" s="34">
        <f t="shared" ca="1" si="37"/>
        <v>0</v>
      </c>
      <c r="CF32" s="34">
        <f t="shared" ca="1" si="37"/>
        <v>0</v>
      </c>
      <c r="CG32" s="34">
        <f t="shared" ca="1" si="37"/>
        <v>0</v>
      </c>
      <c r="CH32" s="34">
        <f t="shared" ca="1" si="37"/>
        <v>0</v>
      </c>
      <c r="CI32" s="34">
        <f t="shared" ca="1" si="37"/>
        <v>0</v>
      </c>
      <c r="CJ32" s="34">
        <f t="shared" ca="1" si="37"/>
        <v>0</v>
      </c>
      <c r="CK32" s="34">
        <f t="shared" ca="1" si="37"/>
        <v>0</v>
      </c>
      <c r="CL32" s="34">
        <f t="shared" ca="1" si="37"/>
        <v>0</v>
      </c>
      <c r="CM32" s="34">
        <f t="shared" ca="1" si="37"/>
        <v>0</v>
      </c>
      <c r="CN32" s="34">
        <f t="shared" ca="1" si="37"/>
        <v>0</v>
      </c>
      <c r="CO32" s="34">
        <f t="shared" ca="1" si="37"/>
        <v>0</v>
      </c>
      <c r="CP32" s="34">
        <f t="shared" ca="1" si="37"/>
        <v>0</v>
      </c>
      <c r="CQ32" s="34">
        <f t="shared" ca="1" si="37"/>
        <v>0</v>
      </c>
      <c r="CR32" s="34">
        <f t="shared" ca="1" si="37"/>
        <v>0</v>
      </c>
      <c r="CS32" s="34">
        <f t="shared" ca="1" si="37"/>
        <v>0</v>
      </c>
      <c r="CT32" s="34">
        <f t="shared" ca="1" si="37"/>
        <v>0</v>
      </c>
      <c r="CU32" s="34">
        <f t="shared" ca="1" si="37"/>
        <v>0</v>
      </c>
    </row>
    <row r="33" spans="1:99" x14ac:dyDescent="0.3">
      <c r="A33" s="7" t="s">
        <v>410</v>
      </c>
      <c r="B33" s="21">
        <f t="shared" ca="1" si="34"/>
        <v>6626124.0638498301</v>
      </c>
      <c r="C33" s="11"/>
      <c r="D33" s="34">
        <f t="shared" ref="D33:AI33" ca="1" si="38">IF(AND(D$4&gt;=T_ConStart,D$4&lt;=T_Delivery,F_SeniorCommit&gt;0),MAX(F_SeniorCommit-D29,0)*in_fin_commitment_fee_pct/12,0)+IF(AND(D$4=T_ConStart,F_SeniorCommit&gt;0),F_SeniorCommit*in_fin_origination_fee_pct,0)</f>
        <v>0</v>
      </c>
      <c r="E33" s="34">
        <f t="shared" ca="1" si="38"/>
        <v>0</v>
      </c>
      <c r="F33" s="34">
        <f t="shared" ca="1" si="38"/>
        <v>0</v>
      </c>
      <c r="G33" s="34">
        <f t="shared" ca="1" si="38"/>
        <v>0</v>
      </c>
      <c r="H33" s="34">
        <f t="shared" ca="1" si="38"/>
        <v>0</v>
      </c>
      <c r="I33" s="34">
        <f t="shared" ca="1" si="38"/>
        <v>0</v>
      </c>
      <c r="J33" s="34">
        <f t="shared" ca="1" si="38"/>
        <v>0</v>
      </c>
      <c r="K33" s="34">
        <f t="shared" ca="1" si="38"/>
        <v>0</v>
      </c>
      <c r="L33" s="34">
        <f t="shared" ca="1" si="38"/>
        <v>3540198.0707949637</v>
      </c>
      <c r="M33" s="34">
        <f t="shared" ca="1" si="38"/>
        <v>141607.92283179855</v>
      </c>
      <c r="N33" s="34">
        <f t="shared" ca="1" si="38"/>
        <v>141607.92283179855</v>
      </c>
      <c r="O33" s="34">
        <f t="shared" ca="1" si="38"/>
        <v>141607.92283179855</v>
      </c>
      <c r="P33" s="34">
        <f t="shared" ca="1" si="38"/>
        <v>141607.92283179855</v>
      </c>
      <c r="Q33" s="34">
        <f t="shared" ca="1" si="38"/>
        <v>141607.92283179855</v>
      </c>
      <c r="R33" s="34">
        <f t="shared" ca="1" si="38"/>
        <v>141607.92283179855</v>
      </c>
      <c r="S33" s="34">
        <f t="shared" ca="1" si="38"/>
        <v>141607.92283179855</v>
      </c>
      <c r="T33" s="34">
        <f t="shared" ca="1" si="38"/>
        <v>141607.92283179855</v>
      </c>
      <c r="U33" s="34">
        <f t="shared" ca="1" si="38"/>
        <v>141607.92283179855</v>
      </c>
      <c r="V33" s="34">
        <f t="shared" ca="1" si="38"/>
        <v>141607.92283179855</v>
      </c>
      <c r="W33" s="34">
        <f t="shared" ca="1" si="38"/>
        <v>141607.92283179855</v>
      </c>
      <c r="X33" s="34">
        <f t="shared" ca="1" si="38"/>
        <v>141607.92283179855</v>
      </c>
      <c r="Y33" s="34">
        <f t="shared" ca="1" si="38"/>
        <v>136643.34855135615</v>
      </c>
      <c r="Z33" s="34">
        <f t="shared" ca="1" si="38"/>
        <v>130359.28300336491</v>
      </c>
      <c r="AA33" s="34">
        <f t="shared" ca="1" si="38"/>
        <v>124484.634338991</v>
      </c>
      <c r="AB33" s="34">
        <f t="shared" ca="1" si="38"/>
        <v>119222.70005849436</v>
      </c>
      <c r="AC33" s="34">
        <f t="shared" ca="1" si="38"/>
        <v>114784.45030649017</v>
      </c>
      <c r="AD33" s="34">
        <f t="shared" ca="1" si="38"/>
        <v>111389.9785045616</v>
      </c>
      <c r="AE33" s="34">
        <f t="shared" ca="1" si="38"/>
        <v>109272.80227873077</v>
      </c>
      <c r="AF33" s="34">
        <f t="shared" ca="1" si="38"/>
        <v>108689.83400751722</v>
      </c>
      <c r="AG33" s="34">
        <f t="shared" ca="1" si="38"/>
        <v>108394.94279492776</v>
      </c>
      <c r="AH33" s="34">
        <f t="shared" ca="1" si="38"/>
        <v>108097.40984843917</v>
      </c>
      <c r="AI33" s="34">
        <f t="shared" ca="1" si="38"/>
        <v>107797.21150248779</v>
      </c>
      <c r="AJ33" s="34">
        <f t="shared" ref="AJ33:BO33" ca="1" si="39">IF(AND(AJ$4&gt;=T_ConStart,AJ$4&lt;=T_Delivery,F_SeniorCommit&gt;0),MAX(F_SeniorCommit-AJ29,0)*in_fin_commitment_fee_pct/12,0)+IF(AND(AJ$4=T_ConStart,F_SeniorCommit&gt;0),F_SeniorCommit*in_fin_origination_fee_pct,0)</f>
        <v>107494.3238795206</v>
      </c>
      <c r="AK33" s="34">
        <f t="shared" ca="1" si="39"/>
        <v>0</v>
      </c>
      <c r="AL33" s="34">
        <f t="shared" ca="1" si="39"/>
        <v>0</v>
      </c>
      <c r="AM33" s="34">
        <f t="shared" ca="1" si="39"/>
        <v>0</v>
      </c>
      <c r="AN33" s="34">
        <f t="shared" ca="1" si="39"/>
        <v>0</v>
      </c>
      <c r="AO33" s="34">
        <f t="shared" ca="1" si="39"/>
        <v>0</v>
      </c>
      <c r="AP33" s="34">
        <f t="shared" ca="1" si="39"/>
        <v>0</v>
      </c>
      <c r="AQ33" s="34">
        <f t="shared" ca="1" si="39"/>
        <v>0</v>
      </c>
      <c r="AR33" s="34">
        <f t="shared" ca="1" si="39"/>
        <v>0</v>
      </c>
      <c r="AS33" s="34">
        <f t="shared" ca="1" si="39"/>
        <v>0</v>
      </c>
      <c r="AT33" s="34">
        <f t="shared" ca="1" si="39"/>
        <v>0</v>
      </c>
      <c r="AU33" s="34">
        <f t="shared" ca="1" si="39"/>
        <v>0</v>
      </c>
      <c r="AV33" s="34">
        <f t="shared" ca="1" si="39"/>
        <v>0</v>
      </c>
      <c r="AW33" s="34">
        <f t="shared" ca="1" si="39"/>
        <v>0</v>
      </c>
      <c r="AX33" s="34">
        <f t="shared" ca="1" si="39"/>
        <v>0</v>
      </c>
      <c r="AY33" s="34">
        <f t="shared" ca="1" si="39"/>
        <v>0</v>
      </c>
      <c r="AZ33" s="34">
        <f t="shared" ca="1" si="39"/>
        <v>0</v>
      </c>
      <c r="BA33" s="34">
        <f t="shared" ca="1" si="39"/>
        <v>0</v>
      </c>
      <c r="BB33" s="34">
        <f t="shared" ca="1" si="39"/>
        <v>0</v>
      </c>
      <c r="BC33" s="34">
        <f t="shared" ca="1" si="39"/>
        <v>0</v>
      </c>
      <c r="BD33" s="34">
        <f t="shared" ca="1" si="39"/>
        <v>0</v>
      </c>
      <c r="BE33" s="34">
        <f t="shared" ca="1" si="39"/>
        <v>0</v>
      </c>
      <c r="BF33" s="34">
        <f t="shared" ca="1" si="39"/>
        <v>0</v>
      </c>
      <c r="BG33" s="34">
        <f t="shared" ca="1" si="39"/>
        <v>0</v>
      </c>
      <c r="BH33" s="34">
        <f t="shared" ca="1" si="39"/>
        <v>0</v>
      </c>
      <c r="BI33" s="34">
        <f t="shared" ca="1" si="39"/>
        <v>0</v>
      </c>
      <c r="BJ33" s="34">
        <f t="shared" ca="1" si="39"/>
        <v>0</v>
      </c>
      <c r="BK33" s="34">
        <f t="shared" ca="1" si="39"/>
        <v>0</v>
      </c>
      <c r="BL33" s="34">
        <f t="shared" ca="1" si="39"/>
        <v>0</v>
      </c>
      <c r="BM33" s="34">
        <f t="shared" ca="1" si="39"/>
        <v>0</v>
      </c>
      <c r="BN33" s="34">
        <f t="shared" ca="1" si="39"/>
        <v>0</v>
      </c>
      <c r="BO33" s="34">
        <f t="shared" ca="1" si="39"/>
        <v>0</v>
      </c>
      <c r="BP33" s="34">
        <f t="shared" ref="BP33:CU33" ca="1" si="40">IF(AND(BP$4&gt;=T_ConStart,BP$4&lt;=T_Delivery,F_SeniorCommit&gt;0),MAX(F_SeniorCommit-BP29,0)*in_fin_commitment_fee_pct/12,0)+IF(AND(BP$4=T_ConStart,F_SeniorCommit&gt;0),F_SeniorCommit*in_fin_origination_fee_pct,0)</f>
        <v>0</v>
      </c>
      <c r="BQ33" s="34">
        <f t="shared" ca="1" si="40"/>
        <v>0</v>
      </c>
      <c r="BR33" s="34">
        <f t="shared" ca="1" si="40"/>
        <v>0</v>
      </c>
      <c r="BS33" s="34">
        <f t="shared" ca="1" si="40"/>
        <v>0</v>
      </c>
      <c r="BT33" s="34">
        <f t="shared" ca="1" si="40"/>
        <v>0</v>
      </c>
      <c r="BU33" s="34">
        <f t="shared" ca="1" si="40"/>
        <v>0</v>
      </c>
      <c r="BV33" s="34">
        <f t="shared" ca="1" si="40"/>
        <v>0</v>
      </c>
      <c r="BW33" s="34">
        <f t="shared" ca="1" si="40"/>
        <v>0</v>
      </c>
      <c r="BX33" s="34">
        <f t="shared" ca="1" si="40"/>
        <v>0</v>
      </c>
      <c r="BY33" s="34">
        <f t="shared" ca="1" si="40"/>
        <v>0</v>
      </c>
      <c r="BZ33" s="34">
        <f t="shared" ca="1" si="40"/>
        <v>0</v>
      </c>
      <c r="CA33" s="34">
        <f t="shared" ca="1" si="40"/>
        <v>0</v>
      </c>
      <c r="CB33" s="34">
        <f t="shared" ca="1" si="40"/>
        <v>0</v>
      </c>
      <c r="CC33" s="34">
        <f t="shared" ca="1" si="40"/>
        <v>0</v>
      </c>
      <c r="CD33" s="34">
        <f t="shared" ca="1" si="40"/>
        <v>0</v>
      </c>
      <c r="CE33" s="34">
        <f t="shared" ca="1" si="40"/>
        <v>0</v>
      </c>
      <c r="CF33" s="34">
        <f t="shared" ca="1" si="40"/>
        <v>0</v>
      </c>
      <c r="CG33" s="34">
        <f t="shared" ca="1" si="40"/>
        <v>0</v>
      </c>
      <c r="CH33" s="34">
        <f t="shared" ca="1" si="40"/>
        <v>0</v>
      </c>
      <c r="CI33" s="34">
        <f t="shared" ca="1" si="40"/>
        <v>0</v>
      </c>
      <c r="CJ33" s="34">
        <f t="shared" ca="1" si="40"/>
        <v>0</v>
      </c>
      <c r="CK33" s="34">
        <f t="shared" ca="1" si="40"/>
        <v>0</v>
      </c>
      <c r="CL33" s="34">
        <f t="shared" ca="1" si="40"/>
        <v>0</v>
      </c>
      <c r="CM33" s="34">
        <f t="shared" ca="1" si="40"/>
        <v>0</v>
      </c>
      <c r="CN33" s="34">
        <f t="shared" ca="1" si="40"/>
        <v>0</v>
      </c>
      <c r="CO33" s="34">
        <f t="shared" ca="1" si="40"/>
        <v>0</v>
      </c>
      <c r="CP33" s="34">
        <f t="shared" ca="1" si="40"/>
        <v>0</v>
      </c>
      <c r="CQ33" s="34">
        <f t="shared" ca="1" si="40"/>
        <v>0</v>
      </c>
      <c r="CR33" s="34">
        <f t="shared" ca="1" si="40"/>
        <v>0</v>
      </c>
      <c r="CS33" s="34">
        <f t="shared" ca="1" si="40"/>
        <v>0</v>
      </c>
      <c r="CT33" s="34">
        <f t="shared" ca="1" si="40"/>
        <v>0</v>
      </c>
      <c r="CU33" s="34">
        <f t="shared" ca="1" si="40"/>
        <v>0</v>
      </c>
    </row>
    <row r="34" spans="1:99" x14ac:dyDescent="0.3">
      <c r="A34" s="7" t="s">
        <v>411</v>
      </c>
      <c r="B34" s="21">
        <f t="shared" ca="1" si="34"/>
        <v>6722279.3305491153</v>
      </c>
      <c r="C34" s="11"/>
      <c r="D34" s="34">
        <f t="shared" ref="D34:AI34" ca="1" si="41">IF(AND(D$4&lt;=T_Delivery,in_fin_interest_capitalized),MIN(D30,MAX(F_SeniorCommit-D29,0)),0)</f>
        <v>0</v>
      </c>
      <c r="E34" s="34">
        <f t="shared" ca="1" si="41"/>
        <v>0</v>
      </c>
      <c r="F34" s="34">
        <f t="shared" ca="1" si="41"/>
        <v>0</v>
      </c>
      <c r="G34" s="34">
        <f t="shared" ca="1" si="41"/>
        <v>0</v>
      </c>
      <c r="H34" s="34">
        <f t="shared" ca="1" si="41"/>
        <v>0</v>
      </c>
      <c r="I34" s="34">
        <f t="shared" ca="1" si="41"/>
        <v>0</v>
      </c>
      <c r="J34" s="34">
        <f t="shared" ca="1" si="41"/>
        <v>0</v>
      </c>
      <c r="K34" s="34">
        <f t="shared" ca="1" si="41"/>
        <v>0</v>
      </c>
      <c r="L34" s="34">
        <f t="shared" ca="1" si="41"/>
        <v>0</v>
      </c>
      <c r="M34" s="34">
        <f t="shared" ca="1" si="41"/>
        <v>0</v>
      </c>
      <c r="N34" s="34">
        <f t="shared" ca="1" si="41"/>
        <v>0</v>
      </c>
      <c r="O34" s="34">
        <f t="shared" ca="1" si="41"/>
        <v>0</v>
      </c>
      <c r="P34" s="34">
        <f t="shared" ca="1" si="41"/>
        <v>0</v>
      </c>
      <c r="Q34" s="34">
        <f t="shared" ca="1" si="41"/>
        <v>0</v>
      </c>
      <c r="R34" s="34">
        <f t="shared" ca="1" si="41"/>
        <v>0</v>
      </c>
      <c r="S34" s="34">
        <f t="shared" ca="1" si="41"/>
        <v>0</v>
      </c>
      <c r="T34" s="34">
        <f t="shared" ca="1" si="41"/>
        <v>0</v>
      </c>
      <c r="U34" s="34">
        <f t="shared" ca="1" si="41"/>
        <v>0</v>
      </c>
      <c r="V34" s="34">
        <f t="shared" ca="1" si="41"/>
        <v>0</v>
      </c>
      <c r="W34" s="34">
        <f t="shared" ca="1" si="41"/>
        <v>0</v>
      </c>
      <c r="X34" s="34">
        <f t="shared" ca="1" si="41"/>
        <v>0</v>
      </c>
      <c r="Y34" s="34">
        <f t="shared" ca="1" si="41"/>
        <v>106738.3470295118</v>
      </c>
      <c r="Z34" s="34">
        <f t="shared" ca="1" si="41"/>
        <v>241845.75631132352</v>
      </c>
      <c r="AA34" s="34">
        <f t="shared" ca="1" si="41"/>
        <v>368150.70259536197</v>
      </c>
      <c r="AB34" s="34">
        <f t="shared" ca="1" si="41"/>
        <v>481282.28962603974</v>
      </c>
      <c r="AC34" s="34">
        <f t="shared" ca="1" si="41"/>
        <v>576704.65929413016</v>
      </c>
      <c r="AD34" s="34">
        <f t="shared" ca="1" si="41"/>
        <v>649685.80303559394</v>
      </c>
      <c r="AE34" s="34">
        <f t="shared" ca="1" si="41"/>
        <v>695205.09189095732</v>
      </c>
      <c r="AF34" s="34">
        <f t="shared" ca="1" si="41"/>
        <v>707738.90972204821</v>
      </c>
      <c r="AG34" s="34">
        <f t="shared" ca="1" si="41"/>
        <v>714079.07079272205</v>
      </c>
      <c r="AH34" s="34">
        <f t="shared" ca="1" si="41"/>
        <v>720476.02914222656</v>
      </c>
      <c r="AI34" s="34">
        <f t="shared" ca="1" si="41"/>
        <v>726930.29358018131</v>
      </c>
      <c r="AJ34" s="34">
        <f t="shared" ref="AJ34:BO34" ca="1" si="42">IF(AND(AJ$4&lt;=T_Delivery,in_fin_interest_capitalized),MIN(AJ30,MAX(F_SeniorCommit-AJ29,0)),0)</f>
        <v>733442.37747397588</v>
      </c>
      <c r="AK34" s="34">
        <f t="shared" si="42"/>
        <v>0</v>
      </c>
      <c r="AL34" s="34">
        <f t="shared" si="42"/>
        <v>0</v>
      </c>
      <c r="AM34" s="34">
        <f t="shared" si="42"/>
        <v>0</v>
      </c>
      <c r="AN34" s="34">
        <f t="shared" si="42"/>
        <v>0</v>
      </c>
      <c r="AO34" s="34">
        <f t="shared" si="42"/>
        <v>0</v>
      </c>
      <c r="AP34" s="34">
        <f t="shared" si="42"/>
        <v>0</v>
      </c>
      <c r="AQ34" s="34">
        <f t="shared" si="42"/>
        <v>0</v>
      </c>
      <c r="AR34" s="34">
        <f t="shared" si="42"/>
        <v>0</v>
      </c>
      <c r="AS34" s="34">
        <f t="shared" si="42"/>
        <v>0</v>
      </c>
      <c r="AT34" s="34">
        <f t="shared" si="42"/>
        <v>0</v>
      </c>
      <c r="AU34" s="34">
        <f t="shared" si="42"/>
        <v>0</v>
      </c>
      <c r="AV34" s="34">
        <f t="shared" si="42"/>
        <v>0</v>
      </c>
      <c r="AW34" s="34">
        <f t="shared" si="42"/>
        <v>0</v>
      </c>
      <c r="AX34" s="34">
        <f t="shared" si="42"/>
        <v>0</v>
      </c>
      <c r="AY34" s="34">
        <f t="shared" si="42"/>
        <v>0</v>
      </c>
      <c r="AZ34" s="34">
        <f t="shared" si="42"/>
        <v>0</v>
      </c>
      <c r="BA34" s="34">
        <f t="shared" si="42"/>
        <v>0</v>
      </c>
      <c r="BB34" s="34">
        <f t="shared" si="42"/>
        <v>0</v>
      </c>
      <c r="BC34" s="34">
        <f t="shared" si="42"/>
        <v>0</v>
      </c>
      <c r="BD34" s="34">
        <f t="shared" si="42"/>
        <v>0</v>
      </c>
      <c r="BE34" s="34">
        <f t="shared" si="42"/>
        <v>0</v>
      </c>
      <c r="BF34" s="34">
        <f t="shared" si="42"/>
        <v>0</v>
      </c>
      <c r="BG34" s="34">
        <f t="shared" si="42"/>
        <v>0</v>
      </c>
      <c r="BH34" s="34">
        <f t="shared" si="42"/>
        <v>0</v>
      </c>
      <c r="BI34" s="34">
        <f t="shared" si="42"/>
        <v>0</v>
      </c>
      <c r="BJ34" s="34">
        <f t="shared" si="42"/>
        <v>0</v>
      </c>
      <c r="BK34" s="34">
        <f t="shared" si="42"/>
        <v>0</v>
      </c>
      <c r="BL34" s="34">
        <f t="shared" si="42"/>
        <v>0</v>
      </c>
      <c r="BM34" s="34">
        <f t="shared" si="42"/>
        <v>0</v>
      </c>
      <c r="BN34" s="34">
        <f t="shared" si="42"/>
        <v>0</v>
      </c>
      <c r="BO34" s="34">
        <f t="shared" si="42"/>
        <v>0</v>
      </c>
      <c r="BP34" s="34">
        <f t="shared" ref="BP34:CU34" si="43">IF(AND(BP$4&lt;=T_Delivery,in_fin_interest_capitalized),MIN(BP30,MAX(F_SeniorCommit-BP29,0)),0)</f>
        <v>0</v>
      </c>
      <c r="BQ34" s="34">
        <f t="shared" si="43"/>
        <v>0</v>
      </c>
      <c r="BR34" s="34">
        <f t="shared" si="43"/>
        <v>0</v>
      </c>
      <c r="BS34" s="34">
        <f t="shared" si="43"/>
        <v>0</v>
      </c>
      <c r="BT34" s="34">
        <f t="shared" si="43"/>
        <v>0</v>
      </c>
      <c r="BU34" s="34">
        <f t="shared" si="43"/>
        <v>0</v>
      </c>
      <c r="BV34" s="34">
        <f t="shared" si="43"/>
        <v>0</v>
      </c>
      <c r="BW34" s="34">
        <f t="shared" si="43"/>
        <v>0</v>
      </c>
      <c r="BX34" s="34">
        <f t="shared" si="43"/>
        <v>0</v>
      </c>
      <c r="BY34" s="34">
        <f t="shared" si="43"/>
        <v>0</v>
      </c>
      <c r="BZ34" s="34">
        <f t="shared" si="43"/>
        <v>0</v>
      </c>
      <c r="CA34" s="34">
        <f t="shared" si="43"/>
        <v>0</v>
      </c>
      <c r="CB34" s="34">
        <f t="shared" si="43"/>
        <v>0</v>
      </c>
      <c r="CC34" s="34">
        <f t="shared" si="43"/>
        <v>0</v>
      </c>
      <c r="CD34" s="34">
        <f t="shared" si="43"/>
        <v>0</v>
      </c>
      <c r="CE34" s="34">
        <f t="shared" si="43"/>
        <v>0</v>
      </c>
      <c r="CF34" s="34">
        <f t="shared" si="43"/>
        <v>0</v>
      </c>
      <c r="CG34" s="34">
        <f t="shared" si="43"/>
        <v>0</v>
      </c>
      <c r="CH34" s="34">
        <f t="shared" si="43"/>
        <v>0</v>
      </c>
      <c r="CI34" s="34">
        <f t="shared" si="43"/>
        <v>0</v>
      </c>
      <c r="CJ34" s="34">
        <f t="shared" si="43"/>
        <v>0</v>
      </c>
      <c r="CK34" s="34">
        <f t="shared" si="43"/>
        <v>0</v>
      </c>
      <c r="CL34" s="34">
        <f t="shared" si="43"/>
        <v>0</v>
      </c>
      <c r="CM34" s="34">
        <f t="shared" si="43"/>
        <v>0</v>
      </c>
      <c r="CN34" s="34">
        <f t="shared" si="43"/>
        <v>0</v>
      </c>
      <c r="CO34" s="34">
        <f t="shared" si="43"/>
        <v>0</v>
      </c>
      <c r="CP34" s="34">
        <f t="shared" si="43"/>
        <v>0</v>
      </c>
      <c r="CQ34" s="34">
        <f t="shared" si="43"/>
        <v>0</v>
      </c>
      <c r="CR34" s="34">
        <f t="shared" si="43"/>
        <v>0</v>
      </c>
      <c r="CS34" s="34">
        <f t="shared" si="43"/>
        <v>0</v>
      </c>
      <c r="CT34" s="34">
        <f t="shared" si="43"/>
        <v>0</v>
      </c>
      <c r="CU34" s="34">
        <f t="shared" si="43"/>
        <v>0</v>
      </c>
    </row>
    <row r="35" spans="1:99" x14ac:dyDescent="0.3">
      <c r="A35" s="7" t="s">
        <v>412</v>
      </c>
      <c r="B35" s="21">
        <f t="shared" ca="1" si="34"/>
        <v>0</v>
      </c>
      <c r="C35" s="11"/>
      <c r="D35" s="34">
        <f t="shared" ref="D35:AI35" ca="1" si="44">IF(AND(D$4&lt;=T_Delivery,in_fin_interest_capitalized),MIN(D32,MAX(F_MezzCommit-D31,0)),0)</f>
        <v>0</v>
      </c>
      <c r="E35" s="34">
        <f t="shared" ca="1" si="44"/>
        <v>0</v>
      </c>
      <c r="F35" s="34">
        <f t="shared" ca="1" si="44"/>
        <v>0</v>
      </c>
      <c r="G35" s="34">
        <f t="shared" ca="1" si="44"/>
        <v>0</v>
      </c>
      <c r="H35" s="34">
        <f t="shared" ca="1" si="44"/>
        <v>0</v>
      </c>
      <c r="I35" s="34">
        <f t="shared" ca="1" si="44"/>
        <v>0</v>
      </c>
      <c r="J35" s="34">
        <f t="shared" ca="1" si="44"/>
        <v>0</v>
      </c>
      <c r="K35" s="34">
        <f t="shared" ca="1" si="44"/>
        <v>0</v>
      </c>
      <c r="L35" s="34">
        <f t="shared" ca="1" si="44"/>
        <v>0</v>
      </c>
      <c r="M35" s="34">
        <f t="shared" ca="1" si="44"/>
        <v>0</v>
      </c>
      <c r="N35" s="34">
        <f t="shared" ca="1" si="44"/>
        <v>0</v>
      </c>
      <c r="O35" s="34">
        <f t="shared" ca="1" si="44"/>
        <v>0</v>
      </c>
      <c r="P35" s="34">
        <f t="shared" ca="1" si="44"/>
        <v>0</v>
      </c>
      <c r="Q35" s="34">
        <f t="shared" ca="1" si="44"/>
        <v>0</v>
      </c>
      <c r="R35" s="34">
        <f t="shared" ca="1" si="44"/>
        <v>0</v>
      </c>
      <c r="S35" s="34">
        <f t="shared" ca="1" si="44"/>
        <v>0</v>
      </c>
      <c r="T35" s="34">
        <f t="shared" ca="1" si="44"/>
        <v>0</v>
      </c>
      <c r="U35" s="34">
        <f t="shared" ca="1" si="44"/>
        <v>0</v>
      </c>
      <c r="V35" s="34">
        <f t="shared" ca="1" si="44"/>
        <v>0</v>
      </c>
      <c r="W35" s="34">
        <f t="shared" ca="1" si="44"/>
        <v>0</v>
      </c>
      <c r="X35" s="34">
        <f t="shared" ca="1" si="44"/>
        <v>0</v>
      </c>
      <c r="Y35" s="34">
        <f t="shared" ca="1" si="44"/>
        <v>0</v>
      </c>
      <c r="Z35" s="34">
        <f t="shared" ca="1" si="44"/>
        <v>0</v>
      </c>
      <c r="AA35" s="34">
        <f t="shared" ca="1" si="44"/>
        <v>0</v>
      </c>
      <c r="AB35" s="34">
        <f t="shared" ca="1" si="44"/>
        <v>0</v>
      </c>
      <c r="AC35" s="34">
        <f t="shared" ca="1" si="44"/>
        <v>0</v>
      </c>
      <c r="AD35" s="34">
        <f t="shared" ca="1" si="44"/>
        <v>0</v>
      </c>
      <c r="AE35" s="34">
        <f t="shared" ca="1" si="44"/>
        <v>0</v>
      </c>
      <c r="AF35" s="34">
        <f t="shared" ca="1" si="44"/>
        <v>0</v>
      </c>
      <c r="AG35" s="34">
        <f t="shared" ca="1" si="44"/>
        <v>0</v>
      </c>
      <c r="AH35" s="34">
        <f t="shared" ca="1" si="44"/>
        <v>0</v>
      </c>
      <c r="AI35" s="34">
        <f t="shared" ca="1" si="44"/>
        <v>0</v>
      </c>
      <c r="AJ35" s="34">
        <f t="shared" ref="AJ35:BO35" ca="1" si="45">IF(AND(AJ$4&lt;=T_Delivery,in_fin_interest_capitalized),MIN(AJ32,MAX(F_MezzCommit-AJ31,0)),0)</f>
        <v>0</v>
      </c>
      <c r="AK35" s="34">
        <f t="shared" si="45"/>
        <v>0</v>
      </c>
      <c r="AL35" s="34">
        <f t="shared" si="45"/>
        <v>0</v>
      </c>
      <c r="AM35" s="34">
        <f t="shared" si="45"/>
        <v>0</v>
      </c>
      <c r="AN35" s="34">
        <f t="shared" si="45"/>
        <v>0</v>
      </c>
      <c r="AO35" s="34">
        <f t="shared" si="45"/>
        <v>0</v>
      </c>
      <c r="AP35" s="34">
        <f t="shared" si="45"/>
        <v>0</v>
      </c>
      <c r="AQ35" s="34">
        <f t="shared" si="45"/>
        <v>0</v>
      </c>
      <c r="AR35" s="34">
        <f t="shared" si="45"/>
        <v>0</v>
      </c>
      <c r="AS35" s="34">
        <f t="shared" si="45"/>
        <v>0</v>
      </c>
      <c r="AT35" s="34">
        <f t="shared" si="45"/>
        <v>0</v>
      </c>
      <c r="AU35" s="34">
        <f t="shared" si="45"/>
        <v>0</v>
      </c>
      <c r="AV35" s="34">
        <f t="shared" si="45"/>
        <v>0</v>
      </c>
      <c r="AW35" s="34">
        <f t="shared" si="45"/>
        <v>0</v>
      </c>
      <c r="AX35" s="34">
        <f t="shared" si="45"/>
        <v>0</v>
      </c>
      <c r="AY35" s="34">
        <f t="shared" si="45"/>
        <v>0</v>
      </c>
      <c r="AZ35" s="34">
        <f t="shared" si="45"/>
        <v>0</v>
      </c>
      <c r="BA35" s="34">
        <f t="shared" si="45"/>
        <v>0</v>
      </c>
      <c r="BB35" s="34">
        <f t="shared" si="45"/>
        <v>0</v>
      </c>
      <c r="BC35" s="34">
        <f t="shared" si="45"/>
        <v>0</v>
      </c>
      <c r="BD35" s="34">
        <f t="shared" si="45"/>
        <v>0</v>
      </c>
      <c r="BE35" s="34">
        <f t="shared" si="45"/>
        <v>0</v>
      </c>
      <c r="BF35" s="34">
        <f t="shared" si="45"/>
        <v>0</v>
      </c>
      <c r="BG35" s="34">
        <f t="shared" si="45"/>
        <v>0</v>
      </c>
      <c r="BH35" s="34">
        <f t="shared" si="45"/>
        <v>0</v>
      </c>
      <c r="BI35" s="34">
        <f t="shared" si="45"/>
        <v>0</v>
      </c>
      <c r="BJ35" s="34">
        <f t="shared" si="45"/>
        <v>0</v>
      </c>
      <c r="BK35" s="34">
        <f t="shared" si="45"/>
        <v>0</v>
      </c>
      <c r="BL35" s="34">
        <f t="shared" si="45"/>
        <v>0</v>
      </c>
      <c r="BM35" s="34">
        <f t="shared" si="45"/>
        <v>0</v>
      </c>
      <c r="BN35" s="34">
        <f t="shared" si="45"/>
        <v>0</v>
      </c>
      <c r="BO35" s="34">
        <f t="shared" si="45"/>
        <v>0</v>
      </c>
      <c r="BP35" s="34">
        <f t="shared" ref="BP35:CU35" si="46">IF(AND(BP$4&lt;=T_Delivery,in_fin_interest_capitalized),MIN(BP32,MAX(F_MezzCommit-BP31,0)),0)</f>
        <v>0</v>
      </c>
      <c r="BQ35" s="34">
        <f t="shared" si="46"/>
        <v>0</v>
      </c>
      <c r="BR35" s="34">
        <f t="shared" si="46"/>
        <v>0</v>
      </c>
      <c r="BS35" s="34">
        <f t="shared" si="46"/>
        <v>0</v>
      </c>
      <c r="BT35" s="34">
        <f t="shared" si="46"/>
        <v>0</v>
      </c>
      <c r="BU35" s="34">
        <f t="shared" si="46"/>
        <v>0</v>
      </c>
      <c r="BV35" s="34">
        <f t="shared" si="46"/>
        <v>0</v>
      </c>
      <c r="BW35" s="34">
        <f t="shared" si="46"/>
        <v>0</v>
      </c>
      <c r="BX35" s="34">
        <f t="shared" si="46"/>
        <v>0</v>
      </c>
      <c r="BY35" s="34">
        <f t="shared" si="46"/>
        <v>0</v>
      </c>
      <c r="BZ35" s="34">
        <f t="shared" si="46"/>
        <v>0</v>
      </c>
      <c r="CA35" s="34">
        <f t="shared" si="46"/>
        <v>0</v>
      </c>
      <c r="CB35" s="34">
        <f t="shared" si="46"/>
        <v>0</v>
      </c>
      <c r="CC35" s="34">
        <f t="shared" si="46"/>
        <v>0</v>
      </c>
      <c r="CD35" s="34">
        <f t="shared" si="46"/>
        <v>0</v>
      </c>
      <c r="CE35" s="34">
        <f t="shared" si="46"/>
        <v>0</v>
      </c>
      <c r="CF35" s="34">
        <f t="shared" si="46"/>
        <v>0</v>
      </c>
      <c r="CG35" s="34">
        <f t="shared" si="46"/>
        <v>0</v>
      </c>
      <c r="CH35" s="34">
        <f t="shared" si="46"/>
        <v>0</v>
      </c>
      <c r="CI35" s="34">
        <f t="shared" si="46"/>
        <v>0</v>
      </c>
      <c r="CJ35" s="34">
        <f t="shared" si="46"/>
        <v>0</v>
      </c>
      <c r="CK35" s="34">
        <f t="shared" si="46"/>
        <v>0</v>
      </c>
      <c r="CL35" s="34">
        <f t="shared" si="46"/>
        <v>0</v>
      </c>
      <c r="CM35" s="34">
        <f t="shared" si="46"/>
        <v>0</v>
      </c>
      <c r="CN35" s="34">
        <f t="shared" si="46"/>
        <v>0</v>
      </c>
      <c r="CO35" s="34">
        <f t="shared" si="46"/>
        <v>0</v>
      </c>
      <c r="CP35" s="34">
        <f t="shared" si="46"/>
        <v>0</v>
      </c>
      <c r="CQ35" s="34">
        <f t="shared" si="46"/>
        <v>0</v>
      </c>
      <c r="CR35" s="34">
        <f t="shared" si="46"/>
        <v>0</v>
      </c>
      <c r="CS35" s="34">
        <f t="shared" si="46"/>
        <v>0</v>
      </c>
      <c r="CT35" s="34">
        <f t="shared" si="46"/>
        <v>0</v>
      </c>
      <c r="CU35" s="34">
        <f t="shared" si="46"/>
        <v>0</v>
      </c>
    </row>
    <row r="36" spans="1:99" x14ac:dyDescent="0.3">
      <c r="A36" s="7" t="s">
        <v>413</v>
      </c>
      <c r="B36" s="21">
        <f t="shared" ca="1" si="34"/>
        <v>0</v>
      </c>
      <c r="C36" s="11"/>
      <c r="D36" s="34">
        <f t="shared" ref="D36:AI36" ca="1" si="47">D30+D32-D34-D35</f>
        <v>0</v>
      </c>
      <c r="E36" s="34">
        <f t="shared" ca="1" si="47"/>
        <v>0</v>
      </c>
      <c r="F36" s="34">
        <f t="shared" ca="1" si="47"/>
        <v>0</v>
      </c>
      <c r="G36" s="34">
        <f t="shared" ca="1" si="47"/>
        <v>0</v>
      </c>
      <c r="H36" s="34">
        <f t="shared" ca="1" si="47"/>
        <v>0</v>
      </c>
      <c r="I36" s="34">
        <f t="shared" ca="1" si="47"/>
        <v>0</v>
      </c>
      <c r="J36" s="34">
        <f t="shared" ca="1" si="47"/>
        <v>0</v>
      </c>
      <c r="K36" s="34">
        <f t="shared" ca="1" si="47"/>
        <v>0</v>
      </c>
      <c r="L36" s="34">
        <f t="shared" ca="1" si="47"/>
        <v>0</v>
      </c>
      <c r="M36" s="34">
        <f t="shared" ca="1" si="47"/>
        <v>0</v>
      </c>
      <c r="N36" s="34">
        <f t="shared" ca="1" si="47"/>
        <v>0</v>
      </c>
      <c r="O36" s="34">
        <f t="shared" ca="1" si="47"/>
        <v>0</v>
      </c>
      <c r="P36" s="34">
        <f t="shared" ca="1" si="47"/>
        <v>0</v>
      </c>
      <c r="Q36" s="34">
        <f t="shared" ca="1" si="47"/>
        <v>0</v>
      </c>
      <c r="R36" s="34">
        <f t="shared" ca="1" si="47"/>
        <v>0</v>
      </c>
      <c r="S36" s="34">
        <f t="shared" ca="1" si="47"/>
        <v>0</v>
      </c>
      <c r="T36" s="34">
        <f t="shared" ca="1" si="47"/>
        <v>0</v>
      </c>
      <c r="U36" s="34">
        <f t="shared" ca="1" si="47"/>
        <v>0</v>
      </c>
      <c r="V36" s="34">
        <f t="shared" ca="1" si="47"/>
        <v>0</v>
      </c>
      <c r="W36" s="34">
        <f t="shared" ca="1" si="47"/>
        <v>0</v>
      </c>
      <c r="X36" s="34">
        <f t="shared" ca="1" si="47"/>
        <v>0</v>
      </c>
      <c r="Y36" s="34">
        <f t="shared" ca="1" si="47"/>
        <v>0</v>
      </c>
      <c r="Z36" s="34">
        <f t="shared" ca="1" si="47"/>
        <v>0</v>
      </c>
      <c r="AA36" s="34">
        <f t="shared" ca="1" si="47"/>
        <v>0</v>
      </c>
      <c r="AB36" s="34">
        <f t="shared" ca="1" si="47"/>
        <v>0</v>
      </c>
      <c r="AC36" s="34">
        <f t="shared" ca="1" si="47"/>
        <v>0</v>
      </c>
      <c r="AD36" s="34">
        <f t="shared" ca="1" si="47"/>
        <v>0</v>
      </c>
      <c r="AE36" s="34">
        <f t="shared" ca="1" si="47"/>
        <v>0</v>
      </c>
      <c r="AF36" s="34">
        <f t="shared" ca="1" si="47"/>
        <v>0</v>
      </c>
      <c r="AG36" s="34">
        <f t="shared" ca="1" si="47"/>
        <v>0</v>
      </c>
      <c r="AH36" s="34">
        <f t="shared" ca="1" si="47"/>
        <v>0</v>
      </c>
      <c r="AI36" s="34">
        <f t="shared" ca="1" si="47"/>
        <v>0</v>
      </c>
      <c r="AJ36" s="34">
        <f t="shared" ref="AJ36:BO36" ca="1" si="48">AJ30+AJ32-AJ34-AJ35</f>
        <v>0</v>
      </c>
      <c r="AK36" s="34">
        <f t="shared" si="48"/>
        <v>0</v>
      </c>
      <c r="AL36" s="34">
        <f t="shared" ca="1" si="48"/>
        <v>0</v>
      </c>
      <c r="AM36" s="34">
        <f t="shared" ca="1" si="48"/>
        <v>0</v>
      </c>
      <c r="AN36" s="34">
        <f t="shared" ca="1" si="48"/>
        <v>0</v>
      </c>
      <c r="AO36" s="34">
        <f t="shared" ca="1" si="48"/>
        <v>0</v>
      </c>
      <c r="AP36" s="34">
        <f t="shared" ca="1" si="48"/>
        <v>0</v>
      </c>
      <c r="AQ36" s="34">
        <f t="shared" ca="1" si="48"/>
        <v>0</v>
      </c>
      <c r="AR36" s="34">
        <f t="shared" ca="1" si="48"/>
        <v>0</v>
      </c>
      <c r="AS36" s="34">
        <f t="shared" ca="1" si="48"/>
        <v>0</v>
      </c>
      <c r="AT36" s="34">
        <f t="shared" ca="1" si="48"/>
        <v>0</v>
      </c>
      <c r="AU36" s="34">
        <f t="shared" ca="1" si="48"/>
        <v>0</v>
      </c>
      <c r="AV36" s="34">
        <f t="shared" ca="1" si="48"/>
        <v>0</v>
      </c>
      <c r="AW36" s="34">
        <f t="shared" ca="1" si="48"/>
        <v>0</v>
      </c>
      <c r="AX36" s="34">
        <f t="shared" ca="1" si="48"/>
        <v>0</v>
      </c>
      <c r="AY36" s="34">
        <f t="shared" ca="1" si="48"/>
        <v>0</v>
      </c>
      <c r="AZ36" s="34">
        <f t="shared" ca="1" si="48"/>
        <v>0</v>
      </c>
      <c r="BA36" s="34">
        <f t="shared" ca="1" si="48"/>
        <v>0</v>
      </c>
      <c r="BB36" s="34">
        <f t="shared" ca="1" si="48"/>
        <v>0</v>
      </c>
      <c r="BC36" s="34">
        <f t="shared" ca="1" si="48"/>
        <v>0</v>
      </c>
      <c r="BD36" s="34">
        <f t="shared" ca="1" si="48"/>
        <v>0</v>
      </c>
      <c r="BE36" s="34">
        <f t="shared" ca="1" si="48"/>
        <v>0</v>
      </c>
      <c r="BF36" s="34">
        <f t="shared" ca="1" si="48"/>
        <v>0</v>
      </c>
      <c r="BG36" s="34">
        <f t="shared" ca="1" si="48"/>
        <v>0</v>
      </c>
      <c r="BH36" s="34">
        <f t="shared" ca="1" si="48"/>
        <v>0</v>
      </c>
      <c r="BI36" s="34">
        <f t="shared" ca="1" si="48"/>
        <v>0</v>
      </c>
      <c r="BJ36" s="34">
        <f t="shared" ca="1" si="48"/>
        <v>0</v>
      </c>
      <c r="BK36" s="34">
        <f t="shared" ca="1" si="48"/>
        <v>0</v>
      </c>
      <c r="BL36" s="34">
        <f t="shared" ca="1" si="48"/>
        <v>0</v>
      </c>
      <c r="BM36" s="34">
        <f t="shared" ca="1" si="48"/>
        <v>0</v>
      </c>
      <c r="BN36" s="34">
        <f t="shared" ca="1" si="48"/>
        <v>0</v>
      </c>
      <c r="BO36" s="34">
        <f t="shared" ca="1" si="48"/>
        <v>0</v>
      </c>
      <c r="BP36" s="34">
        <f t="shared" ref="BP36:CU36" ca="1" si="49">BP30+BP32-BP34-BP35</f>
        <v>0</v>
      </c>
      <c r="BQ36" s="34">
        <f t="shared" ca="1" si="49"/>
        <v>0</v>
      </c>
      <c r="BR36" s="34">
        <f t="shared" ca="1" si="49"/>
        <v>0</v>
      </c>
      <c r="BS36" s="34">
        <f t="shared" ca="1" si="49"/>
        <v>0</v>
      </c>
      <c r="BT36" s="34">
        <f t="shared" ca="1" si="49"/>
        <v>0</v>
      </c>
      <c r="BU36" s="34">
        <f t="shared" ca="1" si="49"/>
        <v>0</v>
      </c>
      <c r="BV36" s="34">
        <f t="shared" ca="1" si="49"/>
        <v>0</v>
      </c>
      <c r="BW36" s="34">
        <f t="shared" ca="1" si="49"/>
        <v>0</v>
      </c>
      <c r="BX36" s="34">
        <f t="shared" ca="1" si="49"/>
        <v>0</v>
      </c>
      <c r="BY36" s="34">
        <f t="shared" ca="1" si="49"/>
        <v>0</v>
      </c>
      <c r="BZ36" s="34">
        <f t="shared" ca="1" si="49"/>
        <v>0</v>
      </c>
      <c r="CA36" s="34">
        <f t="shared" ca="1" si="49"/>
        <v>0</v>
      </c>
      <c r="CB36" s="34">
        <f t="shared" ca="1" si="49"/>
        <v>0</v>
      </c>
      <c r="CC36" s="34">
        <f t="shared" ca="1" si="49"/>
        <v>0</v>
      </c>
      <c r="CD36" s="34">
        <f t="shared" ca="1" si="49"/>
        <v>0</v>
      </c>
      <c r="CE36" s="34">
        <f t="shared" ca="1" si="49"/>
        <v>0</v>
      </c>
      <c r="CF36" s="34">
        <f t="shared" ca="1" si="49"/>
        <v>0</v>
      </c>
      <c r="CG36" s="34">
        <f t="shared" ca="1" si="49"/>
        <v>0</v>
      </c>
      <c r="CH36" s="34">
        <f t="shared" ca="1" si="49"/>
        <v>0</v>
      </c>
      <c r="CI36" s="34">
        <f t="shared" ca="1" si="49"/>
        <v>0</v>
      </c>
      <c r="CJ36" s="34">
        <f t="shared" ca="1" si="49"/>
        <v>0</v>
      </c>
      <c r="CK36" s="34">
        <f t="shared" ca="1" si="49"/>
        <v>0</v>
      </c>
      <c r="CL36" s="34">
        <f t="shared" ca="1" si="49"/>
        <v>0</v>
      </c>
      <c r="CM36" s="34">
        <f t="shared" ca="1" si="49"/>
        <v>0</v>
      </c>
      <c r="CN36" s="34">
        <f t="shared" ca="1" si="49"/>
        <v>0</v>
      </c>
      <c r="CO36" s="34">
        <f t="shared" ca="1" si="49"/>
        <v>0</v>
      </c>
      <c r="CP36" s="34">
        <f t="shared" ca="1" si="49"/>
        <v>0</v>
      </c>
      <c r="CQ36" s="34">
        <f t="shared" ca="1" si="49"/>
        <v>0</v>
      </c>
      <c r="CR36" s="34">
        <f t="shared" ca="1" si="49"/>
        <v>0</v>
      </c>
      <c r="CS36" s="34">
        <f t="shared" ca="1" si="49"/>
        <v>0</v>
      </c>
      <c r="CT36" s="34">
        <f t="shared" ca="1" si="49"/>
        <v>0</v>
      </c>
      <c r="CU36" s="34">
        <f t="shared" ca="1" si="49"/>
        <v>0</v>
      </c>
    </row>
    <row r="37" spans="1:99" x14ac:dyDescent="0.3">
      <c r="A37" s="7" t="s">
        <v>414</v>
      </c>
      <c r="B37" s="21">
        <f t="shared" ca="1" si="34"/>
        <v>0</v>
      </c>
      <c r="C37" s="11"/>
      <c r="D37" s="34">
        <f t="shared" ref="D37:AI37" si="50">IF(AND(in_mode_sale=0,D$4&gt;T_Delivery,D29&gt;0,N(in_fin_amortization_years)&gt;0),MIN(F_AmortPrincipal,D29),0)</f>
        <v>0</v>
      </c>
      <c r="E37" s="34">
        <f t="shared" ca="1" si="50"/>
        <v>0</v>
      </c>
      <c r="F37" s="34">
        <f t="shared" ca="1" si="50"/>
        <v>0</v>
      </c>
      <c r="G37" s="34">
        <f t="shared" ca="1" si="50"/>
        <v>0</v>
      </c>
      <c r="H37" s="34">
        <f t="shared" ca="1" si="50"/>
        <v>0</v>
      </c>
      <c r="I37" s="34">
        <f t="shared" ca="1" si="50"/>
        <v>0</v>
      </c>
      <c r="J37" s="34">
        <f t="shared" ca="1" si="50"/>
        <v>0</v>
      </c>
      <c r="K37" s="34">
        <f t="shared" ca="1" si="50"/>
        <v>0</v>
      </c>
      <c r="L37" s="34">
        <f t="shared" ca="1" si="50"/>
        <v>0</v>
      </c>
      <c r="M37" s="34">
        <f t="shared" ca="1" si="50"/>
        <v>0</v>
      </c>
      <c r="N37" s="34">
        <f t="shared" ca="1" si="50"/>
        <v>0</v>
      </c>
      <c r="O37" s="34">
        <f t="shared" ca="1" si="50"/>
        <v>0</v>
      </c>
      <c r="P37" s="34">
        <f t="shared" ca="1" si="50"/>
        <v>0</v>
      </c>
      <c r="Q37" s="34">
        <f t="shared" ca="1" si="50"/>
        <v>0</v>
      </c>
      <c r="R37" s="34">
        <f t="shared" ca="1" si="50"/>
        <v>0</v>
      </c>
      <c r="S37" s="34">
        <f t="shared" ca="1" si="50"/>
        <v>0</v>
      </c>
      <c r="T37" s="34">
        <f t="shared" ca="1" si="50"/>
        <v>0</v>
      </c>
      <c r="U37" s="34">
        <f t="shared" ca="1" si="50"/>
        <v>0</v>
      </c>
      <c r="V37" s="34">
        <f t="shared" ca="1" si="50"/>
        <v>0</v>
      </c>
      <c r="W37" s="34">
        <f t="shared" ca="1" si="50"/>
        <v>0</v>
      </c>
      <c r="X37" s="34">
        <f t="shared" ca="1" si="50"/>
        <v>0</v>
      </c>
      <c r="Y37" s="34">
        <f t="shared" ca="1" si="50"/>
        <v>0</v>
      </c>
      <c r="Z37" s="34">
        <f t="shared" ca="1" si="50"/>
        <v>0</v>
      </c>
      <c r="AA37" s="34">
        <f t="shared" ca="1" si="50"/>
        <v>0</v>
      </c>
      <c r="AB37" s="34">
        <f t="shared" ca="1" si="50"/>
        <v>0</v>
      </c>
      <c r="AC37" s="34">
        <f t="shared" ca="1" si="50"/>
        <v>0</v>
      </c>
      <c r="AD37" s="34">
        <f t="shared" ca="1" si="50"/>
        <v>0</v>
      </c>
      <c r="AE37" s="34">
        <f t="shared" ca="1" si="50"/>
        <v>0</v>
      </c>
      <c r="AF37" s="34">
        <f t="shared" ca="1" si="50"/>
        <v>0</v>
      </c>
      <c r="AG37" s="34">
        <f t="shared" ca="1" si="50"/>
        <v>0</v>
      </c>
      <c r="AH37" s="34">
        <f t="shared" ca="1" si="50"/>
        <v>0</v>
      </c>
      <c r="AI37" s="34">
        <f t="shared" ca="1" si="50"/>
        <v>0</v>
      </c>
      <c r="AJ37" s="34">
        <f t="shared" ref="AJ37:BO37" ca="1" si="51">IF(AND(in_mode_sale=0,AJ$4&gt;T_Delivery,AJ29&gt;0,N(in_fin_amortization_years)&gt;0),MIN(F_AmortPrincipal,AJ29),0)</f>
        <v>0</v>
      </c>
      <c r="AK37" s="34">
        <f t="shared" si="51"/>
        <v>0</v>
      </c>
      <c r="AL37" s="34">
        <f t="shared" ca="1" si="51"/>
        <v>0</v>
      </c>
      <c r="AM37" s="34">
        <f t="shared" ca="1" si="51"/>
        <v>0</v>
      </c>
      <c r="AN37" s="34">
        <f t="shared" ca="1" si="51"/>
        <v>0</v>
      </c>
      <c r="AO37" s="34">
        <f t="shared" ca="1" si="51"/>
        <v>0</v>
      </c>
      <c r="AP37" s="34">
        <f t="shared" ca="1" si="51"/>
        <v>0</v>
      </c>
      <c r="AQ37" s="34">
        <f t="shared" ca="1" si="51"/>
        <v>0</v>
      </c>
      <c r="AR37" s="34">
        <f t="shared" ca="1" si="51"/>
        <v>0</v>
      </c>
      <c r="AS37" s="34">
        <f t="shared" ca="1" si="51"/>
        <v>0</v>
      </c>
      <c r="AT37" s="34">
        <f t="shared" ca="1" si="51"/>
        <v>0</v>
      </c>
      <c r="AU37" s="34">
        <f t="shared" ca="1" si="51"/>
        <v>0</v>
      </c>
      <c r="AV37" s="34">
        <f t="shared" ca="1" si="51"/>
        <v>0</v>
      </c>
      <c r="AW37" s="34">
        <f t="shared" ca="1" si="51"/>
        <v>0</v>
      </c>
      <c r="AX37" s="34">
        <f t="shared" ca="1" si="51"/>
        <v>0</v>
      </c>
      <c r="AY37" s="34">
        <f t="shared" ca="1" si="51"/>
        <v>0</v>
      </c>
      <c r="AZ37" s="34">
        <f t="shared" ca="1" si="51"/>
        <v>0</v>
      </c>
      <c r="BA37" s="34">
        <f t="shared" ca="1" si="51"/>
        <v>0</v>
      </c>
      <c r="BB37" s="34">
        <f t="shared" ca="1" si="51"/>
        <v>0</v>
      </c>
      <c r="BC37" s="34">
        <f t="shared" ca="1" si="51"/>
        <v>0</v>
      </c>
      <c r="BD37" s="34">
        <f t="shared" ca="1" si="51"/>
        <v>0</v>
      </c>
      <c r="BE37" s="34">
        <f t="shared" ca="1" si="51"/>
        <v>0</v>
      </c>
      <c r="BF37" s="34">
        <f t="shared" ca="1" si="51"/>
        <v>0</v>
      </c>
      <c r="BG37" s="34">
        <f t="shared" ca="1" si="51"/>
        <v>0</v>
      </c>
      <c r="BH37" s="34">
        <f t="shared" ca="1" si="51"/>
        <v>0</v>
      </c>
      <c r="BI37" s="34">
        <f t="shared" ca="1" si="51"/>
        <v>0</v>
      </c>
      <c r="BJ37" s="34">
        <f t="shared" ca="1" si="51"/>
        <v>0</v>
      </c>
      <c r="BK37" s="34">
        <f t="shared" ca="1" si="51"/>
        <v>0</v>
      </c>
      <c r="BL37" s="34">
        <f t="shared" ca="1" si="51"/>
        <v>0</v>
      </c>
      <c r="BM37" s="34">
        <f t="shared" ca="1" si="51"/>
        <v>0</v>
      </c>
      <c r="BN37" s="34">
        <f t="shared" ca="1" si="51"/>
        <v>0</v>
      </c>
      <c r="BO37" s="34">
        <f t="shared" ca="1" si="51"/>
        <v>0</v>
      </c>
      <c r="BP37" s="34">
        <f t="shared" ref="BP37:CU37" ca="1" si="52">IF(AND(in_mode_sale=0,BP$4&gt;T_Delivery,BP29&gt;0,N(in_fin_amortization_years)&gt;0),MIN(F_AmortPrincipal,BP29),0)</f>
        <v>0</v>
      </c>
      <c r="BQ37" s="34">
        <f t="shared" ca="1" si="52"/>
        <v>0</v>
      </c>
      <c r="BR37" s="34">
        <f t="shared" ca="1" si="52"/>
        <v>0</v>
      </c>
      <c r="BS37" s="34">
        <f t="shared" ca="1" si="52"/>
        <v>0</v>
      </c>
      <c r="BT37" s="34">
        <f t="shared" ca="1" si="52"/>
        <v>0</v>
      </c>
      <c r="BU37" s="34">
        <f t="shared" ca="1" si="52"/>
        <v>0</v>
      </c>
      <c r="BV37" s="34">
        <f t="shared" ca="1" si="52"/>
        <v>0</v>
      </c>
      <c r="BW37" s="34">
        <f t="shared" ca="1" si="52"/>
        <v>0</v>
      </c>
      <c r="BX37" s="34">
        <f t="shared" ca="1" si="52"/>
        <v>0</v>
      </c>
      <c r="BY37" s="34">
        <f t="shared" ca="1" si="52"/>
        <v>0</v>
      </c>
      <c r="BZ37" s="34">
        <f t="shared" ca="1" si="52"/>
        <v>0</v>
      </c>
      <c r="CA37" s="34">
        <f t="shared" ca="1" si="52"/>
        <v>0</v>
      </c>
      <c r="CB37" s="34">
        <f t="shared" ca="1" si="52"/>
        <v>0</v>
      </c>
      <c r="CC37" s="34">
        <f t="shared" ca="1" si="52"/>
        <v>0</v>
      </c>
      <c r="CD37" s="34">
        <f t="shared" ca="1" si="52"/>
        <v>0</v>
      </c>
      <c r="CE37" s="34">
        <f t="shared" ca="1" si="52"/>
        <v>0</v>
      </c>
      <c r="CF37" s="34">
        <f t="shared" ca="1" si="52"/>
        <v>0</v>
      </c>
      <c r="CG37" s="34">
        <f t="shared" ca="1" si="52"/>
        <v>0</v>
      </c>
      <c r="CH37" s="34">
        <f t="shared" ca="1" si="52"/>
        <v>0</v>
      </c>
      <c r="CI37" s="34">
        <f t="shared" ca="1" si="52"/>
        <v>0</v>
      </c>
      <c r="CJ37" s="34">
        <f t="shared" ca="1" si="52"/>
        <v>0</v>
      </c>
      <c r="CK37" s="34">
        <f t="shared" ca="1" si="52"/>
        <v>0</v>
      </c>
      <c r="CL37" s="34">
        <f t="shared" ca="1" si="52"/>
        <v>0</v>
      </c>
      <c r="CM37" s="34">
        <f t="shared" ca="1" si="52"/>
        <v>0</v>
      </c>
      <c r="CN37" s="34">
        <f t="shared" ca="1" si="52"/>
        <v>0</v>
      </c>
      <c r="CO37" s="34">
        <f t="shared" ca="1" si="52"/>
        <v>0</v>
      </c>
      <c r="CP37" s="34">
        <f t="shared" ca="1" si="52"/>
        <v>0</v>
      </c>
      <c r="CQ37" s="34">
        <f t="shared" ca="1" si="52"/>
        <v>0</v>
      </c>
      <c r="CR37" s="34">
        <f t="shared" ca="1" si="52"/>
        <v>0</v>
      </c>
      <c r="CS37" s="34">
        <f t="shared" ca="1" si="52"/>
        <v>0</v>
      </c>
      <c r="CT37" s="34">
        <f t="shared" ca="1" si="52"/>
        <v>0</v>
      </c>
      <c r="CU37" s="34">
        <f t="shared" ca="1" si="52"/>
        <v>0</v>
      </c>
    </row>
    <row r="38" spans="1:99" x14ac:dyDescent="0.3">
      <c r="A38" s="7" t="s">
        <v>415</v>
      </c>
      <c r="B38" s="1"/>
      <c r="C38" s="11"/>
      <c r="D38" s="34">
        <f t="shared" ref="D38:AI38" ca="1" si="53">D22-D25+D33+D36+D37</f>
        <v>285050000</v>
      </c>
      <c r="E38" s="34">
        <f t="shared" ca="1" si="53"/>
        <v>1168515</v>
      </c>
      <c r="F38" s="34">
        <f t="shared" ca="1" si="53"/>
        <v>1168515</v>
      </c>
      <c r="G38" s="34">
        <f t="shared" ca="1" si="53"/>
        <v>1168515</v>
      </c>
      <c r="H38" s="34">
        <f t="shared" ca="1" si="53"/>
        <v>1168515</v>
      </c>
      <c r="I38" s="34">
        <f t="shared" ca="1" si="53"/>
        <v>-681166.53044019453</v>
      </c>
      <c r="J38" s="34">
        <f t="shared" ca="1" si="53"/>
        <v>-979461.70043180324</v>
      </c>
      <c r="K38" s="34">
        <f t="shared" ca="1" si="53"/>
        <v>-1290524.2906246991</v>
      </c>
      <c r="L38" s="34">
        <f t="shared" ca="1" si="53"/>
        <v>9714878.0894601736</v>
      </c>
      <c r="M38" s="34">
        <f t="shared" ca="1" si="53"/>
        <v>8284624.8648707168</v>
      </c>
      <c r="N38" s="34">
        <f t="shared" ca="1" si="53"/>
        <v>2260028.9810248599</v>
      </c>
      <c r="O38" s="34">
        <f t="shared" ca="1" si="53"/>
        <v>4666275.1785555398</v>
      </c>
      <c r="P38" s="34">
        <f t="shared" ca="1" si="53"/>
        <v>6953373.9762762943</v>
      </c>
      <c r="Q38" s="34">
        <f t="shared" ca="1" si="53"/>
        <v>9072386.9782410581</v>
      </c>
      <c r="R38" s="34">
        <f t="shared" ca="1" si="53"/>
        <v>10976179.308166154</v>
      </c>
      <c r="S38" s="34">
        <f t="shared" ca="1" si="53"/>
        <v>12620122.831685012</v>
      </c>
      <c r="T38" s="34">
        <f t="shared" ca="1" si="53"/>
        <v>13962729.479489677</v>
      </c>
      <c r="U38" s="34">
        <f t="shared" ca="1" si="53"/>
        <v>14966191.391071113</v>
      </c>
      <c r="V38" s="34">
        <f t="shared" ca="1" si="53"/>
        <v>15596800.378256759</v>
      </c>
      <c r="W38" s="34">
        <f t="shared" ca="1" si="53"/>
        <v>15825212.061193539</v>
      </c>
      <c r="X38" s="34">
        <f t="shared" ca="1" si="53"/>
        <v>15626507.582932541</v>
      </c>
      <c r="Y38" s="34">
        <f t="shared" ca="1" si="53"/>
        <v>14975018.968210267</v>
      </c>
      <c r="Z38" s="34">
        <f t="shared" ca="1" si="53"/>
        <v>13857311.03823892</v>
      </c>
      <c r="AA38" s="34">
        <f t="shared" ca="1" si="53"/>
        <v>12260491.570622556</v>
      </c>
      <c r="AB38" s="34">
        <f t="shared" ca="1" si="53"/>
        <v>10170517.11518375</v>
      </c>
      <c r="AC38" s="34">
        <f t="shared" ca="1" si="53"/>
        <v>7570027.6653038263</v>
      </c>
      <c r="AD38" s="34">
        <f t="shared" ca="1" si="53"/>
        <v>4431537.1388295935</v>
      </c>
      <c r="AE38" s="34">
        <f t="shared" ca="1" si="53"/>
        <v>703918.75874271593</v>
      </c>
      <c r="AF38" s="34">
        <f t="shared" ca="1" si="53"/>
        <v>-3717702.6883901535</v>
      </c>
      <c r="AG38" s="34">
        <f t="shared" ca="1" si="53"/>
        <v>-9073172.4192173742</v>
      </c>
      <c r="AH38" s="34">
        <f t="shared" ca="1" si="53"/>
        <v>-16012544.829355119</v>
      </c>
      <c r="AI38" s="34">
        <f t="shared" ca="1" si="53"/>
        <v>-25269335.387176972</v>
      </c>
      <c r="AJ38" s="34">
        <f t="shared" ref="AJ38:BO38" ca="1" si="54">AJ22-AJ25+AJ33+AJ36+AJ37</f>
        <v>-725155661.55193138</v>
      </c>
      <c r="AK38" s="34">
        <f t="shared" ca="1" si="54"/>
        <v>0</v>
      </c>
      <c r="AL38" s="34">
        <f t="shared" ca="1" si="54"/>
        <v>0</v>
      </c>
      <c r="AM38" s="34">
        <f t="shared" ca="1" si="54"/>
        <v>0</v>
      </c>
      <c r="AN38" s="34">
        <f t="shared" ca="1" si="54"/>
        <v>0</v>
      </c>
      <c r="AO38" s="34">
        <f t="shared" ca="1" si="54"/>
        <v>0</v>
      </c>
      <c r="AP38" s="34">
        <f t="shared" ca="1" si="54"/>
        <v>0</v>
      </c>
      <c r="AQ38" s="34">
        <f t="shared" ca="1" si="54"/>
        <v>0</v>
      </c>
      <c r="AR38" s="34">
        <f t="shared" ca="1" si="54"/>
        <v>0</v>
      </c>
      <c r="AS38" s="34">
        <f t="shared" ca="1" si="54"/>
        <v>0</v>
      </c>
      <c r="AT38" s="34">
        <f t="shared" ca="1" si="54"/>
        <v>0</v>
      </c>
      <c r="AU38" s="34">
        <f t="shared" ca="1" si="54"/>
        <v>0</v>
      </c>
      <c r="AV38" s="34">
        <f t="shared" ca="1" si="54"/>
        <v>0</v>
      </c>
      <c r="AW38" s="34">
        <f t="shared" ca="1" si="54"/>
        <v>0</v>
      </c>
      <c r="AX38" s="34">
        <f t="shared" ca="1" si="54"/>
        <v>0</v>
      </c>
      <c r="AY38" s="34">
        <f t="shared" ca="1" si="54"/>
        <v>0</v>
      </c>
      <c r="AZ38" s="34">
        <f t="shared" ca="1" si="54"/>
        <v>0</v>
      </c>
      <c r="BA38" s="34">
        <f t="shared" ca="1" si="54"/>
        <v>0</v>
      </c>
      <c r="BB38" s="34">
        <f t="shared" ca="1" si="54"/>
        <v>0</v>
      </c>
      <c r="BC38" s="34">
        <f t="shared" ca="1" si="54"/>
        <v>0</v>
      </c>
      <c r="BD38" s="34">
        <f t="shared" ca="1" si="54"/>
        <v>0</v>
      </c>
      <c r="BE38" s="34">
        <f t="shared" ca="1" si="54"/>
        <v>0</v>
      </c>
      <c r="BF38" s="34">
        <f t="shared" ca="1" si="54"/>
        <v>0</v>
      </c>
      <c r="BG38" s="34">
        <f t="shared" ca="1" si="54"/>
        <v>0</v>
      </c>
      <c r="BH38" s="34">
        <f t="shared" ca="1" si="54"/>
        <v>0</v>
      </c>
      <c r="BI38" s="34">
        <f t="shared" ca="1" si="54"/>
        <v>0</v>
      </c>
      <c r="BJ38" s="34">
        <f t="shared" ca="1" si="54"/>
        <v>0</v>
      </c>
      <c r="BK38" s="34">
        <f t="shared" ca="1" si="54"/>
        <v>0</v>
      </c>
      <c r="BL38" s="34">
        <f t="shared" ca="1" si="54"/>
        <v>0</v>
      </c>
      <c r="BM38" s="34">
        <f t="shared" ca="1" si="54"/>
        <v>0</v>
      </c>
      <c r="BN38" s="34">
        <f t="shared" ca="1" si="54"/>
        <v>0</v>
      </c>
      <c r="BO38" s="34">
        <f t="shared" ca="1" si="54"/>
        <v>0</v>
      </c>
      <c r="BP38" s="34">
        <f t="shared" ref="BP38:CU38" ca="1" si="55">BP22-BP25+BP33+BP36+BP37</f>
        <v>0</v>
      </c>
      <c r="BQ38" s="34">
        <f t="shared" ca="1" si="55"/>
        <v>0</v>
      </c>
      <c r="BR38" s="34">
        <f t="shared" ca="1" si="55"/>
        <v>0</v>
      </c>
      <c r="BS38" s="34">
        <f t="shared" ca="1" si="55"/>
        <v>0</v>
      </c>
      <c r="BT38" s="34">
        <f t="shared" ca="1" si="55"/>
        <v>0</v>
      </c>
      <c r="BU38" s="34">
        <f t="shared" ca="1" si="55"/>
        <v>0</v>
      </c>
      <c r="BV38" s="34">
        <f t="shared" ca="1" si="55"/>
        <v>0</v>
      </c>
      <c r="BW38" s="34">
        <f t="shared" ca="1" si="55"/>
        <v>0</v>
      </c>
      <c r="BX38" s="34">
        <f t="shared" ca="1" si="55"/>
        <v>0</v>
      </c>
      <c r="BY38" s="34">
        <f t="shared" ca="1" si="55"/>
        <v>0</v>
      </c>
      <c r="BZ38" s="34">
        <f t="shared" ca="1" si="55"/>
        <v>0</v>
      </c>
      <c r="CA38" s="34">
        <f t="shared" ca="1" si="55"/>
        <v>0</v>
      </c>
      <c r="CB38" s="34">
        <f t="shared" ca="1" si="55"/>
        <v>0</v>
      </c>
      <c r="CC38" s="34">
        <f t="shared" ca="1" si="55"/>
        <v>0</v>
      </c>
      <c r="CD38" s="34">
        <f t="shared" ca="1" si="55"/>
        <v>0</v>
      </c>
      <c r="CE38" s="34">
        <f t="shared" ca="1" si="55"/>
        <v>0</v>
      </c>
      <c r="CF38" s="34">
        <f t="shared" ca="1" si="55"/>
        <v>0</v>
      </c>
      <c r="CG38" s="34">
        <f t="shared" ca="1" si="55"/>
        <v>0</v>
      </c>
      <c r="CH38" s="34">
        <f t="shared" ca="1" si="55"/>
        <v>0</v>
      </c>
      <c r="CI38" s="34">
        <f t="shared" ca="1" si="55"/>
        <v>0</v>
      </c>
      <c r="CJ38" s="34">
        <f t="shared" ca="1" si="55"/>
        <v>0</v>
      </c>
      <c r="CK38" s="34">
        <f t="shared" ca="1" si="55"/>
        <v>0</v>
      </c>
      <c r="CL38" s="34">
        <f t="shared" ca="1" si="55"/>
        <v>0</v>
      </c>
      <c r="CM38" s="34">
        <f t="shared" ca="1" si="55"/>
        <v>0</v>
      </c>
      <c r="CN38" s="34">
        <f t="shared" ca="1" si="55"/>
        <v>0</v>
      </c>
      <c r="CO38" s="34">
        <f t="shared" ca="1" si="55"/>
        <v>0</v>
      </c>
      <c r="CP38" s="34">
        <f t="shared" ca="1" si="55"/>
        <v>0</v>
      </c>
      <c r="CQ38" s="34">
        <f t="shared" ca="1" si="55"/>
        <v>0</v>
      </c>
      <c r="CR38" s="34">
        <f t="shared" ca="1" si="55"/>
        <v>0</v>
      </c>
      <c r="CS38" s="34">
        <f t="shared" ca="1" si="55"/>
        <v>0</v>
      </c>
      <c r="CT38" s="34">
        <f t="shared" ca="1" si="55"/>
        <v>0</v>
      </c>
      <c r="CU38" s="34">
        <f t="shared" ca="1" si="55"/>
        <v>0</v>
      </c>
    </row>
    <row r="39" spans="1:99" x14ac:dyDescent="0.3">
      <c r="A39" s="7" t="s">
        <v>416</v>
      </c>
      <c r="B39" s="1"/>
      <c r="C39" s="11"/>
      <c r="D39" s="34">
        <f>0</f>
        <v>0</v>
      </c>
      <c r="E39" s="34">
        <f t="shared" ref="E39:AJ39" ca="1" si="56">D55</f>
        <v>0</v>
      </c>
      <c r="F39" s="34">
        <f t="shared" ca="1" si="56"/>
        <v>0</v>
      </c>
      <c r="G39" s="34">
        <f t="shared" ca="1" si="56"/>
        <v>0</v>
      </c>
      <c r="H39" s="34">
        <f t="shared" ca="1" si="56"/>
        <v>0</v>
      </c>
      <c r="I39" s="34">
        <f t="shared" ca="1" si="56"/>
        <v>0</v>
      </c>
      <c r="J39" s="34">
        <f t="shared" ca="1" si="56"/>
        <v>681166.53044019453</v>
      </c>
      <c r="K39" s="34">
        <f t="shared" ca="1" si="56"/>
        <v>1660628.2308719978</v>
      </c>
      <c r="L39" s="34">
        <f t="shared" ca="1" si="56"/>
        <v>2951152.5214966969</v>
      </c>
      <c r="M39" s="34">
        <f t="shared" ca="1" si="56"/>
        <v>0</v>
      </c>
      <c r="N39" s="34">
        <f t="shared" ca="1" si="56"/>
        <v>0</v>
      </c>
      <c r="O39" s="34">
        <f t="shared" ca="1" si="56"/>
        <v>0</v>
      </c>
      <c r="P39" s="34">
        <f t="shared" ca="1" si="56"/>
        <v>0</v>
      </c>
      <c r="Q39" s="34">
        <f t="shared" ca="1" si="56"/>
        <v>0</v>
      </c>
      <c r="R39" s="34">
        <f t="shared" ca="1" si="56"/>
        <v>0</v>
      </c>
      <c r="S39" s="34">
        <f t="shared" ca="1" si="56"/>
        <v>0</v>
      </c>
      <c r="T39" s="34">
        <f t="shared" ca="1" si="56"/>
        <v>0</v>
      </c>
      <c r="U39" s="34">
        <f t="shared" ca="1" si="56"/>
        <v>0</v>
      </c>
      <c r="V39" s="34">
        <f t="shared" ca="1" si="56"/>
        <v>0</v>
      </c>
      <c r="W39" s="34">
        <f t="shared" ca="1" si="56"/>
        <v>0</v>
      </c>
      <c r="X39" s="34">
        <f t="shared" ca="1" si="56"/>
        <v>0</v>
      </c>
      <c r="Y39" s="34">
        <f t="shared" ca="1" si="56"/>
        <v>0</v>
      </c>
      <c r="Z39" s="34">
        <f t="shared" ca="1" si="56"/>
        <v>0</v>
      </c>
      <c r="AA39" s="34">
        <f t="shared" ca="1" si="56"/>
        <v>0</v>
      </c>
      <c r="AB39" s="34">
        <f t="shared" ca="1" si="56"/>
        <v>0</v>
      </c>
      <c r="AC39" s="34">
        <f t="shared" ca="1" si="56"/>
        <v>0</v>
      </c>
      <c r="AD39" s="34">
        <f t="shared" ca="1" si="56"/>
        <v>0</v>
      </c>
      <c r="AE39" s="34">
        <f t="shared" ca="1" si="56"/>
        <v>0</v>
      </c>
      <c r="AF39" s="34">
        <f t="shared" ca="1" si="56"/>
        <v>0</v>
      </c>
      <c r="AG39" s="34">
        <f t="shared" ca="1" si="56"/>
        <v>3717702.6883903374</v>
      </c>
      <c r="AH39" s="34">
        <f t="shared" ca="1" si="56"/>
        <v>12790875.107608315</v>
      </c>
      <c r="AI39" s="34">
        <f t="shared" ca="1" si="56"/>
        <v>28803419.936964773</v>
      </c>
      <c r="AJ39" s="34">
        <f t="shared" ca="1" si="56"/>
        <v>54072755.324144199</v>
      </c>
      <c r="AK39" s="34">
        <f t="shared" ref="AK39:BP39" ca="1" si="57">AJ55</f>
        <v>0</v>
      </c>
      <c r="AL39" s="34">
        <f t="shared" ca="1" si="57"/>
        <v>0</v>
      </c>
      <c r="AM39" s="34">
        <f t="shared" ca="1" si="57"/>
        <v>0</v>
      </c>
      <c r="AN39" s="34">
        <f t="shared" ca="1" si="57"/>
        <v>0</v>
      </c>
      <c r="AO39" s="34">
        <f t="shared" ca="1" si="57"/>
        <v>0</v>
      </c>
      <c r="AP39" s="34">
        <f t="shared" ca="1" si="57"/>
        <v>0</v>
      </c>
      <c r="AQ39" s="34">
        <f t="shared" ca="1" si="57"/>
        <v>0</v>
      </c>
      <c r="AR39" s="34">
        <f t="shared" ca="1" si="57"/>
        <v>0</v>
      </c>
      <c r="AS39" s="34">
        <f t="shared" ca="1" si="57"/>
        <v>0</v>
      </c>
      <c r="AT39" s="34">
        <f t="shared" ca="1" si="57"/>
        <v>0</v>
      </c>
      <c r="AU39" s="34">
        <f t="shared" ca="1" si="57"/>
        <v>0</v>
      </c>
      <c r="AV39" s="34">
        <f t="shared" ca="1" si="57"/>
        <v>0</v>
      </c>
      <c r="AW39" s="34">
        <f t="shared" ca="1" si="57"/>
        <v>0</v>
      </c>
      <c r="AX39" s="34">
        <f t="shared" ca="1" si="57"/>
        <v>0</v>
      </c>
      <c r="AY39" s="34">
        <f t="shared" ca="1" si="57"/>
        <v>0</v>
      </c>
      <c r="AZ39" s="34">
        <f t="shared" ca="1" si="57"/>
        <v>0</v>
      </c>
      <c r="BA39" s="34">
        <f t="shared" ca="1" si="57"/>
        <v>0</v>
      </c>
      <c r="BB39" s="34">
        <f t="shared" ca="1" si="57"/>
        <v>0</v>
      </c>
      <c r="BC39" s="34">
        <f t="shared" ca="1" si="57"/>
        <v>0</v>
      </c>
      <c r="BD39" s="34">
        <f t="shared" ca="1" si="57"/>
        <v>0</v>
      </c>
      <c r="BE39" s="34">
        <f t="shared" ca="1" si="57"/>
        <v>0</v>
      </c>
      <c r="BF39" s="34">
        <f t="shared" ca="1" si="57"/>
        <v>0</v>
      </c>
      <c r="BG39" s="34">
        <f t="shared" ca="1" si="57"/>
        <v>0</v>
      </c>
      <c r="BH39" s="34">
        <f t="shared" ca="1" si="57"/>
        <v>0</v>
      </c>
      <c r="BI39" s="34">
        <f t="shared" ca="1" si="57"/>
        <v>0</v>
      </c>
      <c r="BJ39" s="34">
        <f t="shared" ca="1" si="57"/>
        <v>0</v>
      </c>
      <c r="BK39" s="34">
        <f t="shared" ca="1" si="57"/>
        <v>0</v>
      </c>
      <c r="BL39" s="34">
        <f t="shared" ca="1" si="57"/>
        <v>0</v>
      </c>
      <c r="BM39" s="34">
        <f t="shared" ca="1" si="57"/>
        <v>0</v>
      </c>
      <c r="BN39" s="34">
        <f t="shared" ca="1" si="57"/>
        <v>0</v>
      </c>
      <c r="BO39" s="34">
        <f t="shared" ca="1" si="57"/>
        <v>0</v>
      </c>
      <c r="BP39" s="34">
        <f t="shared" ca="1" si="57"/>
        <v>0</v>
      </c>
      <c r="BQ39" s="34">
        <f t="shared" ref="BQ39:CU39" ca="1" si="58">BP55</f>
        <v>0</v>
      </c>
      <c r="BR39" s="34">
        <f t="shared" ca="1" si="58"/>
        <v>0</v>
      </c>
      <c r="BS39" s="34">
        <f t="shared" ca="1" si="58"/>
        <v>0</v>
      </c>
      <c r="BT39" s="34">
        <f t="shared" ca="1" si="58"/>
        <v>0</v>
      </c>
      <c r="BU39" s="34">
        <f t="shared" ca="1" si="58"/>
        <v>0</v>
      </c>
      <c r="BV39" s="34">
        <f t="shared" ca="1" si="58"/>
        <v>0</v>
      </c>
      <c r="BW39" s="34">
        <f t="shared" ca="1" si="58"/>
        <v>0</v>
      </c>
      <c r="BX39" s="34">
        <f t="shared" ca="1" si="58"/>
        <v>0</v>
      </c>
      <c r="BY39" s="34">
        <f t="shared" ca="1" si="58"/>
        <v>0</v>
      </c>
      <c r="BZ39" s="34">
        <f t="shared" ca="1" si="58"/>
        <v>0</v>
      </c>
      <c r="CA39" s="34">
        <f t="shared" ca="1" si="58"/>
        <v>0</v>
      </c>
      <c r="CB39" s="34">
        <f t="shared" ca="1" si="58"/>
        <v>0</v>
      </c>
      <c r="CC39" s="34">
        <f t="shared" ca="1" si="58"/>
        <v>0</v>
      </c>
      <c r="CD39" s="34">
        <f t="shared" ca="1" si="58"/>
        <v>0</v>
      </c>
      <c r="CE39" s="34">
        <f t="shared" ca="1" si="58"/>
        <v>0</v>
      </c>
      <c r="CF39" s="34">
        <f t="shared" ca="1" si="58"/>
        <v>0</v>
      </c>
      <c r="CG39" s="34">
        <f t="shared" ca="1" si="58"/>
        <v>0</v>
      </c>
      <c r="CH39" s="34">
        <f t="shared" ca="1" si="58"/>
        <v>0</v>
      </c>
      <c r="CI39" s="34">
        <f t="shared" ca="1" si="58"/>
        <v>0</v>
      </c>
      <c r="CJ39" s="34">
        <f t="shared" ca="1" si="58"/>
        <v>0</v>
      </c>
      <c r="CK39" s="34">
        <f t="shared" ca="1" si="58"/>
        <v>0</v>
      </c>
      <c r="CL39" s="34">
        <f t="shared" ca="1" si="58"/>
        <v>0</v>
      </c>
      <c r="CM39" s="34">
        <f t="shared" ca="1" si="58"/>
        <v>0</v>
      </c>
      <c r="CN39" s="34">
        <f t="shared" ca="1" si="58"/>
        <v>0</v>
      </c>
      <c r="CO39" s="34">
        <f t="shared" ca="1" si="58"/>
        <v>0</v>
      </c>
      <c r="CP39" s="34">
        <f t="shared" ca="1" si="58"/>
        <v>0</v>
      </c>
      <c r="CQ39" s="34">
        <f t="shared" ca="1" si="58"/>
        <v>0</v>
      </c>
      <c r="CR39" s="34">
        <f t="shared" ca="1" si="58"/>
        <v>0</v>
      </c>
      <c r="CS39" s="34">
        <f t="shared" ca="1" si="58"/>
        <v>0</v>
      </c>
      <c r="CT39" s="34">
        <f t="shared" ca="1" si="58"/>
        <v>0</v>
      </c>
      <c r="CU39" s="34">
        <f t="shared" ca="1" si="58"/>
        <v>0</v>
      </c>
    </row>
    <row r="40" spans="1:99" x14ac:dyDescent="0.3">
      <c r="A40" s="7" t="s">
        <v>417</v>
      </c>
      <c r="B40" s="21">
        <f ca="1">SUM(D40:CU40)</f>
        <v>2951152.5214966969</v>
      </c>
      <c r="C40" s="11"/>
      <c r="D40" s="34">
        <f t="shared" ref="D40:AI40" ca="1" si="59">MIN(D39,MAX(D38,0))</f>
        <v>0</v>
      </c>
      <c r="E40" s="34">
        <f t="shared" ca="1" si="59"/>
        <v>0</v>
      </c>
      <c r="F40" s="34">
        <f t="shared" ca="1" si="59"/>
        <v>0</v>
      </c>
      <c r="G40" s="34">
        <f t="shared" ca="1" si="59"/>
        <v>0</v>
      </c>
      <c r="H40" s="34">
        <f t="shared" ca="1" si="59"/>
        <v>0</v>
      </c>
      <c r="I40" s="34">
        <f t="shared" ca="1" si="59"/>
        <v>0</v>
      </c>
      <c r="J40" s="34">
        <f t="shared" ca="1" si="59"/>
        <v>0</v>
      </c>
      <c r="K40" s="34">
        <f t="shared" ca="1" si="59"/>
        <v>0</v>
      </c>
      <c r="L40" s="34">
        <f t="shared" ca="1" si="59"/>
        <v>2951152.5214966969</v>
      </c>
      <c r="M40" s="34">
        <f t="shared" ca="1" si="59"/>
        <v>0</v>
      </c>
      <c r="N40" s="34">
        <f t="shared" ca="1" si="59"/>
        <v>0</v>
      </c>
      <c r="O40" s="34">
        <f t="shared" ca="1" si="59"/>
        <v>0</v>
      </c>
      <c r="P40" s="34">
        <f t="shared" ca="1" si="59"/>
        <v>0</v>
      </c>
      <c r="Q40" s="34">
        <f t="shared" ca="1" si="59"/>
        <v>0</v>
      </c>
      <c r="R40" s="34">
        <f t="shared" ca="1" si="59"/>
        <v>0</v>
      </c>
      <c r="S40" s="34">
        <f t="shared" ca="1" si="59"/>
        <v>0</v>
      </c>
      <c r="T40" s="34">
        <f t="shared" ca="1" si="59"/>
        <v>0</v>
      </c>
      <c r="U40" s="34">
        <f t="shared" ca="1" si="59"/>
        <v>0</v>
      </c>
      <c r="V40" s="34">
        <f t="shared" ca="1" si="59"/>
        <v>0</v>
      </c>
      <c r="W40" s="34">
        <f t="shared" ca="1" si="59"/>
        <v>0</v>
      </c>
      <c r="X40" s="34">
        <f t="shared" ca="1" si="59"/>
        <v>0</v>
      </c>
      <c r="Y40" s="34">
        <f t="shared" ca="1" si="59"/>
        <v>0</v>
      </c>
      <c r="Z40" s="34">
        <f t="shared" ca="1" si="59"/>
        <v>0</v>
      </c>
      <c r="AA40" s="34">
        <f t="shared" ca="1" si="59"/>
        <v>0</v>
      </c>
      <c r="AB40" s="34">
        <f t="shared" ca="1" si="59"/>
        <v>0</v>
      </c>
      <c r="AC40" s="34">
        <f t="shared" ca="1" si="59"/>
        <v>0</v>
      </c>
      <c r="AD40" s="34">
        <f t="shared" ca="1" si="59"/>
        <v>0</v>
      </c>
      <c r="AE40" s="34">
        <f t="shared" ca="1" si="59"/>
        <v>0</v>
      </c>
      <c r="AF40" s="34">
        <f t="shared" ca="1" si="59"/>
        <v>0</v>
      </c>
      <c r="AG40" s="34">
        <f t="shared" ca="1" si="59"/>
        <v>0</v>
      </c>
      <c r="AH40" s="34">
        <f t="shared" ca="1" si="59"/>
        <v>0</v>
      </c>
      <c r="AI40" s="34">
        <f t="shared" ca="1" si="59"/>
        <v>0</v>
      </c>
      <c r="AJ40" s="34">
        <f t="shared" ref="AJ40:BO40" ca="1" si="60">MIN(AJ39,MAX(AJ38,0))</f>
        <v>0</v>
      </c>
      <c r="AK40" s="34">
        <f t="shared" ca="1" si="60"/>
        <v>0</v>
      </c>
      <c r="AL40" s="34">
        <f t="shared" ca="1" si="60"/>
        <v>0</v>
      </c>
      <c r="AM40" s="34">
        <f t="shared" ca="1" si="60"/>
        <v>0</v>
      </c>
      <c r="AN40" s="34">
        <f t="shared" ca="1" si="60"/>
        <v>0</v>
      </c>
      <c r="AO40" s="34">
        <f t="shared" ca="1" si="60"/>
        <v>0</v>
      </c>
      <c r="AP40" s="34">
        <f t="shared" ca="1" si="60"/>
        <v>0</v>
      </c>
      <c r="AQ40" s="34">
        <f t="shared" ca="1" si="60"/>
        <v>0</v>
      </c>
      <c r="AR40" s="34">
        <f t="shared" ca="1" si="60"/>
        <v>0</v>
      </c>
      <c r="AS40" s="34">
        <f t="shared" ca="1" si="60"/>
        <v>0</v>
      </c>
      <c r="AT40" s="34">
        <f t="shared" ca="1" si="60"/>
        <v>0</v>
      </c>
      <c r="AU40" s="34">
        <f t="shared" ca="1" si="60"/>
        <v>0</v>
      </c>
      <c r="AV40" s="34">
        <f t="shared" ca="1" si="60"/>
        <v>0</v>
      </c>
      <c r="AW40" s="34">
        <f t="shared" ca="1" si="60"/>
        <v>0</v>
      </c>
      <c r="AX40" s="34">
        <f t="shared" ca="1" si="60"/>
        <v>0</v>
      </c>
      <c r="AY40" s="34">
        <f t="shared" ca="1" si="60"/>
        <v>0</v>
      </c>
      <c r="AZ40" s="34">
        <f t="shared" ca="1" si="60"/>
        <v>0</v>
      </c>
      <c r="BA40" s="34">
        <f t="shared" ca="1" si="60"/>
        <v>0</v>
      </c>
      <c r="BB40" s="34">
        <f t="shared" ca="1" si="60"/>
        <v>0</v>
      </c>
      <c r="BC40" s="34">
        <f t="shared" ca="1" si="60"/>
        <v>0</v>
      </c>
      <c r="BD40" s="34">
        <f t="shared" ca="1" si="60"/>
        <v>0</v>
      </c>
      <c r="BE40" s="34">
        <f t="shared" ca="1" si="60"/>
        <v>0</v>
      </c>
      <c r="BF40" s="34">
        <f t="shared" ca="1" si="60"/>
        <v>0</v>
      </c>
      <c r="BG40" s="34">
        <f t="shared" ca="1" si="60"/>
        <v>0</v>
      </c>
      <c r="BH40" s="34">
        <f t="shared" ca="1" si="60"/>
        <v>0</v>
      </c>
      <c r="BI40" s="34">
        <f t="shared" ca="1" si="60"/>
        <v>0</v>
      </c>
      <c r="BJ40" s="34">
        <f t="shared" ca="1" si="60"/>
        <v>0</v>
      </c>
      <c r="BK40" s="34">
        <f t="shared" ca="1" si="60"/>
        <v>0</v>
      </c>
      <c r="BL40" s="34">
        <f t="shared" ca="1" si="60"/>
        <v>0</v>
      </c>
      <c r="BM40" s="34">
        <f t="shared" ca="1" si="60"/>
        <v>0</v>
      </c>
      <c r="BN40" s="34">
        <f t="shared" ca="1" si="60"/>
        <v>0</v>
      </c>
      <c r="BO40" s="34">
        <f t="shared" ca="1" si="60"/>
        <v>0</v>
      </c>
      <c r="BP40" s="34">
        <f t="shared" ref="BP40:CU40" ca="1" si="61">MIN(BP39,MAX(BP38,0))</f>
        <v>0</v>
      </c>
      <c r="BQ40" s="34">
        <f t="shared" ca="1" si="61"/>
        <v>0</v>
      </c>
      <c r="BR40" s="34">
        <f t="shared" ca="1" si="61"/>
        <v>0</v>
      </c>
      <c r="BS40" s="34">
        <f t="shared" ca="1" si="61"/>
        <v>0</v>
      </c>
      <c r="BT40" s="34">
        <f t="shared" ca="1" si="61"/>
        <v>0</v>
      </c>
      <c r="BU40" s="34">
        <f t="shared" ca="1" si="61"/>
        <v>0</v>
      </c>
      <c r="BV40" s="34">
        <f t="shared" ca="1" si="61"/>
        <v>0</v>
      </c>
      <c r="BW40" s="34">
        <f t="shared" ca="1" si="61"/>
        <v>0</v>
      </c>
      <c r="BX40" s="34">
        <f t="shared" ca="1" si="61"/>
        <v>0</v>
      </c>
      <c r="BY40" s="34">
        <f t="shared" ca="1" si="61"/>
        <v>0</v>
      </c>
      <c r="BZ40" s="34">
        <f t="shared" ca="1" si="61"/>
        <v>0</v>
      </c>
      <c r="CA40" s="34">
        <f t="shared" ca="1" si="61"/>
        <v>0</v>
      </c>
      <c r="CB40" s="34">
        <f t="shared" ca="1" si="61"/>
        <v>0</v>
      </c>
      <c r="CC40" s="34">
        <f t="shared" ca="1" si="61"/>
        <v>0</v>
      </c>
      <c r="CD40" s="34">
        <f t="shared" ca="1" si="61"/>
        <v>0</v>
      </c>
      <c r="CE40" s="34">
        <f t="shared" ca="1" si="61"/>
        <v>0</v>
      </c>
      <c r="CF40" s="34">
        <f t="shared" ca="1" si="61"/>
        <v>0</v>
      </c>
      <c r="CG40" s="34">
        <f t="shared" ca="1" si="61"/>
        <v>0</v>
      </c>
      <c r="CH40" s="34">
        <f t="shared" ca="1" si="61"/>
        <v>0</v>
      </c>
      <c r="CI40" s="34">
        <f t="shared" ca="1" si="61"/>
        <v>0</v>
      </c>
      <c r="CJ40" s="34">
        <f t="shared" ca="1" si="61"/>
        <v>0</v>
      </c>
      <c r="CK40" s="34">
        <f t="shared" ca="1" si="61"/>
        <v>0</v>
      </c>
      <c r="CL40" s="34">
        <f t="shared" ca="1" si="61"/>
        <v>0</v>
      </c>
      <c r="CM40" s="34">
        <f t="shared" ca="1" si="61"/>
        <v>0</v>
      </c>
      <c r="CN40" s="34">
        <f t="shared" ca="1" si="61"/>
        <v>0</v>
      </c>
      <c r="CO40" s="34">
        <f t="shared" ca="1" si="61"/>
        <v>0</v>
      </c>
      <c r="CP40" s="34">
        <f t="shared" ca="1" si="61"/>
        <v>0</v>
      </c>
      <c r="CQ40" s="34">
        <f t="shared" ca="1" si="61"/>
        <v>0</v>
      </c>
      <c r="CR40" s="34">
        <f t="shared" ca="1" si="61"/>
        <v>0</v>
      </c>
      <c r="CS40" s="34">
        <f t="shared" ca="1" si="61"/>
        <v>0</v>
      </c>
      <c r="CT40" s="34">
        <f t="shared" ca="1" si="61"/>
        <v>0</v>
      </c>
      <c r="CU40" s="34">
        <f t="shared" ca="1" si="61"/>
        <v>0</v>
      </c>
    </row>
    <row r="41" spans="1:99" x14ac:dyDescent="0.3">
      <c r="A41" s="7" t="s">
        <v>418</v>
      </c>
      <c r="B41" s="21">
        <f ca="1">SUM(D41:CU41)</f>
        <v>415383240.30666566</v>
      </c>
      <c r="C41" s="11"/>
      <c r="D41" s="34">
        <f ca="1">MIN(MAX(D38,0)-D40,MAX(F_EquityCap-0,0))</f>
        <v>285050000</v>
      </c>
      <c r="E41" s="34">
        <f t="shared" ref="E41:AJ41" ca="1" si="62">MIN(MAX(E38,0)-E40,MAX(F_EquityCap-D42,0))</f>
        <v>1168515</v>
      </c>
      <c r="F41" s="34">
        <f t="shared" ca="1" si="62"/>
        <v>1168515</v>
      </c>
      <c r="G41" s="34">
        <f t="shared" ca="1" si="62"/>
        <v>1168515</v>
      </c>
      <c r="H41" s="34">
        <f t="shared" ca="1" si="62"/>
        <v>1168515</v>
      </c>
      <c r="I41" s="34">
        <f t="shared" ca="1" si="62"/>
        <v>0</v>
      </c>
      <c r="J41" s="34">
        <f t="shared" ca="1" si="62"/>
        <v>0</v>
      </c>
      <c r="K41" s="34">
        <f t="shared" ca="1" si="62"/>
        <v>0</v>
      </c>
      <c r="L41" s="34">
        <f t="shared" ca="1" si="62"/>
        <v>6763725.5679634772</v>
      </c>
      <c r="M41" s="34">
        <f t="shared" ca="1" si="62"/>
        <v>8284624.8648707168</v>
      </c>
      <c r="N41" s="34">
        <f t="shared" ca="1" si="62"/>
        <v>2260028.9810248599</v>
      </c>
      <c r="O41" s="34">
        <f t="shared" ca="1" si="62"/>
        <v>4666275.1785555398</v>
      </c>
      <c r="P41" s="34">
        <f t="shared" ca="1" si="62"/>
        <v>6953373.9762762943</v>
      </c>
      <c r="Q41" s="34">
        <f t="shared" ca="1" si="62"/>
        <v>9072386.9782410581</v>
      </c>
      <c r="R41" s="34">
        <f t="shared" ca="1" si="62"/>
        <v>10976179.308166154</v>
      </c>
      <c r="S41" s="34">
        <f t="shared" ca="1" si="62"/>
        <v>12620122.831685012</v>
      </c>
      <c r="T41" s="34">
        <f t="shared" ca="1" si="62"/>
        <v>13962729.479489677</v>
      </c>
      <c r="U41" s="34">
        <f t="shared" ca="1" si="62"/>
        <v>14966191.391071113</v>
      </c>
      <c r="V41" s="34">
        <f t="shared" ca="1" si="62"/>
        <v>15596800.378256759</v>
      </c>
      <c r="W41" s="34">
        <f t="shared" ca="1" si="62"/>
        <v>15825212.061193539</v>
      </c>
      <c r="X41" s="34">
        <f t="shared" ca="1" si="62"/>
        <v>3711529.3098141551</v>
      </c>
      <c r="Y41" s="34">
        <f t="shared" ca="1" si="62"/>
        <v>0</v>
      </c>
      <c r="Z41" s="34">
        <f t="shared" ca="1" si="62"/>
        <v>0</v>
      </c>
      <c r="AA41" s="34">
        <f t="shared" ca="1" si="62"/>
        <v>0</v>
      </c>
      <c r="AB41" s="34">
        <f t="shared" ca="1" si="62"/>
        <v>0</v>
      </c>
      <c r="AC41" s="34">
        <f t="shared" ca="1" si="62"/>
        <v>0</v>
      </c>
      <c r="AD41" s="34">
        <f t="shared" ca="1" si="62"/>
        <v>0</v>
      </c>
      <c r="AE41" s="34">
        <f t="shared" ca="1" si="62"/>
        <v>0</v>
      </c>
      <c r="AF41" s="34">
        <f t="shared" ca="1" si="62"/>
        <v>0</v>
      </c>
      <c r="AG41" s="34">
        <f t="shared" ca="1" si="62"/>
        <v>0</v>
      </c>
      <c r="AH41" s="34">
        <f t="shared" ca="1" si="62"/>
        <v>0</v>
      </c>
      <c r="AI41" s="34">
        <f t="shared" ca="1" si="62"/>
        <v>0</v>
      </c>
      <c r="AJ41" s="34">
        <f t="shared" ca="1" si="62"/>
        <v>0</v>
      </c>
      <c r="AK41" s="34">
        <f t="shared" ref="AK41:BP41" ca="1" si="63">MIN(MAX(AK38,0)-AK40,MAX(F_EquityCap-AJ42,0))</f>
        <v>0</v>
      </c>
      <c r="AL41" s="34">
        <f t="shared" ca="1" si="63"/>
        <v>0</v>
      </c>
      <c r="AM41" s="34">
        <f t="shared" ca="1" si="63"/>
        <v>0</v>
      </c>
      <c r="AN41" s="34">
        <f t="shared" ca="1" si="63"/>
        <v>0</v>
      </c>
      <c r="AO41" s="34">
        <f t="shared" ca="1" si="63"/>
        <v>0</v>
      </c>
      <c r="AP41" s="34">
        <f t="shared" ca="1" si="63"/>
        <v>0</v>
      </c>
      <c r="AQ41" s="34">
        <f t="shared" ca="1" si="63"/>
        <v>0</v>
      </c>
      <c r="AR41" s="34">
        <f t="shared" ca="1" si="63"/>
        <v>0</v>
      </c>
      <c r="AS41" s="34">
        <f t="shared" ca="1" si="63"/>
        <v>0</v>
      </c>
      <c r="AT41" s="34">
        <f t="shared" ca="1" si="63"/>
        <v>0</v>
      </c>
      <c r="AU41" s="34">
        <f t="shared" ca="1" si="63"/>
        <v>0</v>
      </c>
      <c r="AV41" s="34">
        <f t="shared" ca="1" si="63"/>
        <v>0</v>
      </c>
      <c r="AW41" s="34">
        <f t="shared" ca="1" si="63"/>
        <v>0</v>
      </c>
      <c r="AX41" s="34">
        <f t="shared" ca="1" si="63"/>
        <v>0</v>
      </c>
      <c r="AY41" s="34">
        <f t="shared" ca="1" si="63"/>
        <v>0</v>
      </c>
      <c r="AZ41" s="34">
        <f t="shared" ca="1" si="63"/>
        <v>0</v>
      </c>
      <c r="BA41" s="34">
        <f t="shared" ca="1" si="63"/>
        <v>0</v>
      </c>
      <c r="BB41" s="34">
        <f t="shared" ca="1" si="63"/>
        <v>0</v>
      </c>
      <c r="BC41" s="34">
        <f t="shared" ca="1" si="63"/>
        <v>0</v>
      </c>
      <c r="BD41" s="34">
        <f t="shared" ca="1" si="63"/>
        <v>0</v>
      </c>
      <c r="BE41" s="34">
        <f t="shared" ca="1" si="63"/>
        <v>0</v>
      </c>
      <c r="BF41" s="34">
        <f t="shared" ca="1" si="63"/>
        <v>0</v>
      </c>
      <c r="BG41" s="34">
        <f t="shared" ca="1" si="63"/>
        <v>0</v>
      </c>
      <c r="BH41" s="34">
        <f t="shared" ca="1" si="63"/>
        <v>0</v>
      </c>
      <c r="BI41" s="34">
        <f t="shared" ca="1" si="63"/>
        <v>0</v>
      </c>
      <c r="BJ41" s="34">
        <f t="shared" ca="1" si="63"/>
        <v>0</v>
      </c>
      <c r="BK41" s="34">
        <f t="shared" ca="1" si="63"/>
        <v>0</v>
      </c>
      <c r="BL41" s="34">
        <f t="shared" ca="1" si="63"/>
        <v>0</v>
      </c>
      <c r="BM41" s="34">
        <f t="shared" ca="1" si="63"/>
        <v>0</v>
      </c>
      <c r="BN41" s="34">
        <f t="shared" ca="1" si="63"/>
        <v>0</v>
      </c>
      <c r="BO41" s="34">
        <f t="shared" ca="1" si="63"/>
        <v>0</v>
      </c>
      <c r="BP41" s="34">
        <f t="shared" ca="1" si="63"/>
        <v>0</v>
      </c>
      <c r="BQ41" s="34">
        <f t="shared" ref="BQ41:CV41" ca="1" si="64">MIN(MAX(BQ38,0)-BQ40,MAX(F_EquityCap-BP42,0))</f>
        <v>0</v>
      </c>
      <c r="BR41" s="34">
        <f t="shared" ca="1" si="64"/>
        <v>0</v>
      </c>
      <c r="BS41" s="34">
        <f t="shared" ca="1" si="64"/>
        <v>0</v>
      </c>
      <c r="BT41" s="34">
        <f t="shared" ca="1" si="64"/>
        <v>0</v>
      </c>
      <c r="BU41" s="34">
        <f t="shared" ca="1" si="64"/>
        <v>0</v>
      </c>
      <c r="BV41" s="34">
        <f t="shared" ca="1" si="64"/>
        <v>0</v>
      </c>
      <c r="BW41" s="34">
        <f t="shared" ca="1" si="64"/>
        <v>0</v>
      </c>
      <c r="BX41" s="34">
        <f t="shared" ca="1" si="64"/>
        <v>0</v>
      </c>
      <c r="BY41" s="34">
        <f t="shared" ca="1" si="64"/>
        <v>0</v>
      </c>
      <c r="BZ41" s="34">
        <f t="shared" ca="1" si="64"/>
        <v>0</v>
      </c>
      <c r="CA41" s="34">
        <f t="shared" ca="1" si="64"/>
        <v>0</v>
      </c>
      <c r="CB41" s="34">
        <f t="shared" ca="1" si="64"/>
        <v>0</v>
      </c>
      <c r="CC41" s="34">
        <f t="shared" ca="1" si="64"/>
        <v>0</v>
      </c>
      <c r="CD41" s="34">
        <f t="shared" ca="1" si="64"/>
        <v>0</v>
      </c>
      <c r="CE41" s="34">
        <f t="shared" ca="1" si="64"/>
        <v>0</v>
      </c>
      <c r="CF41" s="34">
        <f t="shared" ca="1" si="64"/>
        <v>0</v>
      </c>
      <c r="CG41" s="34">
        <f t="shared" ca="1" si="64"/>
        <v>0</v>
      </c>
      <c r="CH41" s="34">
        <f t="shared" ca="1" si="64"/>
        <v>0</v>
      </c>
      <c r="CI41" s="34">
        <f t="shared" ca="1" si="64"/>
        <v>0</v>
      </c>
      <c r="CJ41" s="34">
        <f t="shared" ca="1" si="64"/>
        <v>0</v>
      </c>
      <c r="CK41" s="34">
        <f t="shared" ca="1" si="64"/>
        <v>0</v>
      </c>
      <c r="CL41" s="34">
        <f t="shared" ca="1" si="64"/>
        <v>0</v>
      </c>
      <c r="CM41" s="34">
        <f t="shared" ca="1" si="64"/>
        <v>0</v>
      </c>
      <c r="CN41" s="34">
        <f t="shared" ca="1" si="64"/>
        <v>0</v>
      </c>
      <c r="CO41" s="34">
        <f t="shared" ca="1" si="64"/>
        <v>0</v>
      </c>
      <c r="CP41" s="34">
        <f t="shared" ca="1" si="64"/>
        <v>0</v>
      </c>
      <c r="CQ41" s="34">
        <f t="shared" ca="1" si="64"/>
        <v>0</v>
      </c>
      <c r="CR41" s="34">
        <f t="shared" ca="1" si="64"/>
        <v>0</v>
      </c>
      <c r="CS41" s="34">
        <f t="shared" ca="1" si="64"/>
        <v>0</v>
      </c>
      <c r="CT41" s="34">
        <f t="shared" ca="1" si="64"/>
        <v>0</v>
      </c>
      <c r="CU41" s="34">
        <f t="shared" ca="1" si="64"/>
        <v>0</v>
      </c>
    </row>
    <row r="42" spans="1:99" x14ac:dyDescent="0.3">
      <c r="A42" s="7" t="s">
        <v>419</v>
      </c>
      <c r="B42" s="1"/>
      <c r="C42" s="11"/>
      <c r="D42" s="34">
        <f ca="1">D41</f>
        <v>285050000</v>
      </c>
      <c r="E42" s="34">
        <f t="shared" ref="E42:AJ42" ca="1" si="65">E41+D42</f>
        <v>286218515</v>
      </c>
      <c r="F42" s="34">
        <f t="shared" ca="1" si="65"/>
        <v>287387030</v>
      </c>
      <c r="G42" s="34">
        <f t="shared" ca="1" si="65"/>
        <v>288555545</v>
      </c>
      <c r="H42" s="34">
        <f t="shared" ca="1" si="65"/>
        <v>289724060</v>
      </c>
      <c r="I42" s="34">
        <f t="shared" ca="1" si="65"/>
        <v>289724060</v>
      </c>
      <c r="J42" s="34">
        <f t="shared" ca="1" si="65"/>
        <v>289724060</v>
      </c>
      <c r="K42" s="34">
        <f t="shared" ca="1" si="65"/>
        <v>289724060</v>
      </c>
      <c r="L42" s="34">
        <f t="shared" ca="1" si="65"/>
        <v>296487785.56796348</v>
      </c>
      <c r="M42" s="34">
        <f t="shared" ca="1" si="65"/>
        <v>304772410.43283421</v>
      </c>
      <c r="N42" s="34">
        <f t="shared" ca="1" si="65"/>
        <v>307032439.41385907</v>
      </c>
      <c r="O42" s="34">
        <f t="shared" ca="1" si="65"/>
        <v>311698714.59241462</v>
      </c>
      <c r="P42" s="34">
        <f t="shared" ca="1" si="65"/>
        <v>318652088.5686909</v>
      </c>
      <c r="Q42" s="34">
        <f t="shared" ca="1" si="65"/>
        <v>327724475.54693198</v>
      </c>
      <c r="R42" s="34">
        <f t="shared" ca="1" si="65"/>
        <v>338700654.85509813</v>
      </c>
      <c r="S42" s="34">
        <f t="shared" ca="1" si="65"/>
        <v>351320777.68678313</v>
      </c>
      <c r="T42" s="34">
        <f t="shared" ca="1" si="65"/>
        <v>365283507.16627282</v>
      </c>
      <c r="U42" s="34">
        <f t="shared" ca="1" si="65"/>
        <v>380249698.55734396</v>
      </c>
      <c r="V42" s="34">
        <f t="shared" ca="1" si="65"/>
        <v>395846498.9356007</v>
      </c>
      <c r="W42" s="34">
        <f t="shared" ca="1" si="65"/>
        <v>411671710.99679422</v>
      </c>
      <c r="X42" s="34">
        <f t="shared" ca="1" si="65"/>
        <v>415383240.30660838</v>
      </c>
      <c r="Y42" s="34">
        <f t="shared" ca="1" si="65"/>
        <v>415383240.30660838</v>
      </c>
      <c r="Z42" s="34">
        <f t="shared" ca="1" si="65"/>
        <v>415383240.30660838</v>
      </c>
      <c r="AA42" s="34">
        <f t="shared" ca="1" si="65"/>
        <v>415383240.30660838</v>
      </c>
      <c r="AB42" s="34">
        <f t="shared" ca="1" si="65"/>
        <v>415383240.30660838</v>
      </c>
      <c r="AC42" s="34">
        <f t="shared" ca="1" si="65"/>
        <v>415383240.30660838</v>
      </c>
      <c r="AD42" s="34">
        <f t="shared" ca="1" si="65"/>
        <v>415383240.30660838</v>
      </c>
      <c r="AE42" s="34">
        <f t="shared" ca="1" si="65"/>
        <v>415383240.30660838</v>
      </c>
      <c r="AF42" s="34">
        <f t="shared" ca="1" si="65"/>
        <v>415383240.30660838</v>
      </c>
      <c r="AG42" s="34">
        <f t="shared" ca="1" si="65"/>
        <v>415383240.30660838</v>
      </c>
      <c r="AH42" s="34">
        <f t="shared" ca="1" si="65"/>
        <v>415383240.30660838</v>
      </c>
      <c r="AI42" s="34">
        <f t="shared" ca="1" si="65"/>
        <v>415383240.30660838</v>
      </c>
      <c r="AJ42" s="34">
        <f t="shared" ca="1" si="65"/>
        <v>415383240.30660838</v>
      </c>
      <c r="AK42" s="34">
        <f t="shared" ref="AK42:BP42" ca="1" si="66">AK41+AJ42</f>
        <v>415383240.30660838</v>
      </c>
      <c r="AL42" s="34">
        <f t="shared" ca="1" si="66"/>
        <v>415383240.30660838</v>
      </c>
      <c r="AM42" s="34">
        <f t="shared" ca="1" si="66"/>
        <v>415383240.30660838</v>
      </c>
      <c r="AN42" s="34">
        <f t="shared" ca="1" si="66"/>
        <v>415383240.30660838</v>
      </c>
      <c r="AO42" s="34">
        <f t="shared" ca="1" si="66"/>
        <v>415383240.30660838</v>
      </c>
      <c r="AP42" s="34">
        <f t="shared" ca="1" si="66"/>
        <v>415383240.30660838</v>
      </c>
      <c r="AQ42" s="34">
        <f t="shared" ca="1" si="66"/>
        <v>415383240.30660838</v>
      </c>
      <c r="AR42" s="34">
        <f t="shared" ca="1" si="66"/>
        <v>415383240.30660838</v>
      </c>
      <c r="AS42" s="34">
        <f t="shared" ca="1" si="66"/>
        <v>415383240.30660838</v>
      </c>
      <c r="AT42" s="34">
        <f t="shared" ca="1" si="66"/>
        <v>415383240.30660838</v>
      </c>
      <c r="AU42" s="34">
        <f t="shared" ca="1" si="66"/>
        <v>415383240.30660838</v>
      </c>
      <c r="AV42" s="34">
        <f t="shared" ca="1" si="66"/>
        <v>415383240.30660838</v>
      </c>
      <c r="AW42" s="34">
        <f t="shared" ca="1" si="66"/>
        <v>415383240.30660838</v>
      </c>
      <c r="AX42" s="34">
        <f t="shared" ca="1" si="66"/>
        <v>415383240.30660838</v>
      </c>
      <c r="AY42" s="34">
        <f t="shared" ca="1" si="66"/>
        <v>415383240.30660838</v>
      </c>
      <c r="AZ42" s="34">
        <f t="shared" ca="1" si="66"/>
        <v>415383240.30660838</v>
      </c>
      <c r="BA42" s="34">
        <f t="shared" ca="1" si="66"/>
        <v>415383240.30660838</v>
      </c>
      <c r="BB42" s="34">
        <f t="shared" ca="1" si="66"/>
        <v>415383240.30660838</v>
      </c>
      <c r="BC42" s="34">
        <f t="shared" ca="1" si="66"/>
        <v>415383240.30660838</v>
      </c>
      <c r="BD42" s="34">
        <f t="shared" ca="1" si="66"/>
        <v>415383240.30660838</v>
      </c>
      <c r="BE42" s="34">
        <f t="shared" ca="1" si="66"/>
        <v>415383240.30660838</v>
      </c>
      <c r="BF42" s="34">
        <f t="shared" ca="1" si="66"/>
        <v>415383240.30660838</v>
      </c>
      <c r="BG42" s="34">
        <f t="shared" ca="1" si="66"/>
        <v>415383240.30660838</v>
      </c>
      <c r="BH42" s="34">
        <f t="shared" ca="1" si="66"/>
        <v>415383240.30660838</v>
      </c>
      <c r="BI42" s="34">
        <f t="shared" ca="1" si="66"/>
        <v>415383240.30660838</v>
      </c>
      <c r="BJ42" s="34">
        <f t="shared" ca="1" si="66"/>
        <v>415383240.30660838</v>
      </c>
      <c r="BK42" s="34">
        <f t="shared" ca="1" si="66"/>
        <v>415383240.30660838</v>
      </c>
      <c r="BL42" s="34">
        <f t="shared" ca="1" si="66"/>
        <v>415383240.30660838</v>
      </c>
      <c r="BM42" s="34">
        <f t="shared" ca="1" si="66"/>
        <v>415383240.30660838</v>
      </c>
      <c r="BN42" s="34">
        <f t="shared" ca="1" si="66"/>
        <v>415383240.30660838</v>
      </c>
      <c r="BO42" s="34">
        <f t="shared" ca="1" si="66"/>
        <v>415383240.30660838</v>
      </c>
      <c r="BP42" s="34">
        <f t="shared" ca="1" si="66"/>
        <v>415383240.30660838</v>
      </c>
      <c r="BQ42" s="34">
        <f t="shared" ref="BQ42:CV42" ca="1" si="67">BQ41+BP42</f>
        <v>415383240.30660838</v>
      </c>
      <c r="BR42" s="34">
        <f t="shared" ca="1" si="67"/>
        <v>415383240.30660838</v>
      </c>
      <c r="BS42" s="34">
        <f t="shared" ca="1" si="67"/>
        <v>415383240.30660838</v>
      </c>
      <c r="BT42" s="34">
        <f t="shared" ca="1" si="67"/>
        <v>415383240.30660838</v>
      </c>
      <c r="BU42" s="34">
        <f t="shared" ca="1" si="67"/>
        <v>415383240.30660838</v>
      </c>
      <c r="BV42" s="34">
        <f t="shared" ca="1" si="67"/>
        <v>415383240.30660838</v>
      </c>
      <c r="BW42" s="34">
        <f t="shared" ca="1" si="67"/>
        <v>415383240.30660838</v>
      </c>
      <c r="BX42" s="34">
        <f t="shared" ca="1" si="67"/>
        <v>415383240.30660838</v>
      </c>
      <c r="BY42" s="34">
        <f t="shared" ca="1" si="67"/>
        <v>415383240.30660838</v>
      </c>
      <c r="BZ42" s="34">
        <f t="shared" ca="1" si="67"/>
        <v>415383240.30660838</v>
      </c>
      <c r="CA42" s="34">
        <f t="shared" ca="1" si="67"/>
        <v>415383240.30660838</v>
      </c>
      <c r="CB42" s="34">
        <f t="shared" ca="1" si="67"/>
        <v>415383240.30660838</v>
      </c>
      <c r="CC42" s="34">
        <f t="shared" ca="1" si="67"/>
        <v>415383240.30660838</v>
      </c>
      <c r="CD42" s="34">
        <f t="shared" ca="1" si="67"/>
        <v>415383240.30660838</v>
      </c>
      <c r="CE42" s="34">
        <f t="shared" ca="1" si="67"/>
        <v>415383240.30660838</v>
      </c>
      <c r="CF42" s="34">
        <f t="shared" ca="1" si="67"/>
        <v>415383240.30660838</v>
      </c>
      <c r="CG42" s="34">
        <f t="shared" ca="1" si="67"/>
        <v>415383240.30660838</v>
      </c>
      <c r="CH42" s="34">
        <f t="shared" ca="1" si="67"/>
        <v>415383240.30660838</v>
      </c>
      <c r="CI42" s="34">
        <f t="shared" ca="1" si="67"/>
        <v>415383240.30660838</v>
      </c>
      <c r="CJ42" s="34">
        <f t="shared" ca="1" si="67"/>
        <v>415383240.30660838</v>
      </c>
      <c r="CK42" s="34">
        <f t="shared" ca="1" si="67"/>
        <v>415383240.30660838</v>
      </c>
      <c r="CL42" s="34">
        <f t="shared" ca="1" si="67"/>
        <v>415383240.30660838</v>
      </c>
      <c r="CM42" s="34">
        <f t="shared" ca="1" si="67"/>
        <v>415383240.30660838</v>
      </c>
      <c r="CN42" s="34">
        <f t="shared" ca="1" si="67"/>
        <v>415383240.30660838</v>
      </c>
      <c r="CO42" s="34">
        <f t="shared" ca="1" si="67"/>
        <v>415383240.30660838</v>
      </c>
      <c r="CP42" s="34">
        <f t="shared" ca="1" si="67"/>
        <v>415383240.30660838</v>
      </c>
      <c r="CQ42" s="34">
        <f t="shared" ca="1" si="67"/>
        <v>415383240.30660838</v>
      </c>
      <c r="CR42" s="34">
        <f t="shared" ca="1" si="67"/>
        <v>415383240.30660838</v>
      </c>
      <c r="CS42" s="34">
        <f t="shared" ca="1" si="67"/>
        <v>415383240.30660838</v>
      </c>
      <c r="CT42" s="34">
        <f t="shared" ca="1" si="67"/>
        <v>415383240.30660838</v>
      </c>
      <c r="CU42" s="34">
        <f t="shared" ca="1" si="67"/>
        <v>415383240.30660838</v>
      </c>
    </row>
    <row r="43" spans="1:99" x14ac:dyDescent="0.3">
      <c r="A43" s="7" t="s">
        <v>420</v>
      </c>
      <c r="B43" s="21">
        <f ca="1">SUM(D43:CU43)</f>
        <v>0</v>
      </c>
      <c r="C43" s="11"/>
      <c r="D43" s="34">
        <f t="shared" ref="D43:AI43" ca="1" si="68">MIN(MAX(D38,0)-D40-D41,MAX(F_MezzCommit-D31-D35,0))</f>
        <v>0</v>
      </c>
      <c r="E43" s="34">
        <f t="shared" ca="1" si="68"/>
        <v>0</v>
      </c>
      <c r="F43" s="34">
        <f t="shared" ca="1" si="68"/>
        <v>0</v>
      </c>
      <c r="G43" s="34">
        <f t="shared" ca="1" si="68"/>
        <v>0</v>
      </c>
      <c r="H43" s="34">
        <f t="shared" ca="1" si="68"/>
        <v>0</v>
      </c>
      <c r="I43" s="34">
        <f t="shared" ca="1" si="68"/>
        <v>0</v>
      </c>
      <c r="J43" s="34">
        <f t="shared" ca="1" si="68"/>
        <v>0</v>
      </c>
      <c r="K43" s="34">
        <f t="shared" ca="1" si="68"/>
        <v>0</v>
      </c>
      <c r="L43" s="34">
        <f t="shared" ca="1" si="68"/>
        <v>0</v>
      </c>
      <c r="M43" s="34">
        <f t="shared" ca="1" si="68"/>
        <v>0</v>
      </c>
      <c r="N43" s="34">
        <f t="shared" ca="1" si="68"/>
        <v>0</v>
      </c>
      <c r="O43" s="34">
        <f t="shared" ca="1" si="68"/>
        <v>0</v>
      </c>
      <c r="P43" s="34">
        <f t="shared" ca="1" si="68"/>
        <v>0</v>
      </c>
      <c r="Q43" s="34">
        <f t="shared" ca="1" si="68"/>
        <v>0</v>
      </c>
      <c r="R43" s="34">
        <f t="shared" ca="1" si="68"/>
        <v>0</v>
      </c>
      <c r="S43" s="34">
        <f t="shared" ca="1" si="68"/>
        <v>0</v>
      </c>
      <c r="T43" s="34">
        <f t="shared" ca="1" si="68"/>
        <v>0</v>
      </c>
      <c r="U43" s="34">
        <f t="shared" ca="1" si="68"/>
        <v>0</v>
      </c>
      <c r="V43" s="34">
        <f t="shared" ca="1" si="68"/>
        <v>0</v>
      </c>
      <c r="W43" s="34">
        <f t="shared" ca="1" si="68"/>
        <v>0</v>
      </c>
      <c r="X43" s="34">
        <f t="shared" ca="1" si="68"/>
        <v>0</v>
      </c>
      <c r="Y43" s="34">
        <f t="shared" ca="1" si="68"/>
        <v>0</v>
      </c>
      <c r="Z43" s="34">
        <f t="shared" ca="1" si="68"/>
        <v>0</v>
      </c>
      <c r="AA43" s="34">
        <f t="shared" ca="1" si="68"/>
        <v>0</v>
      </c>
      <c r="AB43" s="34">
        <f t="shared" ca="1" si="68"/>
        <v>0</v>
      </c>
      <c r="AC43" s="34">
        <f t="shared" ca="1" si="68"/>
        <v>0</v>
      </c>
      <c r="AD43" s="34">
        <f t="shared" ca="1" si="68"/>
        <v>0</v>
      </c>
      <c r="AE43" s="34">
        <f t="shared" ca="1" si="68"/>
        <v>0</v>
      </c>
      <c r="AF43" s="34">
        <f t="shared" ca="1" si="68"/>
        <v>0</v>
      </c>
      <c r="AG43" s="34">
        <f t="shared" ca="1" si="68"/>
        <v>0</v>
      </c>
      <c r="AH43" s="34">
        <f t="shared" ca="1" si="68"/>
        <v>0</v>
      </c>
      <c r="AI43" s="34">
        <f t="shared" ca="1" si="68"/>
        <v>0</v>
      </c>
      <c r="AJ43" s="34">
        <f t="shared" ref="AJ43:BO43" ca="1" si="69">MIN(MAX(AJ38,0)-AJ40-AJ41,MAX(F_MezzCommit-AJ31-AJ35,0))</f>
        <v>0</v>
      </c>
      <c r="AK43" s="34">
        <f t="shared" ca="1" si="69"/>
        <v>0</v>
      </c>
      <c r="AL43" s="34">
        <f t="shared" ca="1" si="69"/>
        <v>0</v>
      </c>
      <c r="AM43" s="34">
        <f t="shared" ca="1" si="69"/>
        <v>0</v>
      </c>
      <c r="AN43" s="34">
        <f t="shared" ca="1" si="69"/>
        <v>0</v>
      </c>
      <c r="AO43" s="34">
        <f t="shared" ca="1" si="69"/>
        <v>0</v>
      </c>
      <c r="AP43" s="34">
        <f t="shared" ca="1" si="69"/>
        <v>0</v>
      </c>
      <c r="AQ43" s="34">
        <f t="shared" ca="1" si="69"/>
        <v>0</v>
      </c>
      <c r="AR43" s="34">
        <f t="shared" ca="1" si="69"/>
        <v>0</v>
      </c>
      <c r="AS43" s="34">
        <f t="shared" ca="1" si="69"/>
        <v>0</v>
      </c>
      <c r="AT43" s="34">
        <f t="shared" ca="1" si="69"/>
        <v>0</v>
      </c>
      <c r="AU43" s="34">
        <f t="shared" ca="1" si="69"/>
        <v>0</v>
      </c>
      <c r="AV43" s="34">
        <f t="shared" ca="1" si="69"/>
        <v>0</v>
      </c>
      <c r="AW43" s="34">
        <f t="shared" ca="1" si="69"/>
        <v>0</v>
      </c>
      <c r="AX43" s="34">
        <f t="shared" ca="1" si="69"/>
        <v>0</v>
      </c>
      <c r="AY43" s="34">
        <f t="shared" ca="1" si="69"/>
        <v>0</v>
      </c>
      <c r="AZ43" s="34">
        <f t="shared" ca="1" si="69"/>
        <v>0</v>
      </c>
      <c r="BA43" s="34">
        <f t="shared" ca="1" si="69"/>
        <v>0</v>
      </c>
      <c r="BB43" s="34">
        <f t="shared" ca="1" si="69"/>
        <v>0</v>
      </c>
      <c r="BC43" s="34">
        <f t="shared" ca="1" si="69"/>
        <v>0</v>
      </c>
      <c r="BD43" s="34">
        <f t="shared" ca="1" si="69"/>
        <v>0</v>
      </c>
      <c r="BE43" s="34">
        <f t="shared" ca="1" si="69"/>
        <v>0</v>
      </c>
      <c r="BF43" s="34">
        <f t="shared" ca="1" si="69"/>
        <v>0</v>
      </c>
      <c r="BG43" s="34">
        <f t="shared" ca="1" si="69"/>
        <v>0</v>
      </c>
      <c r="BH43" s="34">
        <f t="shared" ca="1" si="69"/>
        <v>0</v>
      </c>
      <c r="BI43" s="34">
        <f t="shared" ca="1" si="69"/>
        <v>0</v>
      </c>
      <c r="BJ43" s="34">
        <f t="shared" ca="1" si="69"/>
        <v>0</v>
      </c>
      <c r="BK43" s="34">
        <f t="shared" ca="1" si="69"/>
        <v>0</v>
      </c>
      <c r="BL43" s="34">
        <f t="shared" ca="1" si="69"/>
        <v>0</v>
      </c>
      <c r="BM43" s="34">
        <f t="shared" ca="1" si="69"/>
        <v>0</v>
      </c>
      <c r="BN43" s="34">
        <f t="shared" ca="1" si="69"/>
        <v>0</v>
      </c>
      <c r="BO43" s="34">
        <f t="shared" ca="1" si="69"/>
        <v>0</v>
      </c>
      <c r="BP43" s="34">
        <f t="shared" ref="BP43:CU43" ca="1" si="70">MIN(MAX(BP38,0)-BP40-BP41,MAX(F_MezzCommit-BP31-BP35,0))</f>
        <v>0</v>
      </c>
      <c r="BQ43" s="34">
        <f t="shared" ca="1" si="70"/>
        <v>0</v>
      </c>
      <c r="BR43" s="34">
        <f t="shared" ca="1" si="70"/>
        <v>0</v>
      </c>
      <c r="BS43" s="34">
        <f t="shared" ca="1" si="70"/>
        <v>0</v>
      </c>
      <c r="BT43" s="34">
        <f t="shared" ca="1" si="70"/>
        <v>0</v>
      </c>
      <c r="BU43" s="34">
        <f t="shared" ca="1" si="70"/>
        <v>0</v>
      </c>
      <c r="BV43" s="34">
        <f t="shared" ca="1" si="70"/>
        <v>0</v>
      </c>
      <c r="BW43" s="34">
        <f t="shared" ca="1" si="70"/>
        <v>0</v>
      </c>
      <c r="BX43" s="34">
        <f t="shared" ca="1" si="70"/>
        <v>0</v>
      </c>
      <c r="BY43" s="34">
        <f t="shared" ca="1" si="70"/>
        <v>0</v>
      </c>
      <c r="BZ43" s="34">
        <f t="shared" ca="1" si="70"/>
        <v>0</v>
      </c>
      <c r="CA43" s="34">
        <f t="shared" ca="1" si="70"/>
        <v>0</v>
      </c>
      <c r="CB43" s="34">
        <f t="shared" ca="1" si="70"/>
        <v>0</v>
      </c>
      <c r="CC43" s="34">
        <f t="shared" ca="1" si="70"/>
        <v>0</v>
      </c>
      <c r="CD43" s="34">
        <f t="shared" ca="1" si="70"/>
        <v>0</v>
      </c>
      <c r="CE43" s="34">
        <f t="shared" ca="1" si="70"/>
        <v>0</v>
      </c>
      <c r="CF43" s="34">
        <f t="shared" ca="1" si="70"/>
        <v>0</v>
      </c>
      <c r="CG43" s="34">
        <f t="shared" ca="1" si="70"/>
        <v>0</v>
      </c>
      <c r="CH43" s="34">
        <f t="shared" ca="1" si="70"/>
        <v>0</v>
      </c>
      <c r="CI43" s="34">
        <f t="shared" ca="1" si="70"/>
        <v>0</v>
      </c>
      <c r="CJ43" s="34">
        <f t="shared" ca="1" si="70"/>
        <v>0</v>
      </c>
      <c r="CK43" s="34">
        <f t="shared" ca="1" si="70"/>
        <v>0</v>
      </c>
      <c r="CL43" s="34">
        <f t="shared" ca="1" si="70"/>
        <v>0</v>
      </c>
      <c r="CM43" s="34">
        <f t="shared" ca="1" si="70"/>
        <v>0</v>
      </c>
      <c r="CN43" s="34">
        <f t="shared" ca="1" si="70"/>
        <v>0</v>
      </c>
      <c r="CO43" s="34">
        <f t="shared" ca="1" si="70"/>
        <v>0</v>
      </c>
      <c r="CP43" s="34">
        <f t="shared" ca="1" si="70"/>
        <v>0</v>
      </c>
      <c r="CQ43" s="34">
        <f t="shared" ca="1" si="70"/>
        <v>0</v>
      </c>
      <c r="CR43" s="34">
        <f t="shared" ca="1" si="70"/>
        <v>0</v>
      </c>
      <c r="CS43" s="34">
        <f t="shared" ca="1" si="70"/>
        <v>0</v>
      </c>
      <c r="CT43" s="34">
        <f t="shared" ca="1" si="70"/>
        <v>0</v>
      </c>
      <c r="CU43" s="34">
        <f t="shared" ca="1" si="70"/>
        <v>0</v>
      </c>
    </row>
    <row r="44" spans="1:99" x14ac:dyDescent="0.3">
      <c r="A44" s="7" t="s">
        <v>421</v>
      </c>
      <c r="B44" s="21">
        <f ca="1">SUM(D44:CU44)</f>
        <v>75883800.528193414</v>
      </c>
      <c r="C44" s="11"/>
      <c r="D44" s="34">
        <f t="shared" ref="D44:AI44" ca="1" si="71">MIN(MAX(D38,0)-D40-D41-D43,MAX(F_SeniorCommit-D29-D34,0))</f>
        <v>0</v>
      </c>
      <c r="E44" s="34">
        <f t="shared" ca="1" si="71"/>
        <v>0</v>
      </c>
      <c r="F44" s="34">
        <f t="shared" ca="1" si="71"/>
        <v>0</v>
      </c>
      <c r="G44" s="34">
        <f t="shared" ca="1" si="71"/>
        <v>0</v>
      </c>
      <c r="H44" s="34">
        <f t="shared" ca="1" si="71"/>
        <v>0</v>
      </c>
      <c r="I44" s="34">
        <f t="shared" ca="1" si="71"/>
        <v>0</v>
      </c>
      <c r="J44" s="34">
        <f t="shared" ca="1" si="71"/>
        <v>0</v>
      </c>
      <c r="K44" s="34">
        <f t="shared" ca="1" si="71"/>
        <v>0</v>
      </c>
      <c r="L44" s="34">
        <f t="shared" ca="1" si="71"/>
        <v>0</v>
      </c>
      <c r="M44" s="34">
        <f t="shared" ca="1" si="71"/>
        <v>0</v>
      </c>
      <c r="N44" s="34">
        <f t="shared" ca="1" si="71"/>
        <v>0</v>
      </c>
      <c r="O44" s="34">
        <f t="shared" ca="1" si="71"/>
        <v>0</v>
      </c>
      <c r="P44" s="34">
        <f t="shared" ca="1" si="71"/>
        <v>0</v>
      </c>
      <c r="Q44" s="34">
        <f t="shared" ca="1" si="71"/>
        <v>0</v>
      </c>
      <c r="R44" s="34">
        <f t="shared" ca="1" si="71"/>
        <v>0</v>
      </c>
      <c r="S44" s="34">
        <f t="shared" ca="1" si="71"/>
        <v>0</v>
      </c>
      <c r="T44" s="34">
        <f t="shared" ca="1" si="71"/>
        <v>0</v>
      </c>
      <c r="U44" s="34">
        <f t="shared" ca="1" si="71"/>
        <v>0</v>
      </c>
      <c r="V44" s="34">
        <f t="shared" ca="1" si="71"/>
        <v>0</v>
      </c>
      <c r="W44" s="34">
        <f t="shared" ca="1" si="71"/>
        <v>0</v>
      </c>
      <c r="X44" s="34">
        <f t="shared" ca="1" si="71"/>
        <v>11914978.273118386</v>
      </c>
      <c r="Y44" s="34">
        <f t="shared" ca="1" si="71"/>
        <v>14975018.968210267</v>
      </c>
      <c r="Z44" s="34">
        <f t="shared" ca="1" si="71"/>
        <v>13857311.03823892</v>
      </c>
      <c r="AA44" s="34">
        <f t="shared" ca="1" si="71"/>
        <v>12260491.570622556</v>
      </c>
      <c r="AB44" s="34">
        <f t="shared" ca="1" si="71"/>
        <v>10170517.11518375</v>
      </c>
      <c r="AC44" s="34">
        <f t="shared" ca="1" si="71"/>
        <v>7570027.6653038263</v>
      </c>
      <c r="AD44" s="34">
        <f t="shared" ca="1" si="71"/>
        <v>4431537.1388295935</v>
      </c>
      <c r="AE44" s="34">
        <f t="shared" ca="1" si="71"/>
        <v>703918.75874271593</v>
      </c>
      <c r="AF44" s="34">
        <f t="shared" ca="1" si="71"/>
        <v>0</v>
      </c>
      <c r="AG44" s="34">
        <f t="shared" ca="1" si="71"/>
        <v>0</v>
      </c>
      <c r="AH44" s="34">
        <f t="shared" ca="1" si="71"/>
        <v>0</v>
      </c>
      <c r="AI44" s="34">
        <f t="shared" ca="1" si="71"/>
        <v>0</v>
      </c>
      <c r="AJ44" s="34">
        <f t="shared" ref="AJ44:BO44" ca="1" si="72">MIN(MAX(AJ38,0)-AJ40-AJ41-AJ43,MAX(F_SeniorCommit-AJ29-AJ34,0))</f>
        <v>0</v>
      </c>
      <c r="AK44" s="34">
        <f t="shared" ca="1" si="72"/>
        <v>0</v>
      </c>
      <c r="AL44" s="34">
        <f t="shared" ca="1" si="72"/>
        <v>0</v>
      </c>
      <c r="AM44" s="34">
        <f t="shared" ca="1" si="72"/>
        <v>0</v>
      </c>
      <c r="AN44" s="34">
        <f t="shared" ca="1" si="72"/>
        <v>0</v>
      </c>
      <c r="AO44" s="34">
        <f t="shared" ca="1" si="72"/>
        <v>0</v>
      </c>
      <c r="AP44" s="34">
        <f t="shared" ca="1" si="72"/>
        <v>0</v>
      </c>
      <c r="AQ44" s="34">
        <f t="shared" ca="1" si="72"/>
        <v>0</v>
      </c>
      <c r="AR44" s="34">
        <f t="shared" ca="1" si="72"/>
        <v>0</v>
      </c>
      <c r="AS44" s="34">
        <f t="shared" ca="1" si="72"/>
        <v>0</v>
      </c>
      <c r="AT44" s="34">
        <f t="shared" ca="1" si="72"/>
        <v>0</v>
      </c>
      <c r="AU44" s="34">
        <f t="shared" ca="1" si="72"/>
        <v>0</v>
      </c>
      <c r="AV44" s="34">
        <f t="shared" ca="1" si="72"/>
        <v>0</v>
      </c>
      <c r="AW44" s="34">
        <f t="shared" ca="1" si="72"/>
        <v>0</v>
      </c>
      <c r="AX44" s="34">
        <f t="shared" ca="1" si="72"/>
        <v>0</v>
      </c>
      <c r="AY44" s="34">
        <f t="shared" ca="1" si="72"/>
        <v>0</v>
      </c>
      <c r="AZ44" s="34">
        <f t="shared" ca="1" si="72"/>
        <v>0</v>
      </c>
      <c r="BA44" s="34">
        <f t="shared" ca="1" si="72"/>
        <v>0</v>
      </c>
      <c r="BB44" s="34">
        <f t="shared" ca="1" si="72"/>
        <v>0</v>
      </c>
      <c r="BC44" s="34">
        <f t="shared" ca="1" si="72"/>
        <v>0</v>
      </c>
      <c r="BD44" s="34">
        <f t="shared" ca="1" si="72"/>
        <v>0</v>
      </c>
      <c r="BE44" s="34">
        <f t="shared" ca="1" si="72"/>
        <v>0</v>
      </c>
      <c r="BF44" s="34">
        <f t="shared" ca="1" si="72"/>
        <v>0</v>
      </c>
      <c r="BG44" s="34">
        <f t="shared" ca="1" si="72"/>
        <v>0</v>
      </c>
      <c r="BH44" s="34">
        <f t="shared" ca="1" si="72"/>
        <v>0</v>
      </c>
      <c r="BI44" s="34">
        <f t="shared" ca="1" si="72"/>
        <v>0</v>
      </c>
      <c r="BJ44" s="34">
        <f t="shared" ca="1" si="72"/>
        <v>0</v>
      </c>
      <c r="BK44" s="34">
        <f t="shared" ca="1" si="72"/>
        <v>0</v>
      </c>
      <c r="BL44" s="34">
        <f t="shared" ca="1" si="72"/>
        <v>0</v>
      </c>
      <c r="BM44" s="34">
        <f t="shared" ca="1" si="72"/>
        <v>0</v>
      </c>
      <c r="BN44" s="34">
        <f t="shared" ca="1" si="72"/>
        <v>0</v>
      </c>
      <c r="BO44" s="34">
        <f t="shared" ca="1" si="72"/>
        <v>0</v>
      </c>
      <c r="BP44" s="34">
        <f t="shared" ref="BP44:CU44" ca="1" si="73">MIN(MAX(BP38,0)-BP40-BP41-BP43,MAX(F_SeniorCommit-BP29-BP34,0))</f>
        <v>0</v>
      </c>
      <c r="BQ44" s="34">
        <f t="shared" ca="1" si="73"/>
        <v>0</v>
      </c>
      <c r="BR44" s="34">
        <f t="shared" ca="1" si="73"/>
        <v>0</v>
      </c>
      <c r="BS44" s="34">
        <f t="shared" ca="1" si="73"/>
        <v>0</v>
      </c>
      <c r="BT44" s="34">
        <f t="shared" ca="1" si="73"/>
        <v>0</v>
      </c>
      <c r="BU44" s="34">
        <f t="shared" ca="1" si="73"/>
        <v>0</v>
      </c>
      <c r="BV44" s="34">
        <f t="shared" ca="1" si="73"/>
        <v>0</v>
      </c>
      <c r="BW44" s="34">
        <f t="shared" ca="1" si="73"/>
        <v>0</v>
      </c>
      <c r="BX44" s="34">
        <f t="shared" ca="1" si="73"/>
        <v>0</v>
      </c>
      <c r="BY44" s="34">
        <f t="shared" ca="1" si="73"/>
        <v>0</v>
      </c>
      <c r="BZ44" s="34">
        <f t="shared" ca="1" si="73"/>
        <v>0</v>
      </c>
      <c r="CA44" s="34">
        <f t="shared" ca="1" si="73"/>
        <v>0</v>
      </c>
      <c r="CB44" s="34">
        <f t="shared" ca="1" si="73"/>
        <v>0</v>
      </c>
      <c r="CC44" s="34">
        <f t="shared" ca="1" si="73"/>
        <v>0</v>
      </c>
      <c r="CD44" s="34">
        <f t="shared" ca="1" si="73"/>
        <v>0</v>
      </c>
      <c r="CE44" s="34">
        <f t="shared" ca="1" si="73"/>
        <v>0</v>
      </c>
      <c r="CF44" s="34">
        <f t="shared" ca="1" si="73"/>
        <v>0</v>
      </c>
      <c r="CG44" s="34">
        <f t="shared" ca="1" si="73"/>
        <v>0</v>
      </c>
      <c r="CH44" s="34">
        <f t="shared" ca="1" si="73"/>
        <v>0</v>
      </c>
      <c r="CI44" s="34">
        <f t="shared" ca="1" si="73"/>
        <v>0</v>
      </c>
      <c r="CJ44" s="34">
        <f t="shared" ca="1" si="73"/>
        <v>0</v>
      </c>
      <c r="CK44" s="34">
        <f t="shared" ca="1" si="73"/>
        <v>0</v>
      </c>
      <c r="CL44" s="34">
        <f t="shared" ca="1" si="73"/>
        <v>0</v>
      </c>
      <c r="CM44" s="34">
        <f t="shared" ca="1" si="73"/>
        <v>0</v>
      </c>
      <c r="CN44" s="34">
        <f t="shared" ca="1" si="73"/>
        <v>0</v>
      </c>
      <c r="CO44" s="34">
        <f t="shared" ca="1" si="73"/>
        <v>0</v>
      </c>
      <c r="CP44" s="34">
        <f t="shared" ca="1" si="73"/>
        <v>0</v>
      </c>
      <c r="CQ44" s="34">
        <f t="shared" ca="1" si="73"/>
        <v>0</v>
      </c>
      <c r="CR44" s="34">
        <f t="shared" ca="1" si="73"/>
        <v>0</v>
      </c>
      <c r="CS44" s="34">
        <f t="shared" ca="1" si="73"/>
        <v>0</v>
      </c>
      <c r="CT44" s="34">
        <f t="shared" ca="1" si="73"/>
        <v>0</v>
      </c>
      <c r="CU44" s="34">
        <f t="shared" ca="1" si="73"/>
        <v>0</v>
      </c>
    </row>
    <row r="45" spans="1:99" x14ac:dyDescent="0.3">
      <c r="A45" s="7" t="s">
        <v>422</v>
      </c>
      <c r="B45" s="21">
        <f ca="1">SUM(D45:CU45)</f>
        <v>0</v>
      </c>
      <c r="C45" s="11"/>
      <c r="D45" s="34">
        <f t="shared" ref="D45:AI45" ca="1" si="74">MAX(MAX(D38,0)-D40-D41-D43-D44,0)</f>
        <v>0</v>
      </c>
      <c r="E45" s="34">
        <f t="shared" ca="1" si="74"/>
        <v>0</v>
      </c>
      <c r="F45" s="34">
        <f t="shared" ca="1" si="74"/>
        <v>0</v>
      </c>
      <c r="G45" s="34">
        <f t="shared" ca="1" si="74"/>
        <v>0</v>
      </c>
      <c r="H45" s="34">
        <f t="shared" ca="1" si="74"/>
        <v>0</v>
      </c>
      <c r="I45" s="34">
        <f t="shared" ca="1" si="74"/>
        <v>0</v>
      </c>
      <c r="J45" s="34">
        <f t="shared" ca="1" si="74"/>
        <v>0</v>
      </c>
      <c r="K45" s="34">
        <f t="shared" ca="1" si="74"/>
        <v>0</v>
      </c>
      <c r="L45" s="34">
        <f t="shared" ca="1" si="74"/>
        <v>0</v>
      </c>
      <c r="M45" s="34">
        <f t="shared" ca="1" si="74"/>
        <v>0</v>
      </c>
      <c r="N45" s="34">
        <f t="shared" ca="1" si="74"/>
        <v>0</v>
      </c>
      <c r="O45" s="34">
        <f t="shared" ca="1" si="74"/>
        <v>0</v>
      </c>
      <c r="P45" s="34">
        <f t="shared" ca="1" si="74"/>
        <v>0</v>
      </c>
      <c r="Q45" s="34">
        <f t="shared" ca="1" si="74"/>
        <v>0</v>
      </c>
      <c r="R45" s="34">
        <f t="shared" ca="1" si="74"/>
        <v>0</v>
      </c>
      <c r="S45" s="34">
        <f t="shared" ca="1" si="74"/>
        <v>0</v>
      </c>
      <c r="T45" s="34">
        <f t="shared" ca="1" si="74"/>
        <v>0</v>
      </c>
      <c r="U45" s="34">
        <f t="shared" ca="1" si="74"/>
        <v>0</v>
      </c>
      <c r="V45" s="34">
        <f t="shared" ca="1" si="74"/>
        <v>0</v>
      </c>
      <c r="W45" s="34">
        <f t="shared" ca="1" si="74"/>
        <v>0</v>
      </c>
      <c r="X45" s="34">
        <f t="shared" ca="1" si="74"/>
        <v>0</v>
      </c>
      <c r="Y45" s="34">
        <f t="shared" ca="1" si="74"/>
        <v>0</v>
      </c>
      <c r="Z45" s="34">
        <f t="shared" ca="1" si="74"/>
        <v>0</v>
      </c>
      <c r="AA45" s="34">
        <f t="shared" ca="1" si="74"/>
        <v>0</v>
      </c>
      <c r="AB45" s="34">
        <f t="shared" ca="1" si="74"/>
        <v>0</v>
      </c>
      <c r="AC45" s="34">
        <f t="shared" ca="1" si="74"/>
        <v>0</v>
      </c>
      <c r="AD45" s="34">
        <f t="shared" ca="1" si="74"/>
        <v>0</v>
      </c>
      <c r="AE45" s="34">
        <f t="shared" ca="1" si="74"/>
        <v>0</v>
      </c>
      <c r="AF45" s="34">
        <f t="shared" ca="1" si="74"/>
        <v>0</v>
      </c>
      <c r="AG45" s="34">
        <f t="shared" ca="1" si="74"/>
        <v>0</v>
      </c>
      <c r="AH45" s="34">
        <f t="shared" ca="1" si="74"/>
        <v>0</v>
      </c>
      <c r="AI45" s="34">
        <f t="shared" ca="1" si="74"/>
        <v>0</v>
      </c>
      <c r="AJ45" s="34">
        <f t="shared" ref="AJ45:BO45" ca="1" si="75">MAX(MAX(AJ38,0)-AJ40-AJ41-AJ43-AJ44,0)</f>
        <v>0</v>
      </c>
      <c r="AK45" s="34">
        <f t="shared" ca="1" si="75"/>
        <v>0</v>
      </c>
      <c r="AL45" s="34">
        <f t="shared" ca="1" si="75"/>
        <v>0</v>
      </c>
      <c r="AM45" s="34">
        <f t="shared" ca="1" si="75"/>
        <v>0</v>
      </c>
      <c r="AN45" s="34">
        <f t="shared" ca="1" si="75"/>
        <v>0</v>
      </c>
      <c r="AO45" s="34">
        <f t="shared" ca="1" si="75"/>
        <v>0</v>
      </c>
      <c r="AP45" s="34">
        <f t="shared" ca="1" si="75"/>
        <v>0</v>
      </c>
      <c r="AQ45" s="34">
        <f t="shared" ca="1" si="75"/>
        <v>0</v>
      </c>
      <c r="AR45" s="34">
        <f t="shared" ca="1" si="75"/>
        <v>0</v>
      </c>
      <c r="AS45" s="34">
        <f t="shared" ca="1" si="75"/>
        <v>0</v>
      </c>
      <c r="AT45" s="34">
        <f t="shared" ca="1" si="75"/>
        <v>0</v>
      </c>
      <c r="AU45" s="34">
        <f t="shared" ca="1" si="75"/>
        <v>0</v>
      </c>
      <c r="AV45" s="34">
        <f t="shared" ca="1" si="75"/>
        <v>0</v>
      </c>
      <c r="AW45" s="34">
        <f t="shared" ca="1" si="75"/>
        <v>0</v>
      </c>
      <c r="AX45" s="34">
        <f t="shared" ca="1" si="75"/>
        <v>0</v>
      </c>
      <c r="AY45" s="34">
        <f t="shared" ca="1" si="75"/>
        <v>0</v>
      </c>
      <c r="AZ45" s="34">
        <f t="shared" ca="1" si="75"/>
        <v>0</v>
      </c>
      <c r="BA45" s="34">
        <f t="shared" ca="1" si="75"/>
        <v>0</v>
      </c>
      <c r="BB45" s="34">
        <f t="shared" ca="1" si="75"/>
        <v>0</v>
      </c>
      <c r="BC45" s="34">
        <f t="shared" ca="1" si="75"/>
        <v>0</v>
      </c>
      <c r="BD45" s="34">
        <f t="shared" ca="1" si="75"/>
        <v>0</v>
      </c>
      <c r="BE45" s="34">
        <f t="shared" ca="1" si="75"/>
        <v>0</v>
      </c>
      <c r="BF45" s="34">
        <f t="shared" ca="1" si="75"/>
        <v>0</v>
      </c>
      <c r="BG45" s="34">
        <f t="shared" ca="1" si="75"/>
        <v>0</v>
      </c>
      <c r="BH45" s="34">
        <f t="shared" ca="1" si="75"/>
        <v>0</v>
      </c>
      <c r="BI45" s="34">
        <f t="shared" ca="1" si="75"/>
        <v>0</v>
      </c>
      <c r="BJ45" s="34">
        <f t="shared" ca="1" si="75"/>
        <v>0</v>
      </c>
      <c r="BK45" s="34">
        <f t="shared" ca="1" si="75"/>
        <v>0</v>
      </c>
      <c r="BL45" s="34">
        <f t="shared" ca="1" si="75"/>
        <v>0</v>
      </c>
      <c r="BM45" s="34">
        <f t="shared" ca="1" si="75"/>
        <v>0</v>
      </c>
      <c r="BN45" s="34">
        <f t="shared" ca="1" si="75"/>
        <v>0</v>
      </c>
      <c r="BO45" s="34">
        <f t="shared" ca="1" si="75"/>
        <v>0</v>
      </c>
      <c r="BP45" s="34">
        <f t="shared" ref="BP45:CU45" ca="1" si="76">MAX(MAX(BP38,0)-BP40-BP41-BP43-BP44,0)</f>
        <v>0</v>
      </c>
      <c r="BQ45" s="34">
        <f t="shared" ca="1" si="76"/>
        <v>0</v>
      </c>
      <c r="BR45" s="34">
        <f t="shared" ca="1" si="76"/>
        <v>0</v>
      </c>
      <c r="BS45" s="34">
        <f t="shared" ca="1" si="76"/>
        <v>0</v>
      </c>
      <c r="BT45" s="34">
        <f t="shared" ca="1" si="76"/>
        <v>0</v>
      </c>
      <c r="BU45" s="34">
        <f t="shared" ca="1" si="76"/>
        <v>0</v>
      </c>
      <c r="BV45" s="34">
        <f t="shared" ca="1" si="76"/>
        <v>0</v>
      </c>
      <c r="BW45" s="34">
        <f t="shared" ca="1" si="76"/>
        <v>0</v>
      </c>
      <c r="BX45" s="34">
        <f t="shared" ca="1" si="76"/>
        <v>0</v>
      </c>
      <c r="BY45" s="34">
        <f t="shared" ca="1" si="76"/>
        <v>0</v>
      </c>
      <c r="BZ45" s="34">
        <f t="shared" ca="1" si="76"/>
        <v>0</v>
      </c>
      <c r="CA45" s="34">
        <f t="shared" ca="1" si="76"/>
        <v>0</v>
      </c>
      <c r="CB45" s="34">
        <f t="shared" ca="1" si="76"/>
        <v>0</v>
      </c>
      <c r="CC45" s="34">
        <f t="shared" ca="1" si="76"/>
        <v>0</v>
      </c>
      <c r="CD45" s="34">
        <f t="shared" ca="1" si="76"/>
        <v>0</v>
      </c>
      <c r="CE45" s="34">
        <f t="shared" ca="1" si="76"/>
        <v>0</v>
      </c>
      <c r="CF45" s="34">
        <f t="shared" ca="1" si="76"/>
        <v>0</v>
      </c>
      <c r="CG45" s="34">
        <f t="shared" ca="1" si="76"/>
        <v>0</v>
      </c>
      <c r="CH45" s="34">
        <f t="shared" ca="1" si="76"/>
        <v>0</v>
      </c>
      <c r="CI45" s="34">
        <f t="shared" ca="1" si="76"/>
        <v>0</v>
      </c>
      <c r="CJ45" s="34">
        <f t="shared" ca="1" si="76"/>
        <v>0</v>
      </c>
      <c r="CK45" s="34">
        <f t="shared" ca="1" si="76"/>
        <v>0</v>
      </c>
      <c r="CL45" s="34">
        <f t="shared" ca="1" si="76"/>
        <v>0</v>
      </c>
      <c r="CM45" s="34">
        <f t="shared" ca="1" si="76"/>
        <v>0</v>
      </c>
      <c r="CN45" s="34">
        <f t="shared" ca="1" si="76"/>
        <v>0</v>
      </c>
      <c r="CO45" s="34">
        <f t="shared" ca="1" si="76"/>
        <v>0</v>
      </c>
      <c r="CP45" s="34">
        <f t="shared" ca="1" si="76"/>
        <v>0</v>
      </c>
      <c r="CQ45" s="34">
        <f t="shared" ca="1" si="76"/>
        <v>0</v>
      </c>
      <c r="CR45" s="34">
        <f t="shared" ca="1" si="76"/>
        <v>0</v>
      </c>
      <c r="CS45" s="34">
        <f t="shared" ca="1" si="76"/>
        <v>0</v>
      </c>
      <c r="CT45" s="34">
        <f t="shared" ca="1" si="76"/>
        <v>0</v>
      </c>
      <c r="CU45" s="34">
        <f t="shared" ca="1" si="76"/>
        <v>0</v>
      </c>
    </row>
    <row r="46" spans="1:99" x14ac:dyDescent="0.3">
      <c r="A46" s="7" t="s">
        <v>423</v>
      </c>
      <c r="B46" s="1"/>
      <c r="C46" s="11"/>
      <c r="D46" s="34">
        <f t="shared" ref="D46:AI46" ca="1" si="77">MAX(-D38,0)</f>
        <v>0</v>
      </c>
      <c r="E46" s="34">
        <f t="shared" ca="1" si="77"/>
        <v>0</v>
      </c>
      <c r="F46" s="34">
        <f t="shared" ca="1" si="77"/>
        <v>0</v>
      </c>
      <c r="G46" s="34">
        <f t="shared" ca="1" si="77"/>
        <v>0</v>
      </c>
      <c r="H46" s="34">
        <f t="shared" ca="1" si="77"/>
        <v>0</v>
      </c>
      <c r="I46" s="34">
        <f t="shared" ca="1" si="77"/>
        <v>681166.53044019453</v>
      </c>
      <c r="J46" s="34">
        <f t="shared" ca="1" si="77"/>
        <v>979461.70043180324</v>
      </c>
      <c r="K46" s="34">
        <f t="shared" ca="1" si="77"/>
        <v>1290524.2906246991</v>
      </c>
      <c r="L46" s="34">
        <f t="shared" ca="1" si="77"/>
        <v>0</v>
      </c>
      <c r="M46" s="34">
        <f t="shared" ca="1" si="77"/>
        <v>0</v>
      </c>
      <c r="N46" s="34">
        <f t="shared" ca="1" si="77"/>
        <v>0</v>
      </c>
      <c r="O46" s="34">
        <f t="shared" ca="1" si="77"/>
        <v>0</v>
      </c>
      <c r="P46" s="34">
        <f t="shared" ca="1" si="77"/>
        <v>0</v>
      </c>
      <c r="Q46" s="34">
        <f t="shared" ca="1" si="77"/>
        <v>0</v>
      </c>
      <c r="R46" s="34">
        <f t="shared" ca="1" si="77"/>
        <v>0</v>
      </c>
      <c r="S46" s="34">
        <f t="shared" ca="1" si="77"/>
        <v>0</v>
      </c>
      <c r="T46" s="34">
        <f t="shared" ca="1" si="77"/>
        <v>0</v>
      </c>
      <c r="U46" s="34">
        <f t="shared" ca="1" si="77"/>
        <v>0</v>
      </c>
      <c r="V46" s="34">
        <f t="shared" ca="1" si="77"/>
        <v>0</v>
      </c>
      <c r="W46" s="34">
        <f t="shared" ca="1" si="77"/>
        <v>0</v>
      </c>
      <c r="X46" s="34">
        <f t="shared" ca="1" si="77"/>
        <v>0</v>
      </c>
      <c r="Y46" s="34">
        <f t="shared" ca="1" si="77"/>
        <v>0</v>
      </c>
      <c r="Z46" s="34">
        <f t="shared" ca="1" si="77"/>
        <v>0</v>
      </c>
      <c r="AA46" s="34">
        <f t="shared" ca="1" si="77"/>
        <v>0</v>
      </c>
      <c r="AB46" s="34">
        <f t="shared" ca="1" si="77"/>
        <v>0</v>
      </c>
      <c r="AC46" s="34">
        <f t="shared" ca="1" si="77"/>
        <v>0</v>
      </c>
      <c r="AD46" s="34">
        <f t="shared" ca="1" si="77"/>
        <v>0</v>
      </c>
      <c r="AE46" s="34">
        <f t="shared" ca="1" si="77"/>
        <v>0</v>
      </c>
      <c r="AF46" s="34">
        <f t="shared" ca="1" si="77"/>
        <v>3717702.6883901535</v>
      </c>
      <c r="AG46" s="34">
        <f t="shared" ca="1" si="77"/>
        <v>9073172.4192173742</v>
      </c>
      <c r="AH46" s="34">
        <f t="shared" ca="1" si="77"/>
        <v>16012544.829355119</v>
      </c>
      <c r="AI46" s="34">
        <f t="shared" ca="1" si="77"/>
        <v>25269335.387176972</v>
      </c>
      <c r="AJ46" s="34">
        <f t="shared" ref="AJ46:BO46" ca="1" si="78">MAX(-AJ38,0)</f>
        <v>725155661.55193138</v>
      </c>
      <c r="AK46" s="34">
        <f t="shared" ca="1" si="78"/>
        <v>0</v>
      </c>
      <c r="AL46" s="34">
        <f t="shared" ca="1" si="78"/>
        <v>0</v>
      </c>
      <c r="AM46" s="34">
        <f t="shared" ca="1" si="78"/>
        <v>0</v>
      </c>
      <c r="AN46" s="34">
        <f t="shared" ca="1" si="78"/>
        <v>0</v>
      </c>
      <c r="AO46" s="34">
        <f t="shared" ca="1" si="78"/>
        <v>0</v>
      </c>
      <c r="AP46" s="34">
        <f t="shared" ca="1" si="78"/>
        <v>0</v>
      </c>
      <c r="AQ46" s="34">
        <f t="shared" ca="1" si="78"/>
        <v>0</v>
      </c>
      <c r="AR46" s="34">
        <f t="shared" ca="1" si="78"/>
        <v>0</v>
      </c>
      <c r="AS46" s="34">
        <f t="shared" ca="1" si="78"/>
        <v>0</v>
      </c>
      <c r="AT46" s="34">
        <f t="shared" ca="1" si="78"/>
        <v>0</v>
      </c>
      <c r="AU46" s="34">
        <f t="shared" ca="1" si="78"/>
        <v>0</v>
      </c>
      <c r="AV46" s="34">
        <f t="shared" ca="1" si="78"/>
        <v>0</v>
      </c>
      <c r="AW46" s="34">
        <f t="shared" ca="1" si="78"/>
        <v>0</v>
      </c>
      <c r="AX46" s="34">
        <f t="shared" ca="1" si="78"/>
        <v>0</v>
      </c>
      <c r="AY46" s="34">
        <f t="shared" ca="1" si="78"/>
        <v>0</v>
      </c>
      <c r="AZ46" s="34">
        <f t="shared" ca="1" si="78"/>
        <v>0</v>
      </c>
      <c r="BA46" s="34">
        <f t="shared" ca="1" si="78"/>
        <v>0</v>
      </c>
      <c r="BB46" s="34">
        <f t="shared" ca="1" si="78"/>
        <v>0</v>
      </c>
      <c r="BC46" s="34">
        <f t="shared" ca="1" si="78"/>
        <v>0</v>
      </c>
      <c r="BD46" s="34">
        <f t="shared" ca="1" si="78"/>
        <v>0</v>
      </c>
      <c r="BE46" s="34">
        <f t="shared" ca="1" si="78"/>
        <v>0</v>
      </c>
      <c r="BF46" s="34">
        <f t="shared" ca="1" si="78"/>
        <v>0</v>
      </c>
      <c r="BG46" s="34">
        <f t="shared" ca="1" si="78"/>
        <v>0</v>
      </c>
      <c r="BH46" s="34">
        <f t="shared" ca="1" si="78"/>
        <v>0</v>
      </c>
      <c r="BI46" s="34">
        <f t="shared" ca="1" si="78"/>
        <v>0</v>
      </c>
      <c r="BJ46" s="34">
        <f t="shared" ca="1" si="78"/>
        <v>0</v>
      </c>
      <c r="BK46" s="34">
        <f t="shared" ca="1" si="78"/>
        <v>0</v>
      </c>
      <c r="BL46" s="34">
        <f t="shared" ca="1" si="78"/>
        <v>0</v>
      </c>
      <c r="BM46" s="34">
        <f t="shared" ca="1" si="78"/>
        <v>0</v>
      </c>
      <c r="BN46" s="34">
        <f t="shared" ca="1" si="78"/>
        <v>0</v>
      </c>
      <c r="BO46" s="34">
        <f t="shared" ca="1" si="78"/>
        <v>0</v>
      </c>
      <c r="BP46" s="34">
        <f t="shared" ref="BP46:CU46" ca="1" si="79">MAX(-BP38,0)</f>
        <v>0</v>
      </c>
      <c r="BQ46" s="34">
        <f t="shared" ca="1" si="79"/>
        <v>0</v>
      </c>
      <c r="BR46" s="34">
        <f t="shared" ca="1" si="79"/>
        <v>0</v>
      </c>
      <c r="BS46" s="34">
        <f t="shared" ca="1" si="79"/>
        <v>0</v>
      </c>
      <c r="BT46" s="34">
        <f t="shared" ca="1" si="79"/>
        <v>0</v>
      </c>
      <c r="BU46" s="34">
        <f t="shared" ca="1" si="79"/>
        <v>0</v>
      </c>
      <c r="BV46" s="34">
        <f t="shared" ca="1" si="79"/>
        <v>0</v>
      </c>
      <c r="BW46" s="34">
        <f t="shared" ca="1" si="79"/>
        <v>0</v>
      </c>
      <c r="BX46" s="34">
        <f t="shared" ca="1" si="79"/>
        <v>0</v>
      </c>
      <c r="BY46" s="34">
        <f t="shared" ca="1" si="79"/>
        <v>0</v>
      </c>
      <c r="BZ46" s="34">
        <f t="shared" ca="1" si="79"/>
        <v>0</v>
      </c>
      <c r="CA46" s="34">
        <f t="shared" ca="1" si="79"/>
        <v>0</v>
      </c>
      <c r="CB46" s="34">
        <f t="shared" ca="1" si="79"/>
        <v>0</v>
      </c>
      <c r="CC46" s="34">
        <f t="shared" ca="1" si="79"/>
        <v>0</v>
      </c>
      <c r="CD46" s="34">
        <f t="shared" ca="1" si="79"/>
        <v>0</v>
      </c>
      <c r="CE46" s="34">
        <f t="shared" ca="1" si="79"/>
        <v>0</v>
      </c>
      <c r="CF46" s="34">
        <f t="shared" ca="1" si="79"/>
        <v>0</v>
      </c>
      <c r="CG46" s="34">
        <f t="shared" ca="1" si="79"/>
        <v>0</v>
      </c>
      <c r="CH46" s="34">
        <f t="shared" ca="1" si="79"/>
        <v>0</v>
      </c>
      <c r="CI46" s="34">
        <f t="shared" ca="1" si="79"/>
        <v>0</v>
      </c>
      <c r="CJ46" s="34">
        <f t="shared" ca="1" si="79"/>
        <v>0</v>
      </c>
      <c r="CK46" s="34">
        <f t="shared" ca="1" si="79"/>
        <v>0</v>
      </c>
      <c r="CL46" s="34">
        <f t="shared" ca="1" si="79"/>
        <v>0</v>
      </c>
      <c r="CM46" s="34">
        <f t="shared" ca="1" si="79"/>
        <v>0</v>
      </c>
      <c r="CN46" s="34">
        <f t="shared" ca="1" si="79"/>
        <v>0</v>
      </c>
      <c r="CO46" s="34">
        <f t="shared" ca="1" si="79"/>
        <v>0</v>
      </c>
      <c r="CP46" s="34">
        <f t="shared" ca="1" si="79"/>
        <v>0</v>
      </c>
      <c r="CQ46" s="34">
        <f t="shared" ca="1" si="79"/>
        <v>0</v>
      </c>
      <c r="CR46" s="34">
        <f t="shared" ca="1" si="79"/>
        <v>0</v>
      </c>
      <c r="CS46" s="34">
        <f t="shared" ca="1" si="79"/>
        <v>0</v>
      </c>
      <c r="CT46" s="34">
        <f t="shared" ca="1" si="79"/>
        <v>0</v>
      </c>
      <c r="CU46" s="34">
        <f t="shared" ca="1" si="79"/>
        <v>0</v>
      </c>
    </row>
    <row r="47" spans="1:99" x14ac:dyDescent="0.3">
      <c r="A47" s="7" t="s">
        <v>424</v>
      </c>
      <c r="B47" s="1"/>
      <c r="C47" s="11"/>
      <c r="D47" s="34">
        <f t="shared" ref="D47:AI47" si="80">IF(D18=1,IF(D17=1,D46,IF(in_mode_sale=0,0,D46*in_fin_sweep_pct)),0)</f>
        <v>0</v>
      </c>
      <c r="E47" s="34">
        <f t="shared" si="80"/>
        <v>0</v>
      </c>
      <c r="F47" s="34">
        <f t="shared" si="80"/>
        <v>0</v>
      </c>
      <c r="G47" s="34">
        <f t="shared" si="80"/>
        <v>0</v>
      </c>
      <c r="H47" s="34">
        <f t="shared" si="80"/>
        <v>0</v>
      </c>
      <c r="I47" s="34">
        <f t="shared" si="80"/>
        <v>0</v>
      </c>
      <c r="J47" s="34">
        <f t="shared" si="80"/>
        <v>0</v>
      </c>
      <c r="K47" s="34">
        <f t="shared" si="80"/>
        <v>0</v>
      </c>
      <c r="L47" s="34">
        <f t="shared" si="80"/>
        <v>0</v>
      </c>
      <c r="M47" s="34">
        <f t="shared" si="80"/>
        <v>0</v>
      </c>
      <c r="N47" s="34">
        <f t="shared" si="80"/>
        <v>0</v>
      </c>
      <c r="O47" s="34">
        <f t="shared" si="80"/>
        <v>0</v>
      </c>
      <c r="P47" s="34">
        <f t="shared" si="80"/>
        <v>0</v>
      </c>
      <c r="Q47" s="34">
        <f t="shared" si="80"/>
        <v>0</v>
      </c>
      <c r="R47" s="34">
        <f t="shared" si="80"/>
        <v>0</v>
      </c>
      <c r="S47" s="34">
        <f t="shared" si="80"/>
        <v>0</v>
      </c>
      <c r="T47" s="34">
        <f t="shared" si="80"/>
        <v>0</v>
      </c>
      <c r="U47" s="34">
        <f t="shared" si="80"/>
        <v>0</v>
      </c>
      <c r="V47" s="34">
        <f t="shared" si="80"/>
        <v>0</v>
      </c>
      <c r="W47" s="34">
        <f t="shared" si="80"/>
        <v>0</v>
      </c>
      <c r="X47" s="34">
        <f t="shared" si="80"/>
        <v>0</v>
      </c>
      <c r="Y47" s="34">
        <f t="shared" si="80"/>
        <v>0</v>
      </c>
      <c r="Z47" s="34">
        <f t="shared" si="80"/>
        <v>0</v>
      </c>
      <c r="AA47" s="34">
        <f t="shared" si="80"/>
        <v>0</v>
      </c>
      <c r="AB47" s="34">
        <f t="shared" si="80"/>
        <v>0</v>
      </c>
      <c r="AC47" s="34">
        <f t="shared" si="80"/>
        <v>0</v>
      </c>
      <c r="AD47" s="34">
        <f t="shared" si="80"/>
        <v>0</v>
      </c>
      <c r="AE47" s="34">
        <f t="shared" si="80"/>
        <v>0</v>
      </c>
      <c r="AF47" s="34">
        <f t="shared" si="80"/>
        <v>0</v>
      </c>
      <c r="AG47" s="34">
        <f t="shared" si="80"/>
        <v>0</v>
      </c>
      <c r="AH47" s="34">
        <f t="shared" si="80"/>
        <v>0</v>
      </c>
      <c r="AI47" s="34">
        <f t="shared" si="80"/>
        <v>0</v>
      </c>
      <c r="AJ47" s="34">
        <f t="shared" ref="AJ47:BO47" ca="1" si="81">IF(AJ18=1,IF(AJ17=1,AJ46,IF(in_mode_sale=0,0,AJ46*in_fin_sweep_pct)),0)</f>
        <v>725155661.55193138</v>
      </c>
      <c r="AK47" s="34">
        <f t="shared" ca="1" si="81"/>
        <v>0</v>
      </c>
      <c r="AL47" s="34">
        <f t="shared" ca="1" si="81"/>
        <v>0</v>
      </c>
      <c r="AM47" s="34">
        <f t="shared" ca="1" si="81"/>
        <v>0</v>
      </c>
      <c r="AN47" s="34">
        <f t="shared" ca="1" si="81"/>
        <v>0</v>
      </c>
      <c r="AO47" s="34">
        <f t="shared" ca="1" si="81"/>
        <v>0</v>
      </c>
      <c r="AP47" s="34">
        <f t="shared" ca="1" si="81"/>
        <v>0</v>
      </c>
      <c r="AQ47" s="34">
        <f t="shared" ca="1" si="81"/>
        <v>0</v>
      </c>
      <c r="AR47" s="34">
        <f t="shared" ca="1" si="81"/>
        <v>0</v>
      </c>
      <c r="AS47" s="34">
        <f t="shared" ca="1" si="81"/>
        <v>0</v>
      </c>
      <c r="AT47" s="34">
        <f t="shared" ca="1" si="81"/>
        <v>0</v>
      </c>
      <c r="AU47" s="34">
        <f t="shared" ca="1" si="81"/>
        <v>0</v>
      </c>
      <c r="AV47" s="34">
        <f t="shared" ca="1" si="81"/>
        <v>0</v>
      </c>
      <c r="AW47" s="34">
        <f t="shared" ca="1" si="81"/>
        <v>0</v>
      </c>
      <c r="AX47" s="34">
        <f t="shared" ca="1" si="81"/>
        <v>0</v>
      </c>
      <c r="AY47" s="34">
        <f t="shared" ca="1" si="81"/>
        <v>0</v>
      </c>
      <c r="AZ47" s="34">
        <f t="shared" ca="1" si="81"/>
        <v>0</v>
      </c>
      <c r="BA47" s="34">
        <f t="shared" ca="1" si="81"/>
        <v>0</v>
      </c>
      <c r="BB47" s="34">
        <f t="shared" ca="1" si="81"/>
        <v>0</v>
      </c>
      <c r="BC47" s="34">
        <f t="shared" ca="1" si="81"/>
        <v>0</v>
      </c>
      <c r="BD47" s="34">
        <f t="shared" ca="1" si="81"/>
        <v>0</v>
      </c>
      <c r="BE47" s="34">
        <f t="shared" ca="1" si="81"/>
        <v>0</v>
      </c>
      <c r="BF47" s="34">
        <f t="shared" ca="1" si="81"/>
        <v>0</v>
      </c>
      <c r="BG47" s="34">
        <f t="shared" ca="1" si="81"/>
        <v>0</v>
      </c>
      <c r="BH47" s="34">
        <f t="shared" ca="1" si="81"/>
        <v>0</v>
      </c>
      <c r="BI47" s="34">
        <f t="shared" ca="1" si="81"/>
        <v>0</v>
      </c>
      <c r="BJ47" s="34">
        <f t="shared" ca="1" si="81"/>
        <v>0</v>
      </c>
      <c r="BK47" s="34">
        <f t="shared" ca="1" si="81"/>
        <v>0</v>
      </c>
      <c r="BL47" s="34">
        <f t="shared" ca="1" si="81"/>
        <v>0</v>
      </c>
      <c r="BM47" s="34">
        <f t="shared" ca="1" si="81"/>
        <v>0</v>
      </c>
      <c r="BN47" s="34">
        <f t="shared" ca="1" si="81"/>
        <v>0</v>
      </c>
      <c r="BO47" s="34">
        <f t="shared" ca="1" si="81"/>
        <v>0</v>
      </c>
      <c r="BP47" s="34">
        <f t="shared" ref="BP47:CU47" ca="1" si="82">IF(BP18=1,IF(BP17=1,BP46,IF(in_mode_sale=0,0,BP46*in_fin_sweep_pct)),0)</f>
        <v>0</v>
      </c>
      <c r="BQ47" s="34">
        <f t="shared" ca="1" si="82"/>
        <v>0</v>
      </c>
      <c r="BR47" s="34">
        <f t="shared" ca="1" si="82"/>
        <v>0</v>
      </c>
      <c r="BS47" s="34">
        <f t="shared" ca="1" si="82"/>
        <v>0</v>
      </c>
      <c r="BT47" s="34">
        <f t="shared" ca="1" si="82"/>
        <v>0</v>
      </c>
      <c r="BU47" s="34">
        <f t="shared" ca="1" si="82"/>
        <v>0</v>
      </c>
      <c r="BV47" s="34">
        <f t="shared" ca="1" si="82"/>
        <v>0</v>
      </c>
      <c r="BW47" s="34">
        <f t="shared" ca="1" si="82"/>
        <v>0</v>
      </c>
      <c r="BX47" s="34">
        <f t="shared" ca="1" si="82"/>
        <v>0</v>
      </c>
      <c r="BY47" s="34">
        <f t="shared" ca="1" si="82"/>
        <v>0</v>
      </c>
      <c r="BZ47" s="34">
        <f t="shared" ca="1" si="82"/>
        <v>0</v>
      </c>
      <c r="CA47" s="34">
        <f t="shared" ca="1" si="82"/>
        <v>0</v>
      </c>
      <c r="CB47" s="34">
        <f t="shared" ca="1" si="82"/>
        <v>0</v>
      </c>
      <c r="CC47" s="34">
        <f t="shared" ca="1" si="82"/>
        <v>0</v>
      </c>
      <c r="CD47" s="34">
        <f t="shared" ca="1" si="82"/>
        <v>0</v>
      </c>
      <c r="CE47" s="34">
        <f t="shared" ca="1" si="82"/>
        <v>0</v>
      </c>
      <c r="CF47" s="34">
        <f t="shared" ca="1" si="82"/>
        <v>0</v>
      </c>
      <c r="CG47" s="34">
        <f t="shared" ca="1" si="82"/>
        <v>0</v>
      </c>
      <c r="CH47" s="34">
        <f t="shared" ca="1" si="82"/>
        <v>0</v>
      </c>
      <c r="CI47" s="34">
        <f t="shared" ca="1" si="82"/>
        <v>0</v>
      </c>
      <c r="CJ47" s="34">
        <f t="shared" ca="1" si="82"/>
        <v>0</v>
      </c>
      <c r="CK47" s="34">
        <f t="shared" ca="1" si="82"/>
        <v>0</v>
      </c>
      <c r="CL47" s="34">
        <f t="shared" ca="1" si="82"/>
        <v>0</v>
      </c>
      <c r="CM47" s="34">
        <f t="shared" ca="1" si="82"/>
        <v>0</v>
      </c>
      <c r="CN47" s="34">
        <f t="shared" ca="1" si="82"/>
        <v>0</v>
      </c>
      <c r="CO47" s="34">
        <f t="shared" ca="1" si="82"/>
        <v>0</v>
      </c>
      <c r="CP47" s="34">
        <f t="shared" ca="1" si="82"/>
        <v>0</v>
      </c>
      <c r="CQ47" s="34">
        <f t="shared" ca="1" si="82"/>
        <v>0</v>
      </c>
      <c r="CR47" s="34">
        <f t="shared" ca="1" si="82"/>
        <v>0</v>
      </c>
      <c r="CS47" s="34">
        <f t="shared" ca="1" si="82"/>
        <v>0</v>
      </c>
      <c r="CT47" s="34">
        <f t="shared" ca="1" si="82"/>
        <v>0</v>
      </c>
      <c r="CU47" s="34">
        <f t="shared" ca="1" si="82"/>
        <v>0</v>
      </c>
    </row>
    <row r="48" spans="1:99" x14ac:dyDescent="0.3">
      <c r="A48" s="7" t="s">
        <v>425</v>
      </c>
      <c r="B48" s="1"/>
      <c r="C48" s="11"/>
      <c r="D48" s="34">
        <f t="shared" ref="D48:AI48" ca="1" si="83">D29+D34+D44-D37</f>
        <v>0</v>
      </c>
      <c r="E48" s="34">
        <f t="shared" ca="1" si="83"/>
        <v>0</v>
      </c>
      <c r="F48" s="34">
        <f t="shared" ca="1" si="83"/>
        <v>0</v>
      </c>
      <c r="G48" s="34">
        <f t="shared" ca="1" si="83"/>
        <v>0</v>
      </c>
      <c r="H48" s="34">
        <f t="shared" ca="1" si="83"/>
        <v>0</v>
      </c>
      <c r="I48" s="34">
        <f t="shared" ca="1" si="83"/>
        <v>0</v>
      </c>
      <c r="J48" s="34">
        <f t="shared" ca="1" si="83"/>
        <v>0</v>
      </c>
      <c r="K48" s="34">
        <f t="shared" ca="1" si="83"/>
        <v>0</v>
      </c>
      <c r="L48" s="34">
        <f t="shared" ca="1" si="83"/>
        <v>0</v>
      </c>
      <c r="M48" s="34">
        <f t="shared" ca="1" si="83"/>
        <v>0</v>
      </c>
      <c r="N48" s="34">
        <f t="shared" ca="1" si="83"/>
        <v>0</v>
      </c>
      <c r="O48" s="34">
        <f t="shared" ca="1" si="83"/>
        <v>0</v>
      </c>
      <c r="P48" s="34">
        <f t="shared" ca="1" si="83"/>
        <v>0</v>
      </c>
      <c r="Q48" s="34">
        <f t="shared" ca="1" si="83"/>
        <v>0</v>
      </c>
      <c r="R48" s="34">
        <f t="shared" ca="1" si="83"/>
        <v>0</v>
      </c>
      <c r="S48" s="34">
        <f t="shared" ca="1" si="83"/>
        <v>0</v>
      </c>
      <c r="T48" s="34">
        <f t="shared" ca="1" si="83"/>
        <v>0</v>
      </c>
      <c r="U48" s="34">
        <f t="shared" ca="1" si="83"/>
        <v>0</v>
      </c>
      <c r="V48" s="34">
        <f t="shared" ca="1" si="83"/>
        <v>0</v>
      </c>
      <c r="W48" s="34">
        <f t="shared" ca="1" si="83"/>
        <v>0</v>
      </c>
      <c r="X48" s="34">
        <f t="shared" ca="1" si="83"/>
        <v>11914978.273118386</v>
      </c>
      <c r="Y48" s="34">
        <f t="shared" ca="1" si="83"/>
        <v>26996735.588301562</v>
      </c>
      <c r="Z48" s="34">
        <f t="shared" ca="1" si="83"/>
        <v>41095892.382791013</v>
      </c>
      <c r="AA48" s="34">
        <f t="shared" ca="1" si="83"/>
        <v>53724534.655956</v>
      </c>
      <c r="AB48" s="34">
        <f t="shared" ca="1" si="83"/>
        <v>64376334.0607398</v>
      </c>
      <c r="AC48" s="34">
        <f t="shared" ca="1" si="83"/>
        <v>72523066.385338068</v>
      </c>
      <c r="AD48" s="34">
        <f t="shared" ca="1" si="83"/>
        <v>77604289.327233806</v>
      </c>
      <c r="AE48" s="34">
        <f t="shared" ca="1" si="83"/>
        <v>79003413.177996367</v>
      </c>
      <c r="AF48" s="34">
        <f t="shared" ca="1" si="83"/>
        <v>79711152.087997198</v>
      </c>
      <c r="AG48" s="34">
        <f t="shared" ca="1" si="83"/>
        <v>80425231.159282625</v>
      </c>
      <c r="AH48" s="34">
        <f t="shared" ca="1" si="83"/>
        <v>81145707.189204738</v>
      </c>
      <c r="AI48" s="34">
        <f t="shared" ca="1" si="83"/>
        <v>81872637.483925998</v>
      </c>
      <c r="AJ48" s="34">
        <f t="shared" ref="AJ48:BO48" ca="1" si="84">AJ29+AJ34+AJ44-AJ37</f>
        <v>82606079.862941056</v>
      </c>
      <c r="AK48" s="34">
        <f t="shared" ca="1" si="84"/>
        <v>0</v>
      </c>
      <c r="AL48" s="34">
        <f t="shared" ca="1" si="84"/>
        <v>0</v>
      </c>
      <c r="AM48" s="34">
        <f t="shared" ca="1" si="84"/>
        <v>0</v>
      </c>
      <c r="AN48" s="34">
        <f t="shared" ca="1" si="84"/>
        <v>0</v>
      </c>
      <c r="AO48" s="34">
        <f t="shared" ca="1" si="84"/>
        <v>0</v>
      </c>
      <c r="AP48" s="34">
        <f t="shared" ca="1" si="84"/>
        <v>0</v>
      </c>
      <c r="AQ48" s="34">
        <f t="shared" ca="1" si="84"/>
        <v>0</v>
      </c>
      <c r="AR48" s="34">
        <f t="shared" ca="1" si="84"/>
        <v>0</v>
      </c>
      <c r="AS48" s="34">
        <f t="shared" ca="1" si="84"/>
        <v>0</v>
      </c>
      <c r="AT48" s="34">
        <f t="shared" ca="1" si="84"/>
        <v>0</v>
      </c>
      <c r="AU48" s="34">
        <f t="shared" ca="1" si="84"/>
        <v>0</v>
      </c>
      <c r="AV48" s="34">
        <f t="shared" ca="1" si="84"/>
        <v>0</v>
      </c>
      <c r="AW48" s="34">
        <f t="shared" ca="1" si="84"/>
        <v>0</v>
      </c>
      <c r="AX48" s="34">
        <f t="shared" ca="1" si="84"/>
        <v>0</v>
      </c>
      <c r="AY48" s="34">
        <f t="shared" ca="1" si="84"/>
        <v>0</v>
      </c>
      <c r="AZ48" s="34">
        <f t="shared" ca="1" si="84"/>
        <v>0</v>
      </c>
      <c r="BA48" s="34">
        <f t="shared" ca="1" si="84"/>
        <v>0</v>
      </c>
      <c r="BB48" s="34">
        <f t="shared" ca="1" si="84"/>
        <v>0</v>
      </c>
      <c r="BC48" s="34">
        <f t="shared" ca="1" si="84"/>
        <v>0</v>
      </c>
      <c r="BD48" s="34">
        <f t="shared" ca="1" si="84"/>
        <v>0</v>
      </c>
      <c r="BE48" s="34">
        <f t="shared" ca="1" si="84"/>
        <v>0</v>
      </c>
      <c r="BF48" s="34">
        <f t="shared" ca="1" si="84"/>
        <v>0</v>
      </c>
      <c r="BG48" s="34">
        <f t="shared" ca="1" si="84"/>
        <v>0</v>
      </c>
      <c r="BH48" s="34">
        <f t="shared" ca="1" si="84"/>
        <v>0</v>
      </c>
      <c r="BI48" s="34">
        <f t="shared" ca="1" si="84"/>
        <v>0</v>
      </c>
      <c r="BJ48" s="34">
        <f t="shared" ca="1" si="84"/>
        <v>0</v>
      </c>
      <c r="BK48" s="34">
        <f t="shared" ca="1" si="84"/>
        <v>0</v>
      </c>
      <c r="BL48" s="34">
        <f t="shared" ca="1" si="84"/>
        <v>0</v>
      </c>
      <c r="BM48" s="34">
        <f t="shared" ca="1" si="84"/>
        <v>0</v>
      </c>
      <c r="BN48" s="34">
        <f t="shared" ca="1" si="84"/>
        <v>0</v>
      </c>
      <c r="BO48" s="34">
        <f t="shared" ca="1" si="84"/>
        <v>0</v>
      </c>
      <c r="BP48" s="34">
        <f t="shared" ref="BP48:CU48" ca="1" si="85">BP29+BP34+BP44-BP37</f>
        <v>0</v>
      </c>
      <c r="BQ48" s="34">
        <f t="shared" ca="1" si="85"/>
        <v>0</v>
      </c>
      <c r="BR48" s="34">
        <f t="shared" ca="1" si="85"/>
        <v>0</v>
      </c>
      <c r="BS48" s="34">
        <f t="shared" ca="1" si="85"/>
        <v>0</v>
      </c>
      <c r="BT48" s="34">
        <f t="shared" ca="1" si="85"/>
        <v>0</v>
      </c>
      <c r="BU48" s="34">
        <f t="shared" ca="1" si="85"/>
        <v>0</v>
      </c>
      <c r="BV48" s="34">
        <f t="shared" ca="1" si="85"/>
        <v>0</v>
      </c>
      <c r="BW48" s="34">
        <f t="shared" ca="1" si="85"/>
        <v>0</v>
      </c>
      <c r="BX48" s="34">
        <f t="shared" ca="1" si="85"/>
        <v>0</v>
      </c>
      <c r="BY48" s="34">
        <f t="shared" ca="1" si="85"/>
        <v>0</v>
      </c>
      <c r="BZ48" s="34">
        <f t="shared" ca="1" si="85"/>
        <v>0</v>
      </c>
      <c r="CA48" s="34">
        <f t="shared" ca="1" si="85"/>
        <v>0</v>
      </c>
      <c r="CB48" s="34">
        <f t="shared" ca="1" si="85"/>
        <v>0</v>
      </c>
      <c r="CC48" s="34">
        <f t="shared" ca="1" si="85"/>
        <v>0</v>
      </c>
      <c r="CD48" s="34">
        <f t="shared" ca="1" si="85"/>
        <v>0</v>
      </c>
      <c r="CE48" s="34">
        <f t="shared" ca="1" si="85"/>
        <v>0</v>
      </c>
      <c r="CF48" s="34">
        <f t="shared" ca="1" si="85"/>
        <v>0</v>
      </c>
      <c r="CG48" s="34">
        <f t="shared" ca="1" si="85"/>
        <v>0</v>
      </c>
      <c r="CH48" s="34">
        <f t="shared" ca="1" si="85"/>
        <v>0</v>
      </c>
      <c r="CI48" s="34">
        <f t="shared" ca="1" si="85"/>
        <v>0</v>
      </c>
      <c r="CJ48" s="34">
        <f t="shared" ca="1" si="85"/>
        <v>0</v>
      </c>
      <c r="CK48" s="34">
        <f t="shared" ca="1" si="85"/>
        <v>0</v>
      </c>
      <c r="CL48" s="34">
        <f t="shared" ca="1" si="85"/>
        <v>0</v>
      </c>
      <c r="CM48" s="34">
        <f t="shared" ca="1" si="85"/>
        <v>0</v>
      </c>
      <c r="CN48" s="34">
        <f t="shared" ca="1" si="85"/>
        <v>0</v>
      </c>
      <c r="CO48" s="34">
        <f t="shared" ca="1" si="85"/>
        <v>0</v>
      </c>
      <c r="CP48" s="34">
        <f t="shared" ca="1" si="85"/>
        <v>0</v>
      </c>
      <c r="CQ48" s="34">
        <f t="shared" ca="1" si="85"/>
        <v>0</v>
      </c>
      <c r="CR48" s="34">
        <f t="shared" ca="1" si="85"/>
        <v>0</v>
      </c>
      <c r="CS48" s="34">
        <f t="shared" ca="1" si="85"/>
        <v>0</v>
      </c>
      <c r="CT48" s="34">
        <f t="shared" ca="1" si="85"/>
        <v>0</v>
      </c>
      <c r="CU48" s="34">
        <f t="shared" ca="1" si="85"/>
        <v>0</v>
      </c>
    </row>
    <row r="49" spans="1:99" x14ac:dyDescent="0.3">
      <c r="A49" s="7" t="s">
        <v>426</v>
      </c>
      <c r="B49" s="21">
        <f ca="1">SUM(D49:CU49)</f>
        <v>82606079.864886865</v>
      </c>
      <c r="C49" s="11"/>
      <c r="D49" s="34">
        <f t="shared" ref="D49:AI49" ca="1" si="86">MIN(D47,D48)</f>
        <v>0</v>
      </c>
      <c r="E49" s="34">
        <f t="shared" ca="1" si="86"/>
        <v>0</v>
      </c>
      <c r="F49" s="34">
        <f t="shared" ca="1" si="86"/>
        <v>0</v>
      </c>
      <c r="G49" s="34">
        <f t="shared" ca="1" si="86"/>
        <v>0</v>
      </c>
      <c r="H49" s="34">
        <f t="shared" ca="1" si="86"/>
        <v>0</v>
      </c>
      <c r="I49" s="34">
        <f t="shared" ca="1" si="86"/>
        <v>0</v>
      </c>
      <c r="J49" s="34">
        <f t="shared" ca="1" si="86"/>
        <v>0</v>
      </c>
      <c r="K49" s="34">
        <f t="shared" ca="1" si="86"/>
        <v>0</v>
      </c>
      <c r="L49" s="34">
        <f t="shared" ca="1" si="86"/>
        <v>0</v>
      </c>
      <c r="M49" s="34">
        <f t="shared" ca="1" si="86"/>
        <v>0</v>
      </c>
      <c r="N49" s="34">
        <f t="shared" ca="1" si="86"/>
        <v>0</v>
      </c>
      <c r="O49" s="34">
        <f t="shared" ca="1" si="86"/>
        <v>0</v>
      </c>
      <c r="P49" s="34">
        <f t="shared" ca="1" si="86"/>
        <v>0</v>
      </c>
      <c r="Q49" s="34">
        <f t="shared" ca="1" si="86"/>
        <v>0</v>
      </c>
      <c r="R49" s="34">
        <f t="shared" ca="1" si="86"/>
        <v>0</v>
      </c>
      <c r="S49" s="34">
        <f t="shared" ca="1" si="86"/>
        <v>0</v>
      </c>
      <c r="T49" s="34">
        <f t="shared" ca="1" si="86"/>
        <v>0</v>
      </c>
      <c r="U49" s="34">
        <f t="shared" ca="1" si="86"/>
        <v>0</v>
      </c>
      <c r="V49" s="34">
        <f t="shared" ca="1" si="86"/>
        <v>0</v>
      </c>
      <c r="W49" s="34">
        <f t="shared" ca="1" si="86"/>
        <v>0</v>
      </c>
      <c r="X49" s="34">
        <f t="shared" ca="1" si="86"/>
        <v>0</v>
      </c>
      <c r="Y49" s="34">
        <f t="shared" ca="1" si="86"/>
        <v>0</v>
      </c>
      <c r="Z49" s="34">
        <f t="shared" ca="1" si="86"/>
        <v>0</v>
      </c>
      <c r="AA49" s="34">
        <f t="shared" ca="1" si="86"/>
        <v>0</v>
      </c>
      <c r="AB49" s="34">
        <f t="shared" ca="1" si="86"/>
        <v>0</v>
      </c>
      <c r="AC49" s="34">
        <f t="shared" ca="1" si="86"/>
        <v>0</v>
      </c>
      <c r="AD49" s="34">
        <f t="shared" ca="1" si="86"/>
        <v>0</v>
      </c>
      <c r="AE49" s="34">
        <f t="shared" ca="1" si="86"/>
        <v>0</v>
      </c>
      <c r="AF49" s="34">
        <f t="shared" ca="1" si="86"/>
        <v>0</v>
      </c>
      <c r="AG49" s="34">
        <f t="shared" ca="1" si="86"/>
        <v>0</v>
      </c>
      <c r="AH49" s="34">
        <f t="shared" ca="1" si="86"/>
        <v>0</v>
      </c>
      <c r="AI49" s="34">
        <f t="shared" ca="1" si="86"/>
        <v>0</v>
      </c>
      <c r="AJ49" s="34">
        <f t="shared" ref="AJ49:BO49" ca="1" si="87">MIN(AJ47,AJ48)</f>
        <v>82606079.862941056</v>
      </c>
      <c r="AK49" s="34">
        <f t="shared" ca="1" si="87"/>
        <v>0</v>
      </c>
      <c r="AL49" s="34">
        <f t="shared" ca="1" si="87"/>
        <v>0</v>
      </c>
      <c r="AM49" s="34">
        <f t="shared" ca="1" si="87"/>
        <v>0</v>
      </c>
      <c r="AN49" s="34">
        <f t="shared" ca="1" si="87"/>
        <v>0</v>
      </c>
      <c r="AO49" s="34">
        <f t="shared" ca="1" si="87"/>
        <v>0</v>
      </c>
      <c r="AP49" s="34">
        <f t="shared" ca="1" si="87"/>
        <v>0</v>
      </c>
      <c r="AQ49" s="34">
        <f t="shared" ca="1" si="87"/>
        <v>0</v>
      </c>
      <c r="AR49" s="34">
        <f t="shared" ca="1" si="87"/>
        <v>0</v>
      </c>
      <c r="AS49" s="34">
        <f t="shared" ca="1" si="87"/>
        <v>0</v>
      </c>
      <c r="AT49" s="34">
        <f t="shared" ca="1" si="87"/>
        <v>0</v>
      </c>
      <c r="AU49" s="34">
        <f t="shared" ca="1" si="87"/>
        <v>0</v>
      </c>
      <c r="AV49" s="34">
        <f t="shared" ca="1" si="87"/>
        <v>0</v>
      </c>
      <c r="AW49" s="34">
        <f t="shared" ca="1" si="87"/>
        <v>0</v>
      </c>
      <c r="AX49" s="34">
        <f t="shared" ca="1" si="87"/>
        <v>0</v>
      </c>
      <c r="AY49" s="34">
        <f t="shared" ca="1" si="87"/>
        <v>0</v>
      </c>
      <c r="AZ49" s="34">
        <f t="shared" ca="1" si="87"/>
        <v>0</v>
      </c>
      <c r="BA49" s="34">
        <f t="shared" ca="1" si="87"/>
        <v>0</v>
      </c>
      <c r="BB49" s="34">
        <f t="shared" ca="1" si="87"/>
        <v>0</v>
      </c>
      <c r="BC49" s="34">
        <f t="shared" ca="1" si="87"/>
        <v>0</v>
      </c>
      <c r="BD49" s="34">
        <f t="shared" ca="1" si="87"/>
        <v>0</v>
      </c>
      <c r="BE49" s="34">
        <f t="shared" ca="1" si="87"/>
        <v>0</v>
      </c>
      <c r="BF49" s="34">
        <f t="shared" ca="1" si="87"/>
        <v>0</v>
      </c>
      <c r="BG49" s="34">
        <f t="shared" ca="1" si="87"/>
        <v>0</v>
      </c>
      <c r="BH49" s="34">
        <f t="shared" ca="1" si="87"/>
        <v>0</v>
      </c>
      <c r="BI49" s="34">
        <f t="shared" ca="1" si="87"/>
        <v>0</v>
      </c>
      <c r="BJ49" s="34">
        <f t="shared" ca="1" si="87"/>
        <v>0</v>
      </c>
      <c r="BK49" s="34">
        <f t="shared" ca="1" si="87"/>
        <v>0</v>
      </c>
      <c r="BL49" s="34">
        <f t="shared" ca="1" si="87"/>
        <v>0</v>
      </c>
      <c r="BM49" s="34">
        <f t="shared" ca="1" si="87"/>
        <v>0</v>
      </c>
      <c r="BN49" s="34">
        <f t="shared" ca="1" si="87"/>
        <v>0</v>
      </c>
      <c r="BO49" s="34">
        <f t="shared" ca="1" si="87"/>
        <v>0</v>
      </c>
      <c r="BP49" s="34">
        <f t="shared" ref="BP49:CU49" ca="1" si="88">MIN(BP47,BP48)</f>
        <v>0</v>
      </c>
      <c r="BQ49" s="34">
        <f t="shared" ca="1" si="88"/>
        <v>0</v>
      </c>
      <c r="BR49" s="34">
        <f t="shared" ca="1" si="88"/>
        <v>0</v>
      </c>
      <c r="BS49" s="34">
        <f t="shared" ca="1" si="88"/>
        <v>0</v>
      </c>
      <c r="BT49" s="34">
        <f t="shared" ca="1" si="88"/>
        <v>0</v>
      </c>
      <c r="BU49" s="34">
        <f t="shared" ca="1" si="88"/>
        <v>0</v>
      </c>
      <c r="BV49" s="34">
        <f t="shared" ca="1" si="88"/>
        <v>0</v>
      </c>
      <c r="BW49" s="34">
        <f t="shared" ca="1" si="88"/>
        <v>0</v>
      </c>
      <c r="BX49" s="34">
        <f t="shared" ca="1" si="88"/>
        <v>0</v>
      </c>
      <c r="BY49" s="34">
        <f t="shared" ca="1" si="88"/>
        <v>0</v>
      </c>
      <c r="BZ49" s="34">
        <f t="shared" ca="1" si="88"/>
        <v>0</v>
      </c>
      <c r="CA49" s="34">
        <f t="shared" ca="1" si="88"/>
        <v>0</v>
      </c>
      <c r="CB49" s="34">
        <f t="shared" ca="1" si="88"/>
        <v>0</v>
      </c>
      <c r="CC49" s="34">
        <f t="shared" ca="1" si="88"/>
        <v>0</v>
      </c>
      <c r="CD49" s="34">
        <f t="shared" ca="1" si="88"/>
        <v>0</v>
      </c>
      <c r="CE49" s="34">
        <f t="shared" ca="1" si="88"/>
        <v>0</v>
      </c>
      <c r="CF49" s="34">
        <f t="shared" ca="1" si="88"/>
        <v>0</v>
      </c>
      <c r="CG49" s="34">
        <f t="shared" ca="1" si="88"/>
        <v>0</v>
      </c>
      <c r="CH49" s="34">
        <f t="shared" ca="1" si="88"/>
        <v>0</v>
      </c>
      <c r="CI49" s="34">
        <f t="shared" ca="1" si="88"/>
        <v>0</v>
      </c>
      <c r="CJ49" s="34">
        <f t="shared" ca="1" si="88"/>
        <v>0</v>
      </c>
      <c r="CK49" s="34">
        <f t="shared" ca="1" si="88"/>
        <v>0</v>
      </c>
      <c r="CL49" s="34">
        <f t="shared" ca="1" si="88"/>
        <v>0</v>
      </c>
      <c r="CM49" s="34">
        <f t="shared" ca="1" si="88"/>
        <v>0</v>
      </c>
      <c r="CN49" s="34">
        <f t="shared" ca="1" si="88"/>
        <v>0</v>
      </c>
      <c r="CO49" s="34">
        <f t="shared" ca="1" si="88"/>
        <v>0</v>
      </c>
      <c r="CP49" s="34">
        <f t="shared" ca="1" si="88"/>
        <v>0</v>
      </c>
      <c r="CQ49" s="34">
        <f t="shared" ca="1" si="88"/>
        <v>0</v>
      </c>
      <c r="CR49" s="34">
        <f t="shared" ca="1" si="88"/>
        <v>0</v>
      </c>
      <c r="CS49" s="34">
        <f t="shared" ca="1" si="88"/>
        <v>0</v>
      </c>
      <c r="CT49" s="34">
        <f t="shared" ca="1" si="88"/>
        <v>0</v>
      </c>
      <c r="CU49" s="34">
        <f t="shared" ca="1" si="88"/>
        <v>0</v>
      </c>
    </row>
    <row r="50" spans="1:99" x14ac:dyDescent="0.3">
      <c r="A50" s="7" t="s">
        <v>427</v>
      </c>
      <c r="B50" s="1"/>
      <c r="C50" s="11"/>
      <c r="D50" s="34">
        <f t="shared" ref="D50:AI50" ca="1" si="89">D31+D35+D43</f>
        <v>0</v>
      </c>
      <c r="E50" s="34">
        <f t="shared" ca="1" si="89"/>
        <v>0</v>
      </c>
      <c r="F50" s="34">
        <f t="shared" ca="1" si="89"/>
        <v>0</v>
      </c>
      <c r="G50" s="34">
        <f t="shared" ca="1" si="89"/>
        <v>0</v>
      </c>
      <c r="H50" s="34">
        <f t="shared" ca="1" si="89"/>
        <v>0</v>
      </c>
      <c r="I50" s="34">
        <f t="shared" ca="1" si="89"/>
        <v>0</v>
      </c>
      <c r="J50" s="34">
        <f t="shared" ca="1" si="89"/>
        <v>0</v>
      </c>
      <c r="K50" s="34">
        <f t="shared" ca="1" si="89"/>
        <v>0</v>
      </c>
      <c r="L50" s="34">
        <f t="shared" ca="1" si="89"/>
        <v>0</v>
      </c>
      <c r="M50" s="34">
        <f t="shared" ca="1" si="89"/>
        <v>0</v>
      </c>
      <c r="N50" s="34">
        <f t="shared" ca="1" si="89"/>
        <v>0</v>
      </c>
      <c r="O50" s="34">
        <f t="shared" ca="1" si="89"/>
        <v>0</v>
      </c>
      <c r="P50" s="34">
        <f t="shared" ca="1" si="89"/>
        <v>0</v>
      </c>
      <c r="Q50" s="34">
        <f t="shared" ca="1" si="89"/>
        <v>0</v>
      </c>
      <c r="R50" s="34">
        <f t="shared" ca="1" si="89"/>
        <v>0</v>
      </c>
      <c r="S50" s="34">
        <f t="shared" ca="1" si="89"/>
        <v>0</v>
      </c>
      <c r="T50" s="34">
        <f t="shared" ca="1" si="89"/>
        <v>0</v>
      </c>
      <c r="U50" s="34">
        <f t="shared" ca="1" si="89"/>
        <v>0</v>
      </c>
      <c r="V50" s="34">
        <f t="shared" ca="1" si="89"/>
        <v>0</v>
      </c>
      <c r="W50" s="34">
        <f t="shared" ca="1" si="89"/>
        <v>0</v>
      </c>
      <c r="X50" s="34">
        <f t="shared" ca="1" si="89"/>
        <v>0</v>
      </c>
      <c r="Y50" s="34">
        <f t="shared" ca="1" si="89"/>
        <v>0</v>
      </c>
      <c r="Z50" s="34">
        <f t="shared" ca="1" si="89"/>
        <v>0</v>
      </c>
      <c r="AA50" s="34">
        <f t="shared" ca="1" si="89"/>
        <v>0</v>
      </c>
      <c r="AB50" s="34">
        <f t="shared" ca="1" si="89"/>
        <v>0</v>
      </c>
      <c r="AC50" s="34">
        <f t="shared" ca="1" si="89"/>
        <v>0</v>
      </c>
      <c r="AD50" s="34">
        <f t="shared" ca="1" si="89"/>
        <v>0</v>
      </c>
      <c r="AE50" s="34">
        <f t="shared" ca="1" si="89"/>
        <v>0</v>
      </c>
      <c r="AF50" s="34">
        <f t="shared" ca="1" si="89"/>
        <v>0</v>
      </c>
      <c r="AG50" s="34">
        <f t="shared" ca="1" si="89"/>
        <v>0</v>
      </c>
      <c r="AH50" s="34">
        <f t="shared" ca="1" si="89"/>
        <v>0</v>
      </c>
      <c r="AI50" s="34">
        <f t="shared" ca="1" si="89"/>
        <v>0</v>
      </c>
      <c r="AJ50" s="34">
        <f t="shared" ref="AJ50:BO50" ca="1" si="90">AJ31+AJ35+AJ43</f>
        <v>0</v>
      </c>
      <c r="AK50" s="34">
        <f t="shared" ca="1" si="90"/>
        <v>0</v>
      </c>
      <c r="AL50" s="34">
        <f t="shared" ca="1" si="90"/>
        <v>0</v>
      </c>
      <c r="AM50" s="34">
        <f t="shared" ca="1" si="90"/>
        <v>0</v>
      </c>
      <c r="AN50" s="34">
        <f t="shared" ca="1" si="90"/>
        <v>0</v>
      </c>
      <c r="AO50" s="34">
        <f t="shared" ca="1" si="90"/>
        <v>0</v>
      </c>
      <c r="AP50" s="34">
        <f t="shared" ca="1" si="90"/>
        <v>0</v>
      </c>
      <c r="AQ50" s="34">
        <f t="shared" ca="1" si="90"/>
        <v>0</v>
      </c>
      <c r="AR50" s="34">
        <f t="shared" ca="1" si="90"/>
        <v>0</v>
      </c>
      <c r="AS50" s="34">
        <f t="shared" ca="1" si="90"/>
        <v>0</v>
      </c>
      <c r="AT50" s="34">
        <f t="shared" ca="1" si="90"/>
        <v>0</v>
      </c>
      <c r="AU50" s="34">
        <f t="shared" ca="1" si="90"/>
        <v>0</v>
      </c>
      <c r="AV50" s="34">
        <f t="shared" ca="1" si="90"/>
        <v>0</v>
      </c>
      <c r="AW50" s="34">
        <f t="shared" ca="1" si="90"/>
        <v>0</v>
      </c>
      <c r="AX50" s="34">
        <f t="shared" ca="1" si="90"/>
        <v>0</v>
      </c>
      <c r="AY50" s="34">
        <f t="shared" ca="1" si="90"/>
        <v>0</v>
      </c>
      <c r="AZ50" s="34">
        <f t="shared" ca="1" si="90"/>
        <v>0</v>
      </c>
      <c r="BA50" s="34">
        <f t="shared" ca="1" si="90"/>
        <v>0</v>
      </c>
      <c r="BB50" s="34">
        <f t="shared" ca="1" si="90"/>
        <v>0</v>
      </c>
      <c r="BC50" s="34">
        <f t="shared" ca="1" si="90"/>
        <v>0</v>
      </c>
      <c r="BD50" s="34">
        <f t="shared" ca="1" si="90"/>
        <v>0</v>
      </c>
      <c r="BE50" s="34">
        <f t="shared" ca="1" si="90"/>
        <v>0</v>
      </c>
      <c r="BF50" s="34">
        <f t="shared" ca="1" si="90"/>
        <v>0</v>
      </c>
      <c r="BG50" s="34">
        <f t="shared" ca="1" si="90"/>
        <v>0</v>
      </c>
      <c r="BH50" s="34">
        <f t="shared" ca="1" si="90"/>
        <v>0</v>
      </c>
      <c r="BI50" s="34">
        <f t="shared" ca="1" si="90"/>
        <v>0</v>
      </c>
      <c r="BJ50" s="34">
        <f t="shared" ca="1" si="90"/>
        <v>0</v>
      </c>
      <c r="BK50" s="34">
        <f t="shared" ca="1" si="90"/>
        <v>0</v>
      </c>
      <c r="BL50" s="34">
        <f t="shared" ca="1" si="90"/>
        <v>0</v>
      </c>
      <c r="BM50" s="34">
        <f t="shared" ca="1" si="90"/>
        <v>0</v>
      </c>
      <c r="BN50" s="34">
        <f t="shared" ca="1" si="90"/>
        <v>0</v>
      </c>
      <c r="BO50" s="34">
        <f t="shared" ca="1" si="90"/>
        <v>0</v>
      </c>
      <c r="BP50" s="34">
        <f t="shared" ref="BP50:CU50" ca="1" si="91">BP31+BP35+BP43</f>
        <v>0</v>
      </c>
      <c r="BQ50" s="34">
        <f t="shared" ca="1" si="91"/>
        <v>0</v>
      </c>
      <c r="BR50" s="34">
        <f t="shared" ca="1" si="91"/>
        <v>0</v>
      </c>
      <c r="BS50" s="34">
        <f t="shared" ca="1" si="91"/>
        <v>0</v>
      </c>
      <c r="BT50" s="34">
        <f t="shared" ca="1" si="91"/>
        <v>0</v>
      </c>
      <c r="BU50" s="34">
        <f t="shared" ca="1" si="91"/>
        <v>0</v>
      </c>
      <c r="BV50" s="34">
        <f t="shared" ca="1" si="91"/>
        <v>0</v>
      </c>
      <c r="BW50" s="34">
        <f t="shared" ca="1" si="91"/>
        <v>0</v>
      </c>
      <c r="BX50" s="34">
        <f t="shared" ca="1" si="91"/>
        <v>0</v>
      </c>
      <c r="BY50" s="34">
        <f t="shared" ca="1" si="91"/>
        <v>0</v>
      </c>
      <c r="BZ50" s="34">
        <f t="shared" ca="1" si="91"/>
        <v>0</v>
      </c>
      <c r="CA50" s="34">
        <f t="shared" ca="1" si="91"/>
        <v>0</v>
      </c>
      <c r="CB50" s="34">
        <f t="shared" ca="1" si="91"/>
        <v>0</v>
      </c>
      <c r="CC50" s="34">
        <f t="shared" ca="1" si="91"/>
        <v>0</v>
      </c>
      <c r="CD50" s="34">
        <f t="shared" ca="1" si="91"/>
        <v>0</v>
      </c>
      <c r="CE50" s="34">
        <f t="shared" ca="1" si="91"/>
        <v>0</v>
      </c>
      <c r="CF50" s="34">
        <f t="shared" ca="1" si="91"/>
        <v>0</v>
      </c>
      <c r="CG50" s="34">
        <f t="shared" ca="1" si="91"/>
        <v>0</v>
      </c>
      <c r="CH50" s="34">
        <f t="shared" ca="1" si="91"/>
        <v>0</v>
      </c>
      <c r="CI50" s="34">
        <f t="shared" ca="1" si="91"/>
        <v>0</v>
      </c>
      <c r="CJ50" s="34">
        <f t="shared" ca="1" si="91"/>
        <v>0</v>
      </c>
      <c r="CK50" s="34">
        <f t="shared" ca="1" si="91"/>
        <v>0</v>
      </c>
      <c r="CL50" s="34">
        <f t="shared" ca="1" si="91"/>
        <v>0</v>
      </c>
      <c r="CM50" s="34">
        <f t="shared" ca="1" si="91"/>
        <v>0</v>
      </c>
      <c r="CN50" s="34">
        <f t="shared" ca="1" si="91"/>
        <v>0</v>
      </c>
      <c r="CO50" s="34">
        <f t="shared" ca="1" si="91"/>
        <v>0</v>
      </c>
      <c r="CP50" s="34">
        <f t="shared" ca="1" si="91"/>
        <v>0</v>
      </c>
      <c r="CQ50" s="34">
        <f t="shared" ca="1" si="91"/>
        <v>0</v>
      </c>
      <c r="CR50" s="34">
        <f t="shared" ca="1" si="91"/>
        <v>0</v>
      </c>
      <c r="CS50" s="34">
        <f t="shared" ca="1" si="91"/>
        <v>0</v>
      </c>
      <c r="CT50" s="34">
        <f t="shared" ca="1" si="91"/>
        <v>0</v>
      </c>
      <c r="CU50" s="34">
        <f t="shared" ca="1" si="91"/>
        <v>0</v>
      </c>
    </row>
    <row r="51" spans="1:99" x14ac:dyDescent="0.3">
      <c r="A51" s="7" t="s">
        <v>428</v>
      </c>
      <c r="B51" s="21">
        <f ca="1">SUM(D51:CU51)</f>
        <v>0</v>
      </c>
      <c r="C51" s="11"/>
      <c r="D51" s="34">
        <f t="shared" ref="D51:AI51" ca="1" si="92">MIN(D47-D49,D50)</f>
        <v>0</v>
      </c>
      <c r="E51" s="34">
        <f t="shared" ca="1" si="92"/>
        <v>0</v>
      </c>
      <c r="F51" s="34">
        <f t="shared" ca="1" si="92"/>
        <v>0</v>
      </c>
      <c r="G51" s="34">
        <f t="shared" ca="1" si="92"/>
        <v>0</v>
      </c>
      <c r="H51" s="34">
        <f t="shared" ca="1" si="92"/>
        <v>0</v>
      </c>
      <c r="I51" s="34">
        <f t="shared" ca="1" si="92"/>
        <v>0</v>
      </c>
      <c r="J51" s="34">
        <f t="shared" ca="1" si="92"/>
        <v>0</v>
      </c>
      <c r="K51" s="34">
        <f t="shared" ca="1" si="92"/>
        <v>0</v>
      </c>
      <c r="L51" s="34">
        <f t="shared" ca="1" si="92"/>
        <v>0</v>
      </c>
      <c r="M51" s="34">
        <f t="shared" ca="1" si="92"/>
        <v>0</v>
      </c>
      <c r="N51" s="34">
        <f t="shared" ca="1" si="92"/>
        <v>0</v>
      </c>
      <c r="O51" s="34">
        <f t="shared" ca="1" si="92"/>
        <v>0</v>
      </c>
      <c r="P51" s="34">
        <f t="shared" ca="1" si="92"/>
        <v>0</v>
      </c>
      <c r="Q51" s="34">
        <f t="shared" ca="1" si="92"/>
        <v>0</v>
      </c>
      <c r="R51" s="34">
        <f t="shared" ca="1" si="92"/>
        <v>0</v>
      </c>
      <c r="S51" s="34">
        <f t="shared" ca="1" si="92"/>
        <v>0</v>
      </c>
      <c r="T51" s="34">
        <f t="shared" ca="1" si="92"/>
        <v>0</v>
      </c>
      <c r="U51" s="34">
        <f t="shared" ca="1" si="92"/>
        <v>0</v>
      </c>
      <c r="V51" s="34">
        <f t="shared" ca="1" si="92"/>
        <v>0</v>
      </c>
      <c r="W51" s="34">
        <f t="shared" ca="1" si="92"/>
        <v>0</v>
      </c>
      <c r="X51" s="34">
        <f t="shared" ca="1" si="92"/>
        <v>0</v>
      </c>
      <c r="Y51" s="34">
        <f t="shared" ca="1" si="92"/>
        <v>0</v>
      </c>
      <c r="Z51" s="34">
        <f t="shared" ca="1" si="92"/>
        <v>0</v>
      </c>
      <c r="AA51" s="34">
        <f t="shared" ca="1" si="92"/>
        <v>0</v>
      </c>
      <c r="AB51" s="34">
        <f t="shared" ca="1" si="92"/>
        <v>0</v>
      </c>
      <c r="AC51" s="34">
        <f t="shared" ca="1" si="92"/>
        <v>0</v>
      </c>
      <c r="AD51" s="34">
        <f t="shared" ca="1" si="92"/>
        <v>0</v>
      </c>
      <c r="AE51" s="34">
        <f t="shared" ca="1" si="92"/>
        <v>0</v>
      </c>
      <c r="AF51" s="34">
        <f t="shared" ca="1" si="92"/>
        <v>0</v>
      </c>
      <c r="AG51" s="34">
        <f t="shared" ca="1" si="92"/>
        <v>0</v>
      </c>
      <c r="AH51" s="34">
        <f t="shared" ca="1" si="92"/>
        <v>0</v>
      </c>
      <c r="AI51" s="34">
        <f t="shared" ca="1" si="92"/>
        <v>0</v>
      </c>
      <c r="AJ51" s="34">
        <f t="shared" ref="AJ51:BO51" ca="1" si="93">MIN(AJ47-AJ49,AJ50)</f>
        <v>0</v>
      </c>
      <c r="AK51" s="34">
        <f t="shared" ca="1" si="93"/>
        <v>0</v>
      </c>
      <c r="AL51" s="34">
        <f t="shared" ca="1" si="93"/>
        <v>0</v>
      </c>
      <c r="AM51" s="34">
        <f t="shared" ca="1" si="93"/>
        <v>0</v>
      </c>
      <c r="AN51" s="34">
        <f t="shared" ca="1" si="93"/>
        <v>0</v>
      </c>
      <c r="AO51" s="34">
        <f t="shared" ca="1" si="93"/>
        <v>0</v>
      </c>
      <c r="AP51" s="34">
        <f t="shared" ca="1" si="93"/>
        <v>0</v>
      </c>
      <c r="AQ51" s="34">
        <f t="shared" ca="1" si="93"/>
        <v>0</v>
      </c>
      <c r="AR51" s="34">
        <f t="shared" ca="1" si="93"/>
        <v>0</v>
      </c>
      <c r="AS51" s="34">
        <f t="shared" ca="1" si="93"/>
        <v>0</v>
      </c>
      <c r="AT51" s="34">
        <f t="shared" ca="1" si="93"/>
        <v>0</v>
      </c>
      <c r="AU51" s="34">
        <f t="shared" ca="1" si="93"/>
        <v>0</v>
      </c>
      <c r="AV51" s="34">
        <f t="shared" ca="1" si="93"/>
        <v>0</v>
      </c>
      <c r="AW51" s="34">
        <f t="shared" ca="1" si="93"/>
        <v>0</v>
      </c>
      <c r="AX51" s="34">
        <f t="shared" ca="1" si="93"/>
        <v>0</v>
      </c>
      <c r="AY51" s="34">
        <f t="shared" ca="1" si="93"/>
        <v>0</v>
      </c>
      <c r="AZ51" s="34">
        <f t="shared" ca="1" si="93"/>
        <v>0</v>
      </c>
      <c r="BA51" s="34">
        <f t="shared" ca="1" si="93"/>
        <v>0</v>
      </c>
      <c r="BB51" s="34">
        <f t="shared" ca="1" si="93"/>
        <v>0</v>
      </c>
      <c r="BC51" s="34">
        <f t="shared" ca="1" si="93"/>
        <v>0</v>
      </c>
      <c r="BD51" s="34">
        <f t="shared" ca="1" si="93"/>
        <v>0</v>
      </c>
      <c r="BE51" s="34">
        <f t="shared" ca="1" si="93"/>
        <v>0</v>
      </c>
      <c r="BF51" s="34">
        <f t="shared" ca="1" si="93"/>
        <v>0</v>
      </c>
      <c r="BG51" s="34">
        <f t="shared" ca="1" si="93"/>
        <v>0</v>
      </c>
      <c r="BH51" s="34">
        <f t="shared" ca="1" si="93"/>
        <v>0</v>
      </c>
      <c r="BI51" s="34">
        <f t="shared" ca="1" si="93"/>
        <v>0</v>
      </c>
      <c r="BJ51" s="34">
        <f t="shared" ca="1" si="93"/>
        <v>0</v>
      </c>
      <c r="BK51" s="34">
        <f t="shared" ca="1" si="93"/>
        <v>0</v>
      </c>
      <c r="BL51" s="34">
        <f t="shared" ca="1" si="93"/>
        <v>0</v>
      </c>
      <c r="BM51" s="34">
        <f t="shared" ca="1" si="93"/>
        <v>0</v>
      </c>
      <c r="BN51" s="34">
        <f t="shared" ca="1" si="93"/>
        <v>0</v>
      </c>
      <c r="BO51" s="34">
        <f t="shared" ca="1" si="93"/>
        <v>0</v>
      </c>
      <c r="BP51" s="34">
        <f t="shared" ref="BP51:CU51" ca="1" si="94">MIN(BP47-BP49,BP50)</f>
        <v>0</v>
      </c>
      <c r="BQ51" s="34">
        <f t="shared" ca="1" si="94"/>
        <v>0</v>
      </c>
      <c r="BR51" s="34">
        <f t="shared" ca="1" si="94"/>
        <v>0</v>
      </c>
      <c r="BS51" s="34">
        <f t="shared" ca="1" si="94"/>
        <v>0</v>
      </c>
      <c r="BT51" s="34">
        <f t="shared" ca="1" si="94"/>
        <v>0</v>
      </c>
      <c r="BU51" s="34">
        <f t="shared" ca="1" si="94"/>
        <v>0</v>
      </c>
      <c r="BV51" s="34">
        <f t="shared" ca="1" si="94"/>
        <v>0</v>
      </c>
      <c r="BW51" s="34">
        <f t="shared" ca="1" si="94"/>
        <v>0</v>
      </c>
      <c r="BX51" s="34">
        <f t="shared" ca="1" si="94"/>
        <v>0</v>
      </c>
      <c r="BY51" s="34">
        <f t="shared" ca="1" si="94"/>
        <v>0</v>
      </c>
      <c r="BZ51" s="34">
        <f t="shared" ca="1" si="94"/>
        <v>0</v>
      </c>
      <c r="CA51" s="34">
        <f t="shared" ca="1" si="94"/>
        <v>0</v>
      </c>
      <c r="CB51" s="34">
        <f t="shared" ca="1" si="94"/>
        <v>0</v>
      </c>
      <c r="CC51" s="34">
        <f t="shared" ca="1" si="94"/>
        <v>0</v>
      </c>
      <c r="CD51" s="34">
        <f t="shared" ca="1" si="94"/>
        <v>0</v>
      </c>
      <c r="CE51" s="34">
        <f t="shared" ca="1" si="94"/>
        <v>0</v>
      </c>
      <c r="CF51" s="34">
        <f t="shared" ca="1" si="94"/>
        <v>0</v>
      </c>
      <c r="CG51" s="34">
        <f t="shared" ca="1" si="94"/>
        <v>0</v>
      </c>
      <c r="CH51" s="34">
        <f t="shared" ca="1" si="94"/>
        <v>0</v>
      </c>
      <c r="CI51" s="34">
        <f t="shared" ca="1" si="94"/>
        <v>0</v>
      </c>
      <c r="CJ51" s="34">
        <f t="shared" ca="1" si="94"/>
        <v>0</v>
      </c>
      <c r="CK51" s="34">
        <f t="shared" ca="1" si="94"/>
        <v>0</v>
      </c>
      <c r="CL51" s="34">
        <f t="shared" ca="1" si="94"/>
        <v>0</v>
      </c>
      <c r="CM51" s="34">
        <f t="shared" ca="1" si="94"/>
        <v>0</v>
      </c>
      <c r="CN51" s="34">
        <f t="shared" ca="1" si="94"/>
        <v>0</v>
      </c>
      <c r="CO51" s="34">
        <f t="shared" ca="1" si="94"/>
        <v>0</v>
      </c>
      <c r="CP51" s="34">
        <f t="shared" ca="1" si="94"/>
        <v>0</v>
      </c>
      <c r="CQ51" s="34">
        <f t="shared" ca="1" si="94"/>
        <v>0</v>
      </c>
      <c r="CR51" s="34">
        <f t="shared" ca="1" si="94"/>
        <v>0</v>
      </c>
      <c r="CS51" s="34">
        <f t="shared" ca="1" si="94"/>
        <v>0</v>
      </c>
      <c r="CT51" s="34">
        <f t="shared" ca="1" si="94"/>
        <v>0</v>
      </c>
      <c r="CU51" s="34">
        <f t="shared" ca="1" si="94"/>
        <v>0</v>
      </c>
    </row>
    <row r="52" spans="1:99" x14ac:dyDescent="0.3">
      <c r="A52" s="7" t="s">
        <v>429</v>
      </c>
      <c r="B52" s="1"/>
      <c r="C52" s="11"/>
      <c r="D52" s="34">
        <f t="shared" ref="D52:AI52" ca="1" si="95">IF(AND(D18=1,D46&gt;0),D46-D49-D51+D39,0)</f>
        <v>0</v>
      </c>
      <c r="E52" s="34">
        <f t="shared" ca="1" si="95"/>
        <v>0</v>
      </c>
      <c r="F52" s="34">
        <f t="shared" ca="1" si="95"/>
        <v>0</v>
      </c>
      <c r="G52" s="34">
        <f t="shared" ca="1" si="95"/>
        <v>0</v>
      </c>
      <c r="H52" s="34">
        <f t="shared" ca="1" si="95"/>
        <v>0</v>
      </c>
      <c r="I52" s="34">
        <f t="shared" ca="1" si="95"/>
        <v>0</v>
      </c>
      <c r="J52" s="34">
        <f t="shared" ca="1" si="95"/>
        <v>0</v>
      </c>
      <c r="K52" s="34">
        <f t="shared" ca="1" si="95"/>
        <v>0</v>
      </c>
      <c r="L52" s="34">
        <f t="shared" ca="1" si="95"/>
        <v>0</v>
      </c>
      <c r="M52" s="34">
        <f t="shared" ca="1" si="95"/>
        <v>0</v>
      </c>
      <c r="N52" s="34">
        <f t="shared" ca="1" si="95"/>
        <v>0</v>
      </c>
      <c r="O52" s="34">
        <f t="shared" ca="1" si="95"/>
        <v>0</v>
      </c>
      <c r="P52" s="34">
        <f t="shared" ca="1" si="95"/>
        <v>0</v>
      </c>
      <c r="Q52" s="34">
        <f t="shared" ca="1" si="95"/>
        <v>0</v>
      </c>
      <c r="R52" s="34">
        <f t="shared" ca="1" si="95"/>
        <v>0</v>
      </c>
      <c r="S52" s="34">
        <f t="shared" ca="1" si="95"/>
        <v>0</v>
      </c>
      <c r="T52" s="34">
        <f t="shared" ca="1" si="95"/>
        <v>0</v>
      </c>
      <c r="U52" s="34">
        <f t="shared" ca="1" si="95"/>
        <v>0</v>
      </c>
      <c r="V52" s="34">
        <f t="shared" ca="1" si="95"/>
        <v>0</v>
      </c>
      <c r="W52" s="34">
        <f t="shared" ca="1" si="95"/>
        <v>0</v>
      </c>
      <c r="X52" s="34">
        <f t="shared" ca="1" si="95"/>
        <v>0</v>
      </c>
      <c r="Y52" s="34">
        <f t="shared" ca="1" si="95"/>
        <v>0</v>
      </c>
      <c r="Z52" s="34">
        <f t="shared" ca="1" si="95"/>
        <v>0</v>
      </c>
      <c r="AA52" s="34">
        <f t="shared" ca="1" si="95"/>
        <v>0</v>
      </c>
      <c r="AB52" s="34">
        <f t="shared" ca="1" si="95"/>
        <v>0</v>
      </c>
      <c r="AC52" s="34">
        <f t="shared" ca="1" si="95"/>
        <v>0</v>
      </c>
      <c r="AD52" s="34">
        <f t="shared" ca="1" si="95"/>
        <v>0</v>
      </c>
      <c r="AE52" s="34">
        <f t="shared" ca="1" si="95"/>
        <v>0</v>
      </c>
      <c r="AF52" s="34">
        <f t="shared" ca="1" si="95"/>
        <v>0</v>
      </c>
      <c r="AG52" s="34">
        <f t="shared" ca="1" si="95"/>
        <v>0</v>
      </c>
      <c r="AH52" s="34">
        <f t="shared" ca="1" si="95"/>
        <v>0</v>
      </c>
      <c r="AI52" s="34">
        <f t="shared" ca="1" si="95"/>
        <v>0</v>
      </c>
      <c r="AJ52" s="34">
        <f t="shared" ref="AJ52:BO52" ca="1" si="96">IF(AND(AJ18=1,AJ46&gt;0),AJ46-AJ49-AJ51+AJ39,0)</f>
        <v>696622337.0131346</v>
      </c>
      <c r="AK52" s="34">
        <f t="shared" ca="1" si="96"/>
        <v>0</v>
      </c>
      <c r="AL52" s="34">
        <f t="shared" ca="1" si="96"/>
        <v>0</v>
      </c>
      <c r="AM52" s="34">
        <f t="shared" ca="1" si="96"/>
        <v>0</v>
      </c>
      <c r="AN52" s="34">
        <f t="shared" ca="1" si="96"/>
        <v>0</v>
      </c>
      <c r="AO52" s="34">
        <f t="shared" ca="1" si="96"/>
        <v>0</v>
      </c>
      <c r="AP52" s="34">
        <f t="shared" ca="1" si="96"/>
        <v>0</v>
      </c>
      <c r="AQ52" s="34">
        <f t="shared" ca="1" si="96"/>
        <v>0</v>
      </c>
      <c r="AR52" s="34">
        <f t="shared" ca="1" si="96"/>
        <v>0</v>
      </c>
      <c r="AS52" s="34">
        <f t="shared" ca="1" si="96"/>
        <v>0</v>
      </c>
      <c r="AT52" s="34">
        <f t="shared" ca="1" si="96"/>
        <v>0</v>
      </c>
      <c r="AU52" s="34">
        <f t="shared" ca="1" si="96"/>
        <v>0</v>
      </c>
      <c r="AV52" s="34">
        <f t="shared" ca="1" si="96"/>
        <v>0</v>
      </c>
      <c r="AW52" s="34">
        <f t="shared" ca="1" si="96"/>
        <v>0</v>
      </c>
      <c r="AX52" s="34">
        <f t="shared" ca="1" si="96"/>
        <v>0</v>
      </c>
      <c r="AY52" s="34">
        <f t="shared" ca="1" si="96"/>
        <v>0</v>
      </c>
      <c r="AZ52" s="34">
        <f t="shared" ca="1" si="96"/>
        <v>0</v>
      </c>
      <c r="BA52" s="34">
        <f t="shared" ca="1" si="96"/>
        <v>0</v>
      </c>
      <c r="BB52" s="34">
        <f t="shared" ca="1" si="96"/>
        <v>0</v>
      </c>
      <c r="BC52" s="34">
        <f t="shared" ca="1" si="96"/>
        <v>0</v>
      </c>
      <c r="BD52" s="34">
        <f t="shared" ca="1" si="96"/>
        <v>0</v>
      </c>
      <c r="BE52" s="34">
        <f t="shared" ca="1" si="96"/>
        <v>0</v>
      </c>
      <c r="BF52" s="34">
        <f t="shared" ca="1" si="96"/>
        <v>0</v>
      </c>
      <c r="BG52" s="34">
        <f t="shared" ca="1" si="96"/>
        <v>0</v>
      </c>
      <c r="BH52" s="34">
        <f t="shared" ca="1" si="96"/>
        <v>0</v>
      </c>
      <c r="BI52" s="34">
        <f t="shared" ca="1" si="96"/>
        <v>0</v>
      </c>
      <c r="BJ52" s="34">
        <f t="shared" ca="1" si="96"/>
        <v>0</v>
      </c>
      <c r="BK52" s="34">
        <f t="shared" ca="1" si="96"/>
        <v>0</v>
      </c>
      <c r="BL52" s="34">
        <f t="shared" ca="1" si="96"/>
        <v>0</v>
      </c>
      <c r="BM52" s="34">
        <f t="shared" ca="1" si="96"/>
        <v>0</v>
      </c>
      <c r="BN52" s="34">
        <f t="shared" ca="1" si="96"/>
        <v>0</v>
      </c>
      <c r="BO52" s="34">
        <f t="shared" ca="1" si="96"/>
        <v>0</v>
      </c>
      <c r="BP52" s="34">
        <f t="shared" ref="BP52:CU52" ca="1" si="97">IF(AND(BP18=1,BP46&gt;0),BP46-BP49-BP51+BP39,0)</f>
        <v>0</v>
      </c>
      <c r="BQ52" s="34">
        <f t="shared" ca="1" si="97"/>
        <v>0</v>
      </c>
      <c r="BR52" s="34">
        <f t="shared" ca="1" si="97"/>
        <v>0</v>
      </c>
      <c r="BS52" s="34">
        <f t="shared" ca="1" si="97"/>
        <v>0</v>
      </c>
      <c r="BT52" s="34">
        <f t="shared" ca="1" si="97"/>
        <v>0</v>
      </c>
      <c r="BU52" s="34">
        <f t="shared" ca="1" si="97"/>
        <v>0</v>
      </c>
      <c r="BV52" s="34">
        <f t="shared" ca="1" si="97"/>
        <v>0</v>
      </c>
      <c r="BW52" s="34">
        <f t="shared" ca="1" si="97"/>
        <v>0</v>
      </c>
      <c r="BX52" s="34">
        <f t="shared" ca="1" si="97"/>
        <v>0</v>
      </c>
      <c r="BY52" s="34">
        <f t="shared" ca="1" si="97"/>
        <v>0</v>
      </c>
      <c r="BZ52" s="34">
        <f t="shared" ca="1" si="97"/>
        <v>0</v>
      </c>
      <c r="CA52" s="34">
        <f t="shared" ca="1" si="97"/>
        <v>0</v>
      </c>
      <c r="CB52" s="34">
        <f t="shared" ca="1" si="97"/>
        <v>0</v>
      </c>
      <c r="CC52" s="34">
        <f t="shared" ca="1" si="97"/>
        <v>0</v>
      </c>
      <c r="CD52" s="34">
        <f t="shared" ca="1" si="97"/>
        <v>0</v>
      </c>
      <c r="CE52" s="34">
        <f t="shared" ca="1" si="97"/>
        <v>0</v>
      </c>
      <c r="CF52" s="34">
        <f t="shared" ca="1" si="97"/>
        <v>0</v>
      </c>
      <c r="CG52" s="34">
        <f t="shared" ca="1" si="97"/>
        <v>0</v>
      </c>
      <c r="CH52" s="34">
        <f t="shared" ca="1" si="97"/>
        <v>0</v>
      </c>
      <c r="CI52" s="34">
        <f t="shared" ca="1" si="97"/>
        <v>0</v>
      </c>
      <c r="CJ52" s="34">
        <f t="shared" ca="1" si="97"/>
        <v>0</v>
      </c>
      <c r="CK52" s="34">
        <f t="shared" ca="1" si="97"/>
        <v>0</v>
      </c>
      <c r="CL52" s="34">
        <f t="shared" ca="1" si="97"/>
        <v>0</v>
      </c>
      <c r="CM52" s="34">
        <f t="shared" ca="1" si="97"/>
        <v>0</v>
      </c>
      <c r="CN52" s="34">
        <f t="shared" ca="1" si="97"/>
        <v>0</v>
      </c>
      <c r="CO52" s="34">
        <f t="shared" ca="1" si="97"/>
        <v>0</v>
      </c>
      <c r="CP52" s="34">
        <f t="shared" ca="1" si="97"/>
        <v>0</v>
      </c>
      <c r="CQ52" s="34">
        <f t="shared" ca="1" si="97"/>
        <v>0</v>
      </c>
      <c r="CR52" s="34">
        <f t="shared" ca="1" si="97"/>
        <v>0</v>
      </c>
      <c r="CS52" s="34">
        <f t="shared" ca="1" si="97"/>
        <v>0</v>
      </c>
      <c r="CT52" s="34">
        <f t="shared" ca="1" si="97"/>
        <v>0</v>
      </c>
      <c r="CU52" s="34">
        <f t="shared" ca="1" si="97"/>
        <v>0</v>
      </c>
    </row>
    <row r="53" spans="1:99" x14ac:dyDescent="0.3">
      <c r="A53" s="7" t="s">
        <v>430</v>
      </c>
      <c r="B53" s="21">
        <f ca="1">SUM(D53:CU53)</f>
        <v>0</v>
      </c>
      <c r="C53" s="11"/>
      <c r="D53" s="34">
        <f t="shared" ref="D53:AI53" si="98">IF(D17=1,D48-D49+D50-D51,0)</f>
        <v>0</v>
      </c>
      <c r="E53" s="34">
        <f t="shared" si="98"/>
        <v>0</v>
      </c>
      <c r="F53" s="34">
        <f t="shared" si="98"/>
        <v>0</v>
      </c>
      <c r="G53" s="34">
        <f t="shared" si="98"/>
        <v>0</v>
      </c>
      <c r="H53" s="34">
        <f t="shared" si="98"/>
        <v>0</v>
      </c>
      <c r="I53" s="34">
        <f t="shared" si="98"/>
        <v>0</v>
      </c>
      <c r="J53" s="34">
        <f t="shared" si="98"/>
        <v>0</v>
      </c>
      <c r="K53" s="34">
        <f t="shared" si="98"/>
        <v>0</v>
      </c>
      <c r="L53" s="34">
        <f t="shared" si="98"/>
        <v>0</v>
      </c>
      <c r="M53" s="34">
        <f t="shared" si="98"/>
        <v>0</v>
      </c>
      <c r="N53" s="34">
        <f t="shared" si="98"/>
        <v>0</v>
      </c>
      <c r="O53" s="34">
        <f t="shared" si="98"/>
        <v>0</v>
      </c>
      <c r="P53" s="34">
        <f t="shared" si="98"/>
        <v>0</v>
      </c>
      <c r="Q53" s="34">
        <f t="shared" si="98"/>
        <v>0</v>
      </c>
      <c r="R53" s="34">
        <f t="shared" si="98"/>
        <v>0</v>
      </c>
      <c r="S53" s="34">
        <f t="shared" si="98"/>
        <v>0</v>
      </c>
      <c r="T53" s="34">
        <f t="shared" si="98"/>
        <v>0</v>
      </c>
      <c r="U53" s="34">
        <f t="shared" si="98"/>
        <v>0</v>
      </c>
      <c r="V53" s="34">
        <f t="shared" si="98"/>
        <v>0</v>
      </c>
      <c r="W53" s="34">
        <f t="shared" si="98"/>
        <v>0</v>
      </c>
      <c r="X53" s="34">
        <f t="shared" si="98"/>
        <v>0</v>
      </c>
      <c r="Y53" s="34">
        <f t="shared" si="98"/>
        <v>0</v>
      </c>
      <c r="Z53" s="34">
        <f t="shared" si="98"/>
        <v>0</v>
      </c>
      <c r="AA53" s="34">
        <f t="shared" si="98"/>
        <v>0</v>
      </c>
      <c r="AB53" s="34">
        <f t="shared" si="98"/>
        <v>0</v>
      </c>
      <c r="AC53" s="34">
        <f t="shared" si="98"/>
        <v>0</v>
      </c>
      <c r="AD53" s="34">
        <f t="shared" si="98"/>
        <v>0</v>
      </c>
      <c r="AE53" s="34">
        <f t="shared" si="98"/>
        <v>0</v>
      </c>
      <c r="AF53" s="34">
        <f t="shared" si="98"/>
        <v>0</v>
      </c>
      <c r="AG53" s="34">
        <f t="shared" si="98"/>
        <v>0</v>
      </c>
      <c r="AH53" s="34">
        <f t="shared" si="98"/>
        <v>0</v>
      </c>
      <c r="AI53" s="34">
        <f t="shared" si="98"/>
        <v>0</v>
      </c>
      <c r="AJ53" s="34">
        <f t="shared" ref="AJ53:BO53" ca="1" si="99">IF(AJ17=1,AJ48-AJ49+AJ50-AJ51,0)</f>
        <v>0</v>
      </c>
      <c r="AK53" s="34">
        <f t="shared" si="99"/>
        <v>0</v>
      </c>
      <c r="AL53" s="34">
        <f t="shared" si="99"/>
        <v>0</v>
      </c>
      <c r="AM53" s="34">
        <f t="shared" si="99"/>
        <v>0</v>
      </c>
      <c r="AN53" s="34">
        <f t="shared" si="99"/>
        <v>0</v>
      </c>
      <c r="AO53" s="34">
        <f t="shared" si="99"/>
        <v>0</v>
      </c>
      <c r="AP53" s="34">
        <f t="shared" si="99"/>
        <v>0</v>
      </c>
      <c r="AQ53" s="34">
        <f t="shared" si="99"/>
        <v>0</v>
      </c>
      <c r="AR53" s="34">
        <f t="shared" si="99"/>
        <v>0</v>
      </c>
      <c r="AS53" s="34">
        <f t="shared" si="99"/>
        <v>0</v>
      </c>
      <c r="AT53" s="34">
        <f t="shared" si="99"/>
        <v>0</v>
      </c>
      <c r="AU53" s="34">
        <f t="shared" si="99"/>
        <v>0</v>
      </c>
      <c r="AV53" s="34">
        <f t="shared" si="99"/>
        <v>0</v>
      </c>
      <c r="AW53" s="34">
        <f t="shared" si="99"/>
        <v>0</v>
      </c>
      <c r="AX53" s="34">
        <f t="shared" si="99"/>
        <v>0</v>
      </c>
      <c r="AY53" s="34">
        <f t="shared" si="99"/>
        <v>0</v>
      </c>
      <c r="AZ53" s="34">
        <f t="shared" si="99"/>
        <v>0</v>
      </c>
      <c r="BA53" s="34">
        <f t="shared" si="99"/>
        <v>0</v>
      </c>
      <c r="BB53" s="34">
        <f t="shared" si="99"/>
        <v>0</v>
      </c>
      <c r="BC53" s="34">
        <f t="shared" si="99"/>
        <v>0</v>
      </c>
      <c r="BD53" s="34">
        <f t="shared" si="99"/>
        <v>0</v>
      </c>
      <c r="BE53" s="34">
        <f t="shared" si="99"/>
        <v>0</v>
      </c>
      <c r="BF53" s="34">
        <f t="shared" si="99"/>
        <v>0</v>
      </c>
      <c r="BG53" s="34">
        <f t="shared" si="99"/>
        <v>0</v>
      </c>
      <c r="BH53" s="34">
        <f t="shared" si="99"/>
        <v>0</v>
      </c>
      <c r="BI53" s="34">
        <f t="shared" si="99"/>
        <v>0</v>
      </c>
      <c r="BJ53" s="34">
        <f t="shared" si="99"/>
        <v>0</v>
      </c>
      <c r="BK53" s="34">
        <f t="shared" si="99"/>
        <v>0</v>
      </c>
      <c r="BL53" s="34">
        <f t="shared" si="99"/>
        <v>0</v>
      </c>
      <c r="BM53" s="34">
        <f t="shared" si="99"/>
        <v>0</v>
      </c>
      <c r="BN53" s="34">
        <f t="shared" si="99"/>
        <v>0</v>
      </c>
      <c r="BO53" s="34">
        <f t="shared" si="99"/>
        <v>0</v>
      </c>
      <c r="BP53" s="34">
        <f t="shared" ref="BP53:CU53" si="100">IF(BP17=1,BP48-BP49+BP50-BP51,0)</f>
        <v>0</v>
      </c>
      <c r="BQ53" s="34">
        <f t="shared" si="100"/>
        <v>0</v>
      </c>
      <c r="BR53" s="34">
        <f t="shared" si="100"/>
        <v>0</v>
      </c>
      <c r="BS53" s="34">
        <f t="shared" si="100"/>
        <v>0</v>
      </c>
      <c r="BT53" s="34">
        <f t="shared" si="100"/>
        <v>0</v>
      </c>
      <c r="BU53" s="34">
        <f t="shared" si="100"/>
        <v>0</v>
      </c>
      <c r="BV53" s="34">
        <f t="shared" si="100"/>
        <v>0</v>
      </c>
      <c r="BW53" s="34">
        <f t="shared" si="100"/>
        <v>0</v>
      </c>
      <c r="BX53" s="34">
        <f t="shared" si="100"/>
        <v>0</v>
      </c>
      <c r="BY53" s="34">
        <f t="shared" si="100"/>
        <v>0</v>
      </c>
      <c r="BZ53" s="34">
        <f t="shared" si="100"/>
        <v>0</v>
      </c>
      <c r="CA53" s="34">
        <f t="shared" si="100"/>
        <v>0</v>
      </c>
      <c r="CB53" s="34">
        <f t="shared" si="100"/>
        <v>0</v>
      </c>
      <c r="CC53" s="34">
        <f t="shared" si="100"/>
        <v>0</v>
      </c>
      <c r="CD53" s="34">
        <f t="shared" si="100"/>
        <v>0</v>
      </c>
      <c r="CE53" s="34">
        <f t="shared" si="100"/>
        <v>0</v>
      </c>
      <c r="CF53" s="34">
        <f t="shared" si="100"/>
        <v>0</v>
      </c>
      <c r="CG53" s="34">
        <f t="shared" si="100"/>
        <v>0</v>
      </c>
      <c r="CH53" s="34">
        <f t="shared" si="100"/>
        <v>0</v>
      </c>
      <c r="CI53" s="34">
        <f t="shared" si="100"/>
        <v>0</v>
      </c>
      <c r="CJ53" s="34">
        <f t="shared" si="100"/>
        <v>0</v>
      </c>
      <c r="CK53" s="34">
        <f t="shared" si="100"/>
        <v>0</v>
      </c>
      <c r="CL53" s="34">
        <f t="shared" si="100"/>
        <v>0</v>
      </c>
      <c r="CM53" s="34">
        <f t="shared" si="100"/>
        <v>0</v>
      </c>
      <c r="CN53" s="34">
        <f t="shared" si="100"/>
        <v>0</v>
      </c>
      <c r="CO53" s="34">
        <f t="shared" si="100"/>
        <v>0</v>
      </c>
      <c r="CP53" s="34">
        <f t="shared" si="100"/>
        <v>0</v>
      </c>
      <c r="CQ53" s="34">
        <f t="shared" si="100"/>
        <v>0</v>
      </c>
      <c r="CR53" s="34">
        <f t="shared" si="100"/>
        <v>0</v>
      </c>
      <c r="CS53" s="34">
        <f t="shared" si="100"/>
        <v>0</v>
      </c>
      <c r="CT53" s="34">
        <f t="shared" si="100"/>
        <v>0</v>
      </c>
      <c r="CU53" s="34">
        <f t="shared" si="100"/>
        <v>0</v>
      </c>
    </row>
    <row r="54" spans="1:99" x14ac:dyDescent="0.3">
      <c r="A54" s="7" t="s">
        <v>431</v>
      </c>
      <c r="B54" s="21">
        <f ca="1">SUM(D54:CU54)</f>
        <v>0</v>
      </c>
      <c r="C54" s="11"/>
      <c r="D54" s="34">
        <f t="shared" ref="D54:AI54" ca="1" si="101">MAX(D53-D52,0)</f>
        <v>0</v>
      </c>
      <c r="E54" s="34">
        <f t="shared" ca="1" si="101"/>
        <v>0</v>
      </c>
      <c r="F54" s="34">
        <f t="shared" ca="1" si="101"/>
        <v>0</v>
      </c>
      <c r="G54" s="34">
        <f t="shared" ca="1" si="101"/>
        <v>0</v>
      </c>
      <c r="H54" s="34">
        <f t="shared" ca="1" si="101"/>
        <v>0</v>
      </c>
      <c r="I54" s="34">
        <f t="shared" ca="1" si="101"/>
        <v>0</v>
      </c>
      <c r="J54" s="34">
        <f t="shared" ca="1" si="101"/>
        <v>0</v>
      </c>
      <c r="K54" s="34">
        <f t="shared" ca="1" si="101"/>
        <v>0</v>
      </c>
      <c r="L54" s="34">
        <f t="shared" ca="1" si="101"/>
        <v>0</v>
      </c>
      <c r="M54" s="34">
        <f t="shared" ca="1" si="101"/>
        <v>0</v>
      </c>
      <c r="N54" s="34">
        <f t="shared" ca="1" si="101"/>
        <v>0</v>
      </c>
      <c r="O54" s="34">
        <f t="shared" ca="1" si="101"/>
        <v>0</v>
      </c>
      <c r="P54" s="34">
        <f t="shared" ca="1" si="101"/>
        <v>0</v>
      </c>
      <c r="Q54" s="34">
        <f t="shared" ca="1" si="101"/>
        <v>0</v>
      </c>
      <c r="R54" s="34">
        <f t="shared" ca="1" si="101"/>
        <v>0</v>
      </c>
      <c r="S54" s="34">
        <f t="shared" ca="1" si="101"/>
        <v>0</v>
      </c>
      <c r="T54" s="34">
        <f t="shared" ca="1" si="101"/>
        <v>0</v>
      </c>
      <c r="U54" s="34">
        <f t="shared" ca="1" si="101"/>
        <v>0</v>
      </c>
      <c r="V54" s="34">
        <f t="shared" ca="1" si="101"/>
        <v>0</v>
      </c>
      <c r="W54" s="34">
        <f t="shared" ca="1" si="101"/>
        <v>0</v>
      </c>
      <c r="X54" s="34">
        <f t="shared" ca="1" si="101"/>
        <v>0</v>
      </c>
      <c r="Y54" s="34">
        <f t="shared" ca="1" si="101"/>
        <v>0</v>
      </c>
      <c r="Z54" s="34">
        <f t="shared" ca="1" si="101"/>
        <v>0</v>
      </c>
      <c r="AA54" s="34">
        <f t="shared" ca="1" si="101"/>
        <v>0</v>
      </c>
      <c r="AB54" s="34">
        <f t="shared" ca="1" si="101"/>
        <v>0</v>
      </c>
      <c r="AC54" s="34">
        <f t="shared" ca="1" si="101"/>
        <v>0</v>
      </c>
      <c r="AD54" s="34">
        <f t="shared" ca="1" si="101"/>
        <v>0</v>
      </c>
      <c r="AE54" s="34">
        <f t="shared" ca="1" si="101"/>
        <v>0</v>
      </c>
      <c r="AF54" s="34">
        <f t="shared" ca="1" si="101"/>
        <v>0</v>
      </c>
      <c r="AG54" s="34">
        <f t="shared" ca="1" si="101"/>
        <v>0</v>
      </c>
      <c r="AH54" s="34">
        <f t="shared" ca="1" si="101"/>
        <v>0</v>
      </c>
      <c r="AI54" s="34">
        <f t="shared" ca="1" si="101"/>
        <v>0</v>
      </c>
      <c r="AJ54" s="34">
        <f t="shared" ref="AJ54:BO54" ca="1" si="102">MAX(AJ53-AJ52,0)</f>
        <v>0</v>
      </c>
      <c r="AK54" s="34">
        <f t="shared" ca="1" si="102"/>
        <v>0</v>
      </c>
      <c r="AL54" s="34">
        <f t="shared" ca="1" si="102"/>
        <v>0</v>
      </c>
      <c r="AM54" s="34">
        <f t="shared" ca="1" si="102"/>
        <v>0</v>
      </c>
      <c r="AN54" s="34">
        <f t="shared" ca="1" si="102"/>
        <v>0</v>
      </c>
      <c r="AO54" s="34">
        <f t="shared" ca="1" si="102"/>
        <v>0</v>
      </c>
      <c r="AP54" s="34">
        <f t="shared" ca="1" si="102"/>
        <v>0</v>
      </c>
      <c r="AQ54" s="34">
        <f t="shared" ca="1" si="102"/>
        <v>0</v>
      </c>
      <c r="AR54" s="34">
        <f t="shared" ca="1" si="102"/>
        <v>0</v>
      </c>
      <c r="AS54" s="34">
        <f t="shared" ca="1" si="102"/>
        <v>0</v>
      </c>
      <c r="AT54" s="34">
        <f t="shared" ca="1" si="102"/>
        <v>0</v>
      </c>
      <c r="AU54" s="34">
        <f t="shared" ca="1" si="102"/>
        <v>0</v>
      </c>
      <c r="AV54" s="34">
        <f t="shared" ca="1" si="102"/>
        <v>0</v>
      </c>
      <c r="AW54" s="34">
        <f t="shared" ca="1" si="102"/>
        <v>0</v>
      </c>
      <c r="AX54" s="34">
        <f t="shared" ca="1" si="102"/>
        <v>0</v>
      </c>
      <c r="AY54" s="34">
        <f t="shared" ca="1" si="102"/>
        <v>0</v>
      </c>
      <c r="AZ54" s="34">
        <f t="shared" ca="1" si="102"/>
        <v>0</v>
      </c>
      <c r="BA54" s="34">
        <f t="shared" ca="1" si="102"/>
        <v>0</v>
      </c>
      <c r="BB54" s="34">
        <f t="shared" ca="1" si="102"/>
        <v>0</v>
      </c>
      <c r="BC54" s="34">
        <f t="shared" ca="1" si="102"/>
        <v>0</v>
      </c>
      <c r="BD54" s="34">
        <f t="shared" ca="1" si="102"/>
        <v>0</v>
      </c>
      <c r="BE54" s="34">
        <f t="shared" ca="1" si="102"/>
        <v>0</v>
      </c>
      <c r="BF54" s="34">
        <f t="shared" ca="1" si="102"/>
        <v>0</v>
      </c>
      <c r="BG54" s="34">
        <f t="shared" ca="1" si="102"/>
        <v>0</v>
      </c>
      <c r="BH54" s="34">
        <f t="shared" ca="1" si="102"/>
        <v>0</v>
      </c>
      <c r="BI54" s="34">
        <f t="shared" ca="1" si="102"/>
        <v>0</v>
      </c>
      <c r="BJ54" s="34">
        <f t="shared" ca="1" si="102"/>
        <v>0</v>
      </c>
      <c r="BK54" s="34">
        <f t="shared" ca="1" si="102"/>
        <v>0</v>
      </c>
      <c r="BL54" s="34">
        <f t="shared" ca="1" si="102"/>
        <v>0</v>
      </c>
      <c r="BM54" s="34">
        <f t="shared" ca="1" si="102"/>
        <v>0</v>
      </c>
      <c r="BN54" s="34">
        <f t="shared" ca="1" si="102"/>
        <v>0</v>
      </c>
      <c r="BO54" s="34">
        <f t="shared" ca="1" si="102"/>
        <v>0</v>
      </c>
      <c r="BP54" s="34">
        <f t="shared" ref="BP54:CU54" ca="1" si="103">MAX(BP53-BP52,0)</f>
        <v>0</v>
      </c>
      <c r="BQ54" s="34">
        <f t="shared" ca="1" si="103"/>
        <v>0</v>
      </c>
      <c r="BR54" s="34">
        <f t="shared" ca="1" si="103"/>
        <v>0</v>
      </c>
      <c r="BS54" s="34">
        <f t="shared" ca="1" si="103"/>
        <v>0</v>
      </c>
      <c r="BT54" s="34">
        <f t="shared" ca="1" si="103"/>
        <v>0</v>
      </c>
      <c r="BU54" s="34">
        <f t="shared" ca="1" si="103"/>
        <v>0</v>
      </c>
      <c r="BV54" s="34">
        <f t="shared" ca="1" si="103"/>
        <v>0</v>
      </c>
      <c r="BW54" s="34">
        <f t="shared" ca="1" si="103"/>
        <v>0</v>
      </c>
      <c r="BX54" s="34">
        <f t="shared" ca="1" si="103"/>
        <v>0</v>
      </c>
      <c r="BY54" s="34">
        <f t="shared" ca="1" si="103"/>
        <v>0</v>
      </c>
      <c r="BZ54" s="34">
        <f t="shared" ca="1" si="103"/>
        <v>0</v>
      </c>
      <c r="CA54" s="34">
        <f t="shared" ca="1" si="103"/>
        <v>0</v>
      </c>
      <c r="CB54" s="34">
        <f t="shared" ca="1" si="103"/>
        <v>0</v>
      </c>
      <c r="CC54" s="34">
        <f t="shared" ca="1" si="103"/>
        <v>0</v>
      </c>
      <c r="CD54" s="34">
        <f t="shared" ca="1" si="103"/>
        <v>0</v>
      </c>
      <c r="CE54" s="34">
        <f t="shared" ca="1" si="103"/>
        <v>0</v>
      </c>
      <c r="CF54" s="34">
        <f t="shared" ca="1" si="103"/>
        <v>0</v>
      </c>
      <c r="CG54" s="34">
        <f t="shared" ca="1" si="103"/>
        <v>0</v>
      </c>
      <c r="CH54" s="34">
        <f t="shared" ca="1" si="103"/>
        <v>0</v>
      </c>
      <c r="CI54" s="34">
        <f t="shared" ca="1" si="103"/>
        <v>0</v>
      </c>
      <c r="CJ54" s="34">
        <f t="shared" ca="1" si="103"/>
        <v>0</v>
      </c>
      <c r="CK54" s="34">
        <f t="shared" ca="1" si="103"/>
        <v>0</v>
      </c>
      <c r="CL54" s="34">
        <f t="shared" ca="1" si="103"/>
        <v>0</v>
      </c>
      <c r="CM54" s="34">
        <f t="shared" ca="1" si="103"/>
        <v>0</v>
      </c>
      <c r="CN54" s="34">
        <f t="shared" ca="1" si="103"/>
        <v>0</v>
      </c>
      <c r="CO54" s="34">
        <f t="shared" ca="1" si="103"/>
        <v>0</v>
      </c>
      <c r="CP54" s="34">
        <f t="shared" ca="1" si="103"/>
        <v>0</v>
      </c>
      <c r="CQ54" s="34">
        <f t="shared" ca="1" si="103"/>
        <v>0</v>
      </c>
      <c r="CR54" s="34">
        <f t="shared" ca="1" si="103"/>
        <v>0</v>
      </c>
      <c r="CS54" s="34">
        <f t="shared" ca="1" si="103"/>
        <v>0</v>
      </c>
      <c r="CT54" s="34">
        <f t="shared" ca="1" si="103"/>
        <v>0</v>
      </c>
      <c r="CU54" s="34">
        <f t="shared" ca="1" si="103"/>
        <v>0</v>
      </c>
    </row>
    <row r="55" spans="1:99" x14ac:dyDescent="0.3">
      <c r="A55" s="7" t="s">
        <v>432</v>
      </c>
      <c r="B55" s="1"/>
      <c r="C55" s="11"/>
      <c r="D55" s="34">
        <f t="shared" ref="D55:AI55" ca="1" si="104">IF(D46&gt;0,IF(D18=1,0,D39+D46),D39-D40)</f>
        <v>0</v>
      </c>
      <c r="E55" s="34">
        <f t="shared" ca="1" si="104"/>
        <v>0</v>
      </c>
      <c r="F55" s="34">
        <f t="shared" ca="1" si="104"/>
        <v>0</v>
      </c>
      <c r="G55" s="34">
        <f t="shared" ca="1" si="104"/>
        <v>0</v>
      </c>
      <c r="H55" s="34">
        <f t="shared" ca="1" si="104"/>
        <v>0</v>
      </c>
      <c r="I55" s="34">
        <f t="shared" ca="1" si="104"/>
        <v>681166.53044019453</v>
      </c>
      <c r="J55" s="34">
        <f t="shared" ca="1" si="104"/>
        <v>1660628.2308719978</v>
      </c>
      <c r="K55" s="34">
        <f t="shared" ca="1" si="104"/>
        <v>2951152.5214966969</v>
      </c>
      <c r="L55" s="34">
        <f t="shared" ca="1" si="104"/>
        <v>0</v>
      </c>
      <c r="M55" s="34">
        <f t="shared" ca="1" si="104"/>
        <v>0</v>
      </c>
      <c r="N55" s="34">
        <f t="shared" ca="1" si="104"/>
        <v>0</v>
      </c>
      <c r="O55" s="34">
        <f t="shared" ca="1" si="104"/>
        <v>0</v>
      </c>
      <c r="P55" s="34">
        <f t="shared" ca="1" si="104"/>
        <v>0</v>
      </c>
      <c r="Q55" s="34">
        <f t="shared" ca="1" si="104"/>
        <v>0</v>
      </c>
      <c r="R55" s="34">
        <f t="shared" ca="1" si="104"/>
        <v>0</v>
      </c>
      <c r="S55" s="34">
        <f t="shared" ca="1" si="104"/>
        <v>0</v>
      </c>
      <c r="T55" s="34">
        <f t="shared" ca="1" si="104"/>
        <v>0</v>
      </c>
      <c r="U55" s="34">
        <f t="shared" ca="1" si="104"/>
        <v>0</v>
      </c>
      <c r="V55" s="34">
        <f t="shared" ca="1" si="104"/>
        <v>0</v>
      </c>
      <c r="W55" s="34">
        <f t="shared" ca="1" si="104"/>
        <v>0</v>
      </c>
      <c r="X55" s="34">
        <f t="shared" ca="1" si="104"/>
        <v>0</v>
      </c>
      <c r="Y55" s="34">
        <f t="shared" ca="1" si="104"/>
        <v>0</v>
      </c>
      <c r="Z55" s="34">
        <f t="shared" ca="1" si="104"/>
        <v>0</v>
      </c>
      <c r="AA55" s="34">
        <f t="shared" ca="1" si="104"/>
        <v>0</v>
      </c>
      <c r="AB55" s="34">
        <f t="shared" ca="1" si="104"/>
        <v>0</v>
      </c>
      <c r="AC55" s="34">
        <f t="shared" ca="1" si="104"/>
        <v>0</v>
      </c>
      <c r="AD55" s="34">
        <f t="shared" ca="1" si="104"/>
        <v>0</v>
      </c>
      <c r="AE55" s="34">
        <f t="shared" ca="1" si="104"/>
        <v>0</v>
      </c>
      <c r="AF55" s="34">
        <f t="shared" ca="1" si="104"/>
        <v>3717702.6883901535</v>
      </c>
      <c r="AG55" s="34">
        <f t="shared" ca="1" si="104"/>
        <v>12790875.107607711</v>
      </c>
      <c r="AH55" s="34">
        <f t="shared" ca="1" si="104"/>
        <v>28803419.936963432</v>
      </c>
      <c r="AI55" s="34">
        <f t="shared" ca="1" si="104"/>
        <v>54072755.324141741</v>
      </c>
      <c r="AJ55" s="34">
        <f t="shared" ref="AJ55:BO55" ca="1" si="105">IF(AJ46&gt;0,IF(AJ18=1,0,AJ39+AJ46),AJ39-AJ40)</f>
        <v>0</v>
      </c>
      <c r="AK55" s="34">
        <f t="shared" ca="1" si="105"/>
        <v>0</v>
      </c>
      <c r="AL55" s="34">
        <f t="shared" ca="1" si="105"/>
        <v>0</v>
      </c>
      <c r="AM55" s="34">
        <f t="shared" ca="1" si="105"/>
        <v>0</v>
      </c>
      <c r="AN55" s="34">
        <f t="shared" ca="1" si="105"/>
        <v>0</v>
      </c>
      <c r="AO55" s="34">
        <f t="shared" ca="1" si="105"/>
        <v>0</v>
      </c>
      <c r="AP55" s="34">
        <f t="shared" ca="1" si="105"/>
        <v>0</v>
      </c>
      <c r="AQ55" s="34">
        <f t="shared" ca="1" si="105"/>
        <v>0</v>
      </c>
      <c r="AR55" s="34">
        <f t="shared" ca="1" si="105"/>
        <v>0</v>
      </c>
      <c r="AS55" s="34">
        <f t="shared" ca="1" si="105"/>
        <v>0</v>
      </c>
      <c r="AT55" s="34">
        <f t="shared" ca="1" si="105"/>
        <v>0</v>
      </c>
      <c r="AU55" s="34">
        <f t="shared" ca="1" si="105"/>
        <v>0</v>
      </c>
      <c r="AV55" s="34">
        <f t="shared" ca="1" si="105"/>
        <v>0</v>
      </c>
      <c r="AW55" s="34">
        <f t="shared" ca="1" si="105"/>
        <v>0</v>
      </c>
      <c r="AX55" s="34">
        <f t="shared" ca="1" si="105"/>
        <v>0</v>
      </c>
      <c r="AY55" s="34">
        <f t="shared" ca="1" si="105"/>
        <v>0</v>
      </c>
      <c r="AZ55" s="34">
        <f t="shared" ca="1" si="105"/>
        <v>0</v>
      </c>
      <c r="BA55" s="34">
        <f t="shared" ca="1" si="105"/>
        <v>0</v>
      </c>
      <c r="BB55" s="34">
        <f t="shared" ca="1" si="105"/>
        <v>0</v>
      </c>
      <c r="BC55" s="34">
        <f t="shared" ca="1" si="105"/>
        <v>0</v>
      </c>
      <c r="BD55" s="34">
        <f t="shared" ca="1" si="105"/>
        <v>0</v>
      </c>
      <c r="BE55" s="34">
        <f t="shared" ca="1" si="105"/>
        <v>0</v>
      </c>
      <c r="BF55" s="34">
        <f t="shared" ca="1" si="105"/>
        <v>0</v>
      </c>
      <c r="BG55" s="34">
        <f t="shared" ca="1" si="105"/>
        <v>0</v>
      </c>
      <c r="BH55" s="34">
        <f t="shared" ca="1" si="105"/>
        <v>0</v>
      </c>
      <c r="BI55" s="34">
        <f t="shared" ca="1" si="105"/>
        <v>0</v>
      </c>
      <c r="BJ55" s="34">
        <f t="shared" ca="1" si="105"/>
        <v>0</v>
      </c>
      <c r="BK55" s="34">
        <f t="shared" ca="1" si="105"/>
        <v>0</v>
      </c>
      <c r="BL55" s="34">
        <f t="shared" ca="1" si="105"/>
        <v>0</v>
      </c>
      <c r="BM55" s="34">
        <f t="shared" ca="1" si="105"/>
        <v>0</v>
      </c>
      <c r="BN55" s="34">
        <f t="shared" ca="1" si="105"/>
        <v>0</v>
      </c>
      <c r="BO55" s="34">
        <f t="shared" ca="1" si="105"/>
        <v>0</v>
      </c>
      <c r="BP55" s="34">
        <f t="shared" ref="BP55:CU55" ca="1" si="106">IF(BP46&gt;0,IF(BP18=1,0,BP39+BP46),BP39-BP40)</f>
        <v>0</v>
      </c>
      <c r="BQ55" s="34">
        <f t="shared" ca="1" si="106"/>
        <v>0</v>
      </c>
      <c r="BR55" s="34">
        <f t="shared" ca="1" si="106"/>
        <v>0</v>
      </c>
      <c r="BS55" s="34">
        <f t="shared" ca="1" si="106"/>
        <v>0</v>
      </c>
      <c r="BT55" s="34">
        <f t="shared" ca="1" si="106"/>
        <v>0</v>
      </c>
      <c r="BU55" s="34">
        <f t="shared" ca="1" si="106"/>
        <v>0</v>
      </c>
      <c r="BV55" s="34">
        <f t="shared" ca="1" si="106"/>
        <v>0</v>
      </c>
      <c r="BW55" s="34">
        <f t="shared" ca="1" si="106"/>
        <v>0</v>
      </c>
      <c r="BX55" s="34">
        <f t="shared" ca="1" si="106"/>
        <v>0</v>
      </c>
      <c r="BY55" s="34">
        <f t="shared" ca="1" si="106"/>
        <v>0</v>
      </c>
      <c r="BZ55" s="34">
        <f t="shared" ca="1" si="106"/>
        <v>0</v>
      </c>
      <c r="CA55" s="34">
        <f t="shared" ca="1" si="106"/>
        <v>0</v>
      </c>
      <c r="CB55" s="34">
        <f t="shared" ca="1" si="106"/>
        <v>0</v>
      </c>
      <c r="CC55" s="34">
        <f t="shared" ca="1" si="106"/>
        <v>0</v>
      </c>
      <c r="CD55" s="34">
        <f t="shared" ca="1" si="106"/>
        <v>0</v>
      </c>
      <c r="CE55" s="34">
        <f t="shared" ca="1" si="106"/>
        <v>0</v>
      </c>
      <c r="CF55" s="34">
        <f t="shared" ca="1" si="106"/>
        <v>0</v>
      </c>
      <c r="CG55" s="34">
        <f t="shared" ca="1" si="106"/>
        <v>0</v>
      </c>
      <c r="CH55" s="34">
        <f t="shared" ca="1" si="106"/>
        <v>0</v>
      </c>
      <c r="CI55" s="34">
        <f t="shared" ca="1" si="106"/>
        <v>0</v>
      </c>
      <c r="CJ55" s="34">
        <f t="shared" ca="1" si="106"/>
        <v>0</v>
      </c>
      <c r="CK55" s="34">
        <f t="shared" ca="1" si="106"/>
        <v>0</v>
      </c>
      <c r="CL55" s="34">
        <f t="shared" ca="1" si="106"/>
        <v>0</v>
      </c>
      <c r="CM55" s="34">
        <f t="shared" ca="1" si="106"/>
        <v>0</v>
      </c>
      <c r="CN55" s="34">
        <f t="shared" ca="1" si="106"/>
        <v>0</v>
      </c>
      <c r="CO55" s="34">
        <f t="shared" ca="1" si="106"/>
        <v>0</v>
      </c>
      <c r="CP55" s="34">
        <f t="shared" ca="1" si="106"/>
        <v>0</v>
      </c>
      <c r="CQ55" s="34">
        <f t="shared" ca="1" si="106"/>
        <v>0</v>
      </c>
      <c r="CR55" s="34">
        <f t="shared" ca="1" si="106"/>
        <v>0</v>
      </c>
      <c r="CS55" s="34">
        <f t="shared" ca="1" si="106"/>
        <v>0</v>
      </c>
      <c r="CT55" s="34">
        <f t="shared" ca="1" si="106"/>
        <v>0</v>
      </c>
      <c r="CU55" s="34">
        <f t="shared" ca="1" si="106"/>
        <v>0</v>
      </c>
    </row>
    <row r="56" spans="1:99" x14ac:dyDescent="0.3">
      <c r="A56" s="7" t="s">
        <v>433</v>
      </c>
      <c r="B56" s="1"/>
      <c r="C56" s="11"/>
      <c r="D56" s="34">
        <f t="shared" ref="D56:AI56" ca="1" si="107">IF(D17=1,0,D48-D49)</f>
        <v>0</v>
      </c>
      <c r="E56" s="34">
        <f t="shared" ca="1" si="107"/>
        <v>0</v>
      </c>
      <c r="F56" s="34">
        <f t="shared" ca="1" si="107"/>
        <v>0</v>
      </c>
      <c r="G56" s="34">
        <f t="shared" ca="1" si="107"/>
        <v>0</v>
      </c>
      <c r="H56" s="34">
        <f t="shared" ca="1" si="107"/>
        <v>0</v>
      </c>
      <c r="I56" s="34">
        <f t="shared" ca="1" si="107"/>
        <v>0</v>
      </c>
      <c r="J56" s="34">
        <f t="shared" ca="1" si="107"/>
        <v>0</v>
      </c>
      <c r="K56" s="34">
        <f t="shared" ca="1" si="107"/>
        <v>0</v>
      </c>
      <c r="L56" s="34">
        <f t="shared" ca="1" si="107"/>
        <v>0</v>
      </c>
      <c r="M56" s="34">
        <f t="shared" ca="1" si="107"/>
        <v>0</v>
      </c>
      <c r="N56" s="34">
        <f t="shared" ca="1" si="107"/>
        <v>0</v>
      </c>
      <c r="O56" s="34">
        <f t="shared" ca="1" si="107"/>
        <v>0</v>
      </c>
      <c r="P56" s="34">
        <f t="shared" ca="1" si="107"/>
        <v>0</v>
      </c>
      <c r="Q56" s="34">
        <f t="shared" ca="1" si="107"/>
        <v>0</v>
      </c>
      <c r="R56" s="34">
        <f t="shared" ca="1" si="107"/>
        <v>0</v>
      </c>
      <c r="S56" s="34">
        <f t="shared" ca="1" si="107"/>
        <v>0</v>
      </c>
      <c r="T56" s="34">
        <f t="shared" ca="1" si="107"/>
        <v>0</v>
      </c>
      <c r="U56" s="34">
        <f t="shared" ca="1" si="107"/>
        <v>0</v>
      </c>
      <c r="V56" s="34">
        <f t="shared" ca="1" si="107"/>
        <v>0</v>
      </c>
      <c r="W56" s="34">
        <f t="shared" ca="1" si="107"/>
        <v>0</v>
      </c>
      <c r="X56" s="34">
        <f t="shared" ca="1" si="107"/>
        <v>11914978.273118386</v>
      </c>
      <c r="Y56" s="34">
        <f t="shared" ca="1" si="107"/>
        <v>26996735.588301562</v>
      </c>
      <c r="Z56" s="34">
        <f t="shared" ca="1" si="107"/>
        <v>41095892.382791013</v>
      </c>
      <c r="AA56" s="34">
        <f t="shared" ca="1" si="107"/>
        <v>53724534.655956</v>
      </c>
      <c r="AB56" s="34">
        <f t="shared" ca="1" si="107"/>
        <v>64376334.0607398</v>
      </c>
      <c r="AC56" s="34">
        <f t="shared" ca="1" si="107"/>
        <v>72523066.385338068</v>
      </c>
      <c r="AD56" s="34">
        <f t="shared" ca="1" si="107"/>
        <v>77604289.327233806</v>
      </c>
      <c r="AE56" s="34">
        <f t="shared" ca="1" si="107"/>
        <v>79003413.177996367</v>
      </c>
      <c r="AF56" s="34">
        <f t="shared" ca="1" si="107"/>
        <v>79711152.087997198</v>
      </c>
      <c r="AG56" s="34">
        <f t="shared" ca="1" si="107"/>
        <v>80425231.159282625</v>
      </c>
      <c r="AH56" s="34">
        <f t="shared" ca="1" si="107"/>
        <v>81145707.189204738</v>
      </c>
      <c r="AI56" s="34">
        <f t="shared" ca="1" si="107"/>
        <v>81872637.483925998</v>
      </c>
      <c r="AJ56" s="34">
        <f t="shared" ref="AJ56:BO56" si="108">IF(AJ17=1,0,AJ48-AJ49)</f>
        <v>0</v>
      </c>
      <c r="AK56" s="34">
        <f t="shared" ca="1" si="108"/>
        <v>0</v>
      </c>
      <c r="AL56" s="34">
        <f t="shared" ca="1" si="108"/>
        <v>0</v>
      </c>
      <c r="AM56" s="34">
        <f t="shared" ca="1" si="108"/>
        <v>0</v>
      </c>
      <c r="AN56" s="34">
        <f t="shared" ca="1" si="108"/>
        <v>0</v>
      </c>
      <c r="AO56" s="34">
        <f t="shared" ca="1" si="108"/>
        <v>0</v>
      </c>
      <c r="AP56" s="34">
        <f t="shared" ca="1" si="108"/>
        <v>0</v>
      </c>
      <c r="AQ56" s="34">
        <f t="shared" ca="1" si="108"/>
        <v>0</v>
      </c>
      <c r="AR56" s="34">
        <f t="shared" ca="1" si="108"/>
        <v>0</v>
      </c>
      <c r="AS56" s="34">
        <f t="shared" ca="1" si="108"/>
        <v>0</v>
      </c>
      <c r="AT56" s="34">
        <f t="shared" ca="1" si="108"/>
        <v>0</v>
      </c>
      <c r="AU56" s="34">
        <f t="shared" ca="1" si="108"/>
        <v>0</v>
      </c>
      <c r="AV56" s="34">
        <f t="shared" ca="1" si="108"/>
        <v>0</v>
      </c>
      <c r="AW56" s="34">
        <f t="shared" ca="1" si="108"/>
        <v>0</v>
      </c>
      <c r="AX56" s="34">
        <f t="shared" ca="1" si="108"/>
        <v>0</v>
      </c>
      <c r="AY56" s="34">
        <f t="shared" ca="1" si="108"/>
        <v>0</v>
      </c>
      <c r="AZ56" s="34">
        <f t="shared" ca="1" si="108"/>
        <v>0</v>
      </c>
      <c r="BA56" s="34">
        <f t="shared" ca="1" si="108"/>
        <v>0</v>
      </c>
      <c r="BB56" s="34">
        <f t="shared" ca="1" si="108"/>
        <v>0</v>
      </c>
      <c r="BC56" s="34">
        <f t="shared" ca="1" si="108"/>
        <v>0</v>
      </c>
      <c r="BD56" s="34">
        <f t="shared" ca="1" si="108"/>
        <v>0</v>
      </c>
      <c r="BE56" s="34">
        <f t="shared" ca="1" si="108"/>
        <v>0</v>
      </c>
      <c r="BF56" s="34">
        <f t="shared" ca="1" si="108"/>
        <v>0</v>
      </c>
      <c r="BG56" s="34">
        <f t="shared" ca="1" si="108"/>
        <v>0</v>
      </c>
      <c r="BH56" s="34">
        <f t="shared" ca="1" si="108"/>
        <v>0</v>
      </c>
      <c r="BI56" s="34">
        <f t="shared" ca="1" si="108"/>
        <v>0</v>
      </c>
      <c r="BJ56" s="34">
        <f t="shared" ca="1" si="108"/>
        <v>0</v>
      </c>
      <c r="BK56" s="34">
        <f t="shared" ca="1" si="108"/>
        <v>0</v>
      </c>
      <c r="BL56" s="34">
        <f t="shared" ca="1" si="108"/>
        <v>0</v>
      </c>
      <c r="BM56" s="34">
        <f t="shared" ca="1" si="108"/>
        <v>0</v>
      </c>
      <c r="BN56" s="34">
        <f t="shared" ca="1" si="108"/>
        <v>0</v>
      </c>
      <c r="BO56" s="34">
        <f t="shared" ca="1" si="108"/>
        <v>0</v>
      </c>
      <c r="BP56" s="34">
        <f t="shared" ref="BP56:CU56" ca="1" si="109">IF(BP17=1,0,BP48-BP49)</f>
        <v>0</v>
      </c>
      <c r="BQ56" s="34">
        <f t="shared" ca="1" si="109"/>
        <v>0</v>
      </c>
      <c r="BR56" s="34">
        <f t="shared" ca="1" si="109"/>
        <v>0</v>
      </c>
      <c r="BS56" s="34">
        <f t="shared" ca="1" si="109"/>
        <v>0</v>
      </c>
      <c r="BT56" s="34">
        <f t="shared" ca="1" si="109"/>
        <v>0</v>
      </c>
      <c r="BU56" s="34">
        <f t="shared" ca="1" si="109"/>
        <v>0</v>
      </c>
      <c r="BV56" s="34">
        <f t="shared" ca="1" si="109"/>
        <v>0</v>
      </c>
      <c r="BW56" s="34">
        <f t="shared" ca="1" si="109"/>
        <v>0</v>
      </c>
      <c r="BX56" s="34">
        <f t="shared" ca="1" si="109"/>
        <v>0</v>
      </c>
      <c r="BY56" s="34">
        <f t="shared" ca="1" si="109"/>
        <v>0</v>
      </c>
      <c r="BZ56" s="34">
        <f t="shared" ca="1" si="109"/>
        <v>0</v>
      </c>
      <c r="CA56" s="34">
        <f t="shared" ca="1" si="109"/>
        <v>0</v>
      </c>
      <c r="CB56" s="34">
        <f t="shared" ca="1" si="109"/>
        <v>0</v>
      </c>
      <c r="CC56" s="34">
        <f t="shared" ca="1" si="109"/>
        <v>0</v>
      </c>
      <c r="CD56" s="34">
        <f t="shared" ca="1" si="109"/>
        <v>0</v>
      </c>
      <c r="CE56" s="34">
        <f t="shared" ca="1" si="109"/>
        <v>0</v>
      </c>
      <c r="CF56" s="34">
        <f t="shared" ca="1" si="109"/>
        <v>0</v>
      </c>
      <c r="CG56" s="34">
        <f t="shared" ca="1" si="109"/>
        <v>0</v>
      </c>
      <c r="CH56" s="34">
        <f t="shared" ca="1" si="109"/>
        <v>0</v>
      </c>
      <c r="CI56" s="34">
        <f t="shared" ca="1" si="109"/>
        <v>0</v>
      </c>
      <c r="CJ56" s="34">
        <f t="shared" ca="1" si="109"/>
        <v>0</v>
      </c>
      <c r="CK56" s="34">
        <f t="shared" ca="1" si="109"/>
        <v>0</v>
      </c>
      <c r="CL56" s="34">
        <f t="shared" ca="1" si="109"/>
        <v>0</v>
      </c>
      <c r="CM56" s="34">
        <f t="shared" ca="1" si="109"/>
        <v>0</v>
      </c>
      <c r="CN56" s="34">
        <f t="shared" ca="1" si="109"/>
        <v>0</v>
      </c>
      <c r="CO56" s="34">
        <f t="shared" ca="1" si="109"/>
        <v>0</v>
      </c>
      <c r="CP56" s="34">
        <f t="shared" ca="1" si="109"/>
        <v>0</v>
      </c>
      <c r="CQ56" s="34">
        <f t="shared" ca="1" si="109"/>
        <v>0</v>
      </c>
      <c r="CR56" s="34">
        <f t="shared" ca="1" si="109"/>
        <v>0</v>
      </c>
      <c r="CS56" s="34">
        <f t="shared" ca="1" si="109"/>
        <v>0</v>
      </c>
      <c r="CT56" s="34">
        <f t="shared" ca="1" si="109"/>
        <v>0</v>
      </c>
      <c r="CU56" s="34">
        <f t="shared" ca="1" si="109"/>
        <v>0</v>
      </c>
    </row>
    <row r="57" spans="1:99" x14ac:dyDescent="0.3">
      <c r="A57" s="7" t="s">
        <v>434</v>
      </c>
      <c r="B57" s="1"/>
      <c r="C57" s="11"/>
      <c r="D57" s="34">
        <f t="shared" ref="D57:AI57" ca="1" si="110">IF(D17=1,0,D50-D51)</f>
        <v>0</v>
      </c>
      <c r="E57" s="34">
        <f t="shared" ca="1" si="110"/>
        <v>0</v>
      </c>
      <c r="F57" s="34">
        <f t="shared" ca="1" si="110"/>
        <v>0</v>
      </c>
      <c r="G57" s="34">
        <f t="shared" ca="1" si="110"/>
        <v>0</v>
      </c>
      <c r="H57" s="34">
        <f t="shared" ca="1" si="110"/>
        <v>0</v>
      </c>
      <c r="I57" s="34">
        <f t="shared" ca="1" si="110"/>
        <v>0</v>
      </c>
      <c r="J57" s="34">
        <f t="shared" ca="1" si="110"/>
        <v>0</v>
      </c>
      <c r="K57" s="34">
        <f t="shared" ca="1" si="110"/>
        <v>0</v>
      </c>
      <c r="L57" s="34">
        <f t="shared" ca="1" si="110"/>
        <v>0</v>
      </c>
      <c r="M57" s="34">
        <f t="shared" ca="1" si="110"/>
        <v>0</v>
      </c>
      <c r="N57" s="34">
        <f t="shared" ca="1" si="110"/>
        <v>0</v>
      </c>
      <c r="O57" s="34">
        <f t="shared" ca="1" si="110"/>
        <v>0</v>
      </c>
      <c r="P57" s="34">
        <f t="shared" ca="1" si="110"/>
        <v>0</v>
      </c>
      <c r="Q57" s="34">
        <f t="shared" ca="1" si="110"/>
        <v>0</v>
      </c>
      <c r="R57" s="34">
        <f t="shared" ca="1" si="110"/>
        <v>0</v>
      </c>
      <c r="S57" s="34">
        <f t="shared" ca="1" si="110"/>
        <v>0</v>
      </c>
      <c r="T57" s="34">
        <f t="shared" ca="1" si="110"/>
        <v>0</v>
      </c>
      <c r="U57" s="34">
        <f t="shared" ca="1" si="110"/>
        <v>0</v>
      </c>
      <c r="V57" s="34">
        <f t="shared" ca="1" si="110"/>
        <v>0</v>
      </c>
      <c r="W57" s="34">
        <f t="shared" ca="1" si="110"/>
        <v>0</v>
      </c>
      <c r="X57" s="34">
        <f t="shared" ca="1" si="110"/>
        <v>0</v>
      </c>
      <c r="Y57" s="34">
        <f t="shared" ca="1" si="110"/>
        <v>0</v>
      </c>
      <c r="Z57" s="34">
        <f t="shared" ca="1" si="110"/>
        <v>0</v>
      </c>
      <c r="AA57" s="34">
        <f t="shared" ca="1" si="110"/>
        <v>0</v>
      </c>
      <c r="AB57" s="34">
        <f t="shared" ca="1" si="110"/>
        <v>0</v>
      </c>
      <c r="AC57" s="34">
        <f t="shared" ca="1" si="110"/>
        <v>0</v>
      </c>
      <c r="AD57" s="34">
        <f t="shared" ca="1" si="110"/>
        <v>0</v>
      </c>
      <c r="AE57" s="34">
        <f t="shared" ca="1" si="110"/>
        <v>0</v>
      </c>
      <c r="AF57" s="34">
        <f t="shared" ca="1" si="110"/>
        <v>0</v>
      </c>
      <c r="AG57" s="34">
        <f t="shared" ca="1" si="110"/>
        <v>0</v>
      </c>
      <c r="AH57" s="34">
        <f t="shared" ca="1" si="110"/>
        <v>0</v>
      </c>
      <c r="AI57" s="34">
        <f t="shared" ca="1" si="110"/>
        <v>0</v>
      </c>
      <c r="AJ57" s="34">
        <f t="shared" ref="AJ57:BO57" si="111">IF(AJ17=1,0,AJ50-AJ51)</f>
        <v>0</v>
      </c>
      <c r="AK57" s="34">
        <f t="shared" ca="1" si="111"/>
        <v>0</v>
      </c>
      <c r="AL57" s="34">
        <f t="shared" ca="1" si="111"/>
        <v>0</v>
      </c>
      <c r="AM57" s="34">
        <f t="shared" ca="1" si="111"/>
        <v>0</v>
      </c>
      <c r="AN57" s="34">
        <f t="shared" ca="1" si="111"/>
        <v>0</v>
      </c>
      <c r="AO57" s="34">
        <f t="shared" ca="1" si="111"/>
        <v>0</v>
      </c>
      <c r="AP57" s="34">
        <f t="shared" ca="1" si="111"/>
        <v>0</v>
      </c>
      <c r="AQ57" s="34">
        <f t="shared" ca="1" si="111"/>
        <v>0</v>
      </c>
      <c r="AR57" s="34">
        <f t="shared" ca="1" si="111"/>
        <v>0</v>
      </c>
      <c r="AS57" s="34">
        <f t="shared" ca="1" si="111"/>
        <v>0</v>
      </c>
      <c r="AT57" s="34">
        <f t="shared" ca="1" si="111"/>
        <v>0</v>
      </c>
      <c r="AU57" s="34">
        <f t="shared" ca="1" si="111"/>
        <v>0</v>
      </c>
      <c r="AV57" s="34">
        <f t="shared" ca="1" si="111"/>
        <v>0</v>
      </c>
      <c r="AW57" s="34">
        <f t="shared" ca="1" si="111"/>
        <v>0</v>
      </c>
      <c r="AX57" s="34">
        <f t="shared" ca="1" si="111"/>
        <v>0</v>
      </c>
      <c r="AY57" s="34">
        <f t="shared" ca="1" si="111"/>
        <v>0</v>
      </c>
      <c r="AZ57" s="34">
        <f t="shared" ca="1" si="111"/>
        <v>0</v>
      </c>
      <c r="BA57" s="34">
        <f t="shared" ca="1" si="111"/>
        <v>0</v>
      </c>
      <c r="BB57" s="34">
        <f t="shared" ca="1" si="111"/>
        <v>0</v>
      </c>
      <c r="BC57" s="34">
        <f t="shared" ca="1" si="111"/>
        <v>0</v>
      </c>
      <c r="BD57" s="34">
        <f t="shared" ca="1" si="111"/>
        <v>0</v>
      </c>
      <c r="BE57" s="34">
        <f t="shared" ca="1" si="111"/>
        <v>0</v>
      </c>
      <c r="BF57" s="34">
        <f t="shared" ca="1" si="111"/>
        <v>0</v>
      </c>
      <c r="BG57" s="34">
        <f t="shared" ca="1" si="111"/>
        <v>0</v>
      </c>
      <c r="BH57" s="34">
        <f t="shared" ca="1" si="111"/>
        <v>0</v>
      </c>
      <c r="BI57" s="34">
        <f t="shared" ca="1" si="111"/>
        <v>0</v>
      </c>
      <c r="BJ57" s="34">
        <f t="shared" ca="1" si="111"/>
        <v>0</v>
      </c>
      <c r="BK57" s="34">
        <f t="shared" ca="1" si="111"/>
        <v>0</v>
      </c>
      <c r="BL57" s="34">
        <f t="shared" ca="1" si="111"/>
        <v>0</v>
      </c>
      <c r="BM57" s="34">
        <f t="shared" ca="1" si="111"/>
        <v>0</v>
      </c>
      <c r="BN57" s="34">
        <f t="shared" ca="1" si="111"/>
        <v>0</v>
      </c>
      <c r="BO57" s="34">
        <f t="shared" ca="1" si="111"/>
        <v>0</v>
      </c>
      <c r="BP57" s="34">
        <f t="shared" ref="BP57:CU57" ca="1" si="112">IF(BP17=1,0,BP50-BP51)</f>
        <v>0</v>
      </c>
      <c r="BQ57" s="34">
        <f t="shared" ca="1" si="112"/>
        <v>0</v>
      </c>
      <c r="BR57" s="34">
        <f t="shared" ca="1" si="112"/>
        <v>0</v>
      </c>
      <c r="BS57" s="34">
        <f t="shared" ca="1" si="112"/>
        <v>0</v>
      </c>
      <c r="BT57" s="34">
        <f t="shared" ca="1" si="112"/>
        <v>0</v>
      </c>
      <c r="BU57" s="34">
        <f t="shared" ca="1" si="112"/>
        <v>0</v>
      </c>
      <c r="BV57" s="34">
        <f t="shared" ca="1" si="112"/>
        <v>0</v>
      </c>
      <c r="BW57" s="34">
        <f t="shared" ca="1" si="112"/>
        <v>0</v>
      </c>
      <c r="BX57" s="34">
        <f t="shared" ca="1" si="112"/>
        <v>0</v>
      </c>
      <c r="BY57" s="34">
        <f t="shared" ca="1" si="112"/>
        <v>0</v>
      </c>
      <c r="BZ57" s="34">
        <f t="shared" ca="1" si="112"/>
        <v>0</v>
      </c>
      <c r="CA57" s="34">
        <f t="shared" ca="1" si="112"/>
        <v>0</v>
      </c>
      <c r="CB57" s="34">
        <f t="shared" ca="1" si="112"/>
        <v>0</v>
      </c>
      <c r="CC57" s="34">
        <f t="shared" ca="1" si="112"/>
        <v>0</v>
      </c>
      <c r="CD57" s="34">
        <f t="shared" ca="1" si="112"/>
        <v>0</v>
      </c>
      <c r="CE57" s="34">
        <f t="shared" ca="1" si="112"/>
        <v>0</v>
      </c>
      <c r="CF57" s="34">
        <f t="shared" ca="1" si="112"/>
        <v>0</v>
      </c>
      <c r="CG57" s="34">
        <f t="shared" ca="1" si="112"/>
        <v>0</v>
      </c>
      <c r="CH57" s="34">
        <f t="shared" ca="1" si="112"/>
        <v>0</v>
      </c>
      <c r="CI57" s="34">
        <f t="shared" ca="1" si="112"/>
        <v>0</v>
      </c>
      <c r="CJ57" s="34">
        <f t="shared" ca="1" si="112"/>
        <v>0</v>
      </c>
      <c r="CK57" s="34">
        <f t="shared" ca="1" si="112"/>
        <v>0</v>
      </c>
      <c r="CL57" s="34">
        <f t="shared" ca="1" si="112"/>
        <v>0</v>
      </c>
      <c r="CM57" s="34">
        <f t="shared" ca="1" si="112"/>
        <v>0</v>
      </c>
      <c r="CN57" s="34">
        <f t="shared" ca="1" si="112"/>
        <v>0</v>
      </c>
      <c r="CO57" s="34">
        <f t="shared" ca="1" si="112"/>
        <v>0</v>
      </c>
      <c r="CP57" s="34">
        <f t="shared" ca="1" si="112"/>
        <v>0</v>
      </c>
      <c r="CQ57" s="34">
        <f t="shared" ca="1" si="112"/>
        <v>0</v>
      </c>
      <c r="CR57" s="34">
        <f t="shared" ca="1" si="112"/>
        <v>0</v>
      </c>
      <c r="CS57" s="34">
        <f t="shared" ca="1" si="112"/>
        <v>0</v>
      </c>
      <c r="CT57" s="34">
        <f t="shared" ca="1" si="112"/>
        <v>0</v>
      </c>
      <c r="CU57" s="34">
        <f t="shared" ca="1" si="112"/>
        <v>0</v>
      </c>
    </row>
    <row r="58" spans="1:99" x14ac:dyDescent="0.3">
      <c r="A58" s="7" t="s">
        <v>435</v>
      </c>
      <c r="B58" s="21">
        <f ca="1">SUM(D58:CU58)</f>
        <v>0</v>
      </c>
      <c r="C58" s="11"/>
      <c r="D58" s="34">
        <f t="shared" ref="D58:AI58" ca="1" si="113">D36+D37</f>
        <v>0</v>
      </c>
      <c r="E58" s="34">
        <f t="shared" ca="1" si="113"/>
        <v>0</v>
      </c>
      <c r="F58" s="34">
        <f t="shared" ca="1" si="113"/>
        <v>0</v>
      </c>
      <c r="G58" s="34">
        <f t="shared" ca="1" si="113"/>
        <v>0</v>
      </c>
      <c r="H58" s="34">
        <f t="shared" ca="1" si="113"/>
        <v>0</v>
      </c>
      <c r="I58" s="34">
        <f t="shared" ca="1" si="113"/>
        <v>0</v>
      </c>
      <c r="J58" s="34">
        <f t="shared" ca="1" si="113"/>
        <v>0</v>
      </c>
      <c r="K58" s="34">
        <f t="shared" ca="1" si="113"/>
        <v>0</v>
      </c>
      <c r="L58" s="34">
        <f t="shared" ca="1" si="113"/>
        <v>0</v>
      </c>
      <c r="M58" s="34">
        <f t="shared" ca="1" si="113"/>
        <v>0</v>
      </c>
      <c r="N58" s="34">
        <f t="shared" ca="1" si="113"/>
        <v>0</v>
      </c>
      <c r="O58" s="34">
        <f t="shared" ca="1" si="113"/>
        <v>0</v>
      </c>
      <c r="P58" s="34">
        <f t="shared" ca="1" si="113"/>
        <v>0</v>
      </c>
      <c r="Q58" s="34">
        <f t="shared" ca="1" si="113"/>
        <v>0</v>
      </c>
      <c r="R58" s="34">
        <f t="shared" ca="1" si="113"/>
        <v>0</v>
      </c>
      <c r="S58" s="34">
        <f t="shared" ca="1" si="113"/>
        <v>0</v>
      </c>
      <c r="T58" s="34">
        <f t="shared" ca="1" si="113"/>
        <v>0</v>
      </c>
      <c r="U58" s="34">
        <f t="shared" ca="1" si="113"/>
        <v>0</v>
      </c>
      <c r="V58" s="34">
        <f t="shared" ca="1" si="113"/>
        <v>0</v>
      </c>
      <c r="W58" s="34">
        <f t="shared" ca="1" si="113"/>
        <v>0</v>
      </c>
      <c r="X58" s="34">
        <f t="shared" ca="1" si="113"/>
        <v>0</v>
      </c>
      <c r="Y58" s="34">
        <f t="shared" ca="1" si="113"/>
        <v>0</v>
      </c>
      <c r="Z58" s="34">
        <f t="shared" ca="1" si="113"/>
        <v>0</v>
      </c>
      <c r="AA58" s="34">
        <f t="shared" ca="1" si="113"/>
        <v>0</v>
      </c>
      <c r="AB58" s="34">
        <f t="shared" ca="1" si="113"/>
        <v>0</v>
      </c>
      <c r="AC58" s="34">
        <f t="shared" ca="1" si="113"/>
        <v>0</v>
      </c>
      <c r="AD58" s="34">
        <f t="shared" ca="1" si="113"/>
        <v>0</v>
      </c>
      <c r="AE58" s="34">
        <f t="shared" ca="1" si="113"/>
        <v>0</v>
      </c>
      <c r="AF58" s="34">
        <f t="shared" ca="1" si="113"/>
        <v>0</v>
      </c>
      <c r="AG58" s="34">
        <f t="shared" ca="1" si="113"/>
        <v>0</v>
      </c>
      <c r="AH58" s="34">
        <f t="shared" ca="1" si="113"/>
        <v>0</v>
      </c>
      <c r="AI58" s="34">
        <f t="shared" ca="1" si="113"/>
        <v>0</v>
      </c>
      <c r="AJ58" s="34">
        <f t="shared" ref="AJ58:BO58" ca="1" si="114">AJ36+AJ37</f>
        <v>0</v>
      </c>
      <c r="AK58" s="34">
        <f t="shared" si="114"/>
        <v>0</v>
      </c>
      <c r="AL58" s="34">
        <f t="shared" ca="1" si="114"/>
        <v>0</v>
      </c>
      <c r="AM58" s="34">
        <f t="shared" ca="1" si="114"/>
        <v>0</v>
      </c>
      <c r="AN58" s="34">
        <f t="shared" ca="1" si="114"/>
        <v>0</v>
      </c>
      <c r="AO58" s="34">
        <f t="shared" ca="1" si="114"/>
        <v>0</v>
      </c>
      <c r="AP58" s="34">
        <f t="shared" ca="1" si="114"/>
        <v>0</v>
      </c>
      <c r="AQ58" s="34">
        <f t="shared" ca="1" si="114"/>
        <v>0</v>
      </c>
      <c r="AR58" s="34">
        <f t="shared" ca="1" si="114"/>
        <v>0</v>
      </c>
      <c r="AS58" s="34">
        <f t="shared" ca="1" si="114"/>
        <v>0</v>
      </c>
      <c r="AT58" s="34">
        <f t="shared" ca="1" si="114"/>
        <v>0</v>
      </c>
      <c r="AU58" s="34">
        <f t="shared" ca="1" si="114"/>
        <v>0</v>
      </c>
      <c r="AV58" s="34">
        <f t="shared" ca="1" si="114"/>
        <v>0</v>
      </c>
      <c r="AW58" s="34">
        <f t="shared" ca="1" si="114"/>
        <v>0</v>
      </c>
      <c r="AX58" s="34">
        <f t="shared" ca="1" si="114"/>
        <v>0</v>
      </c>
      <c r="AY58" s="34">
        <f t="shared" ca="1" si="114"/>
        <v>0</v>
      </c>
      <c r="AZ58" s="34">
        <f t="shared" ca="1" si="114"/>
        <v>0</v>
      </c>
      <c r="BA58" s="34">
        <f t="shared" ca="1" si="114"/>
        <v>0</v>
      </c>
      <c r="BB58" s="34">
        <f t="shared" ca="1" si="114"/>
        <v>0</v>
      </c>
      <c r="BC58" s="34">
        <f t="shared" ca="1" si="114"/>
        <v>0</v>
      </c>
      <c r="BD58" s="34">
        <f t="shared" ca="1" si="114"/>
        <v>0</v>
      </c>
      <c r="BE58" s="34">
        <f t="shared" ca="1" si="114"/>
        <v>0</v>
      </c>
      <c r="BF58" s="34">
        <f t="shared" ca="1" si="114"/>
        <v>0</v>
      </c>
      <c r="BG58" s="34">
        <f t="shared" ca="1" si="114"/>
        <v>0</v>
      </c>
      <c r="BH58" s="34">
        <f t="shared" ca="1" si="114"/>
        <v>0</v>
      </c>
      <c r="BI58" s="34">
        <f t="shared" ca="1" si="114"/>
        <v>0</v>
      </c>
      <c r="BJ58" s="34">
        <f t="shared" ca="1" si="114"/>
        <v>0</v>
      </c>
      <c r="BK58" s="34">
        <f t="shared" ca="1" si="114"/>
        <v>0</v>
      </c>
      <c r="BL58" s="34">
        <f t="shared" ca="1" si="114"/>
        <v>0</v>
      </c>
      <c r="BM58" s="34">
        <f t="shared" ca="1" si="114"/>
        <v>0</v>
      </c>
      <c r="BN58" s="34">
        <f t="shared" ca="1" si="114"/>
        <v>0</v>
      </c>
      <c r="BO58" s="34">
        <f t="shared" ca="1" si="114"/>
        <v>0</v>
      </c>
      <c r="BP58" s="34">
        <f t="shared" ref="BP58:CU58" ca="1" si="115">BP36+BP37</f>
        <v>0</v>
      </c>
      <c r="BQ58" s="34">
        <f t="shared" ca="1" si="115"/>
        <v>0</v>
      </c>
      <c r="BR58" s="34">
        <f t="shared" ca="1" si="115"/>
        <v>0</v>
      </c>
      <c r="BS58" s="34">
        <f t="shared" ca="1" si="115"/>
        <v>0</v>
      </c>
      <c r="BT58" s="34">
        <f t="shared" ca="1" si="115"/>
        <v>0</v>
      </c>
      <c r="BU58" s="34">
        <f t="shared" ca="1" si="115"/>
        <v>0</v>
      </c>
      <c r="BV58" s="34">
        <f t="shared" ca="1" si="115"/>
        <v>0</v>
      </c>
      <c r="BW58" s="34">
        <f t="shared" ca="1" si="115"/>
        <v>0</v>
      </c>
      <c r="BX58" s="34">
        <f t="shared" ca="1" si="115"/>
        <v>0</v>
      </c>
      <c r="BY58" s="34">
        <f t="shared" ca="1" si="115"/>
        <v>0</v>
      </c>
      <c r="BZ58" s="34">
        <f t="shared" ca="1" si="115"/>
        <v>0</v>
      </c>
      <c r="CA58" s="34">
        <f t="shared" ca="1" si="115"/>
        <v>0</v>
      </c>
      <c r="CB58" s="34">
        <f t="shared" ca="1" si="115"/>
        <v>0</v>
      </c>
      <c r="CC58" s="34">
        <f t="shared" ca="1" si="115"/>
        <v>0</v>
      </c>
      <c r="CD58" s="34">
        <f t="shared" ca="1" si="115"/>
        <v>0</v>
      </c>
      <c r="CE58" s="34">
        <f t="shared" ca="1" si="115"/>
        <v>0</v>
      </c>
      <c r="CF58" s="34">
        <f t="shared" ca="1" si="115"/>
        <v>0</v>
      </c>
      <c r="CG58" s="34">
        <f t="shared" ca="1" si="115"/>
        <v>0</v>
      </c>
      <c r="CH58" s="34">
        <f t="shared" ca="1" si="115"/>
        <v>0</v>
      </c>
      <c r="CI58" s="34">
        <f t="shared" ca="1" si="115"/>
        <v>0</v>
      </c>
      <c r="CJ58" s="34">
        <f t="shared" ca="1" si="115"/>
        <v>0</v>
      </c>
      <c r="CK58" s="34">
        <f t="shared" ca="1" si="115"/>
        <v>0</v>
      </c>
      <c r="CL58" s="34">
        <f t="shared" ca="1" si="115"/>
        <v>0</v>
      </c>
      <c r="CM58" s="34">
        <f t="shared" ca="1" si="115"/>
        <v>0</v>
      </c>
      <c r="CN58" s="34">
        <f t="shared" ca="1" si="115"/>
        <v>0</v>
      </c>
      <c r="CO58" s="34">
        <f t="shared" ca="1" si="115"/>
        <v>0</v>
      </c>
      <c r="CP58" s="34">
        <f t="shared" ca="1" si="115"/>
        <v>0</v>
      </c>
      <c r="CQ58" s="34">
        <f t="shared" ca="1" si="115"/>
        <v>0</v>
      </c>
      <c r="CR58" s="34">
        <f t="shared" ca="1" si="115"/>
        <v>0</v>
      </c>
      <c r="CS58" s="34">
        <f t="shared" ca="1" si="115"/>
        <v>0</v>
      </c>
      <c r="CT58" s="34">
        <f t="shared" ca="1" si="115"/>
        <v>0</v>
      </c>
      <c r="CU58" s="34">
        <f t="shared" ca="1" si="115"/>
        <v>0</v>
      </c>
    </row>
    <row r="59" spans="1:99" x14ac:dyDescent="0.3">
      <c r="A59" s="13" t="s">
        <v>436</v>
      </c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4"/>
      <c r="BJ59" s="14"/>
      <c r="BK59" s="14"/>
      <c r="BL59" s="14"/>
      <c r="BM59" s="14"/>
      <c r="BN59" s="14"/>
      <c r="BO59" s="14"/>
      <c r="BP59" s="14"/>
      <c r="BQ59" s="14"/>
      <c r="BR59" s="14"/>
      <c r="BS59" s="14"/>
      <c r="BT59" s="14"/>
      <c r="BU59" s="14"/>
      <c r="BV59" s="14"/>
      <c r="BW59" s="14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  <c r="CM59" s="14"/>
      <c r="CN59" s="14"/>
      <c r="CO59" s="14"/>
      <c r="CP59" s="14"/>
      <c r="CQ59" s="14"/>
      <c r="CR59" s="14"/>
      <c r="CS59" s="14"/>
      <c r="CT59" s="14"/>
      <c r="CU59" s="14"/>
    </row>
    <row r="60" spans="1:99" x14ac:dyDescent="0.3">
      <c r="A60" s="38" t="s">
        <v>95</v>
      </c>
      <c r="B60" s="39">
        <f ca="1">SUM(D60:CU60)</f>
        <v>415383240.30666566</v>
      </c>
      <c r="C60" s="40"/>
      <c r="D60" s="39">
        <f t="shared" ref="D60:AI60" ca="1" si="116">D41+D45+D54</f>
        <v>285050000</v>
      </c>
      <c r="E60" s="39">
        <f t="shared" ca="1" si="116"/>
        <v>1168515</v>
      </c>
      <c r="F60" s="39">
        <f t="shared" ca="1" si="116"/>
        <v>1168515</v>
      </c>
      <c r="G60" s="39">
        <f t="shared" ca="1" si="116"/>
        <v>1168515</v>
      </c>
      <c r="H60" s="39">
        <f t="shared" ca="1" si="116"/>
        <v>1168515</v>
      </c>
      <c r="I60" s="39">
        <f t="shared" ca="1" si="116"/>
        <v>0</v>
      </c>
      <c r="J60" s="39">
        <f t="shared" ca="1" si="116"/>
        <v>0</v>
      </c>
      <c r="K60" s="39">
        <f t="shared" ca="1" si="116"/>
        <v>0</v>
      </c>
      <c r="L60" s="39">
        <f t="shared" ca="1" si="116"/>
        <v>6763725.5679634772</v>
      </c>
      <c r="M60" s="39">
        <f t="shared" ca="1" si="116"/>
        <v>8284624.8648707168</v>
      </c>
      <c r="N60" s="39">
        <f t="shared" ca="1" si="116"/>
        <v>2260028.9810248599</v>
      </c>
      <c r="O60" s="39">
        <f t="shared" ca="1" si="116"/>
        <v>4666275.1785555398</v>
      </c>
      <c r="P60" s="39">
        <f t="shared" ca="1" si="116"/>
        <v>6953373.9762762943</v>
      </c>
      <c r="Q60" s="39">
        <f t="shared" ca="1" si="116"/>
        <v>9072386.9782410581</v>
      </c>
      <c r="R60" s="39">
        <f t="shared" ca="1" si="116"/>
        <v>10976179.308166154</v>
      </c>
      <c r="S60" s="39">
        <f t="shared" ca="1" si="116"/>
        <v>12620122.831685012</v>
      </c>
      <c r="T60" s="39">
        <f t="shared" ca="1" si="116"/>
        <v>13962729.479489677</v>
      </c>
      <c r="U60" s="39">
        <f t="shared" ca="1" si="116"/>
        <v>14966191.391071113</v>
      </c>
      <c r="V60" s="39">
        <f t="shared" ca="1" si="116"/>
        <v>15596800.378256759</v>
      </c>
      <c r="W60" s="39">
        <f t="shared" ca="1" si="116"/>
        <v>15825212.061193539</v>
      </c>
      <c r="X60" s="39">
        <f t="shared" ca="1" si="116"/>
        <v>3711529.3098141551</v>
      </c>
      <c r="Y60" s="39">
        <f t="shared" ca="1" si="116"/>
        <v>0</v>
      </c>
      <c r="Z60" s="39">
        <f t="shared" ca="1" si="116"/>
        <v>0</v>
      </c>
      <c r="AA60" s="39">
        <f t="shared" ca="1" si="116"/>
        <v>0</v>
      </c>
      <c r="AB60" s="39">
        <f t="shared" ca="1" si="116"/>
        <v>0</v>
      </c>
      <c r="AC60" s="39">
        <f t="shared" ca="1" si="116"/>
        <v>0</v>
      </c>
      <c r="AD60" s="39">
        <f t="shared" ca="1" si="116"/>
        <v>0</v>
      </c>
      <c r="AE60" s="39">
        <f t="shared" ca="1" si="116"/>
        <v>0</v>
      </c>
      <c r="AF60" s="39">
        <f t="shared" ca="1" si="116"/>
        <v>0</v>
      </c>
      <c r="AG60" s="39">
        <f t="shared" ca="1" si="116"/>
        <v>0</v>
      </c>
      <c r="AH60" s="39">
        <f t="shared" ca="1" si="116"/>
        <v>0</v>
      </c>
      <c r="AI60" s="39">
        <f t="shared" ca="1" si="116"/>
        <v>0</v>
      </c>
      <c r="AJ60" s="39">
        <f t="shared" ref="AJ60:BO60" ca="1" si="117">AJ41+AJ45+AJ54</f>
        <v>0</v>
      </c>
      <c r="AK60" s="39">
        <f t="shared" ca="1" si="117"/>
        <v>0</v>
      </c>
      <c r="AL60" s="39">
        <f t="shared" ca="1" si="117"/>
        <v>0</v>
      </c>
      <c r="AM60" s="39">
        <f t="shared" ca="1" si="117"/>
        <v>0</v>
      </c>
      <c r="AN60" s="39">
        <f t="shared" ca="1" si="117"/>
        <v>0</v>
      </c>
      <c r="AO60" s="39">
        <f t="shared" ca="1" si="117"/>
        <v>0</v>
      </c>
      <c r="AP60" s="39">
        <f t="shared" ca="1" si="117"/>
        <v>0</v>
      </c>
      <c r="AQ60" s="39">
        <f t="shared" ca="1" si="117"/>
        <v>0</v>
      </c>
      <c r="AR60" s="39">
        <f t="shared" ca="1" si="117"/>
        <v>0</v>
      </c>
      <c r="AS60" s="39">
        <f t="shared" ca="1" si="117"/>
        <v>0</v>
      </c>
      <c r="AT60" s="39">
        <f t="shared" ca="1" si="117"/>
        <v>0</v>
      </c>
      <c r="AU60" s="39">
        <f t="shared" ca="1" si="117"/>
        <v>0</v>
      </c>
      <c r="AV60" s="39">
        <f t="shared" ca="1" si="117"/>
        <v>0</v>
      </c>
      <c r="AW60" s="39">
        <f t="shared" ca="1" si="117"/>
        <v>0</v>
      </c>
      <c r="AX60" s="39">
        <f t="shared" ca="1" si="117"/>
        <v>0</v>
      </c>
      <c r="AY60" s="39">
        <f t="shared" ca="1" si="117"/>
        <v>0</v>
      </c>
      <c r="AZ60" s="39">
        <f t="shared" ca="1" si="117"/>
        <v>0</v>
      </c>
      <c r="BA60" s="39">
        <f t="shared" ca="1" si="117"/>
        <v>0</v>
      </c>
      <c r="BB60" s="39">
        <f t="shared" ca="1" si="117"/>
        <v>0</v>
      </c>
      <c r="BC60" s="39">
        <f t="shared" ca="1" si="117"/>
        <v>0</v>
      </c>
      <c r="BD60" s="39">
        <f t="shared" ca="1" si="117"/>
        <v>0</v>
      </c>
      <c r="BE60" s="39">
        <f t="shared" ca="1" si="117"/>
        <v>0</v>
      </c>
      <c r="BF60" s="39">
        <f t="shared" ca="1" si="117"/>
        <v>0</v>
      </c>
      <c r="BG60" s="39">
        <f t="shared" ca="1" si="117"/>
        <v>0</v>
      </c>
      <c r="BH60" s="39">
        <f t="shared" ca="1" si="117"/>
        <v>0</v>
      </c>
      <c r="BI60" s="39">
        <f t="shared" ca="1" si="117"/>
        <v>0</v>
      </c>
      <c r="BJ60" s="39">
        <f t="shared" ca="1" si="117"/>
        <v>0</v>
      </c>
      <c r="BK60" s="39">
        <f t="shared" ca="1" si="117"/>
        <v>0</v>
      </c>
      <c r="BL60" s="39">
        <f t="shared" ca="1" si="117"/>
        <v>0</v>
      </c>
      <c r="BM60" s="39">
        <f t="shared" ca="1" si="117"/>
        <v>0</v>
      </c>
      <c r="BN60" s="39">
        <f t="shared" ca="1" si="117"/>
        <v>0</v>
      </c>
      <c r="BO60" s="39">
        <f t="shared" ca="1" si="117"/>
        <v>0</v>
      </c>
      <c r="BP60" s="39">
        <f t="shared" ref="BP60:CU60" ca="1" si="118">BP41+BP45+BP54</f>
        <v>0</v>
      </c>
      <c r="BQ60" s="39">
        <f t="shared" ca="1" si="118"/>
        <v>0</v>
      </c>
      <c r="BR60" s="39">
        <f t="shared" ca="1" si="118"/>
        <v>0</v>
      </c>
      <c r="BS60" s="39">
        <f t="shared" ca="1" si="118"/>
        <v>0</v>
      </c>
      <c r="BT60" s="39">
        <f t="shared" ca="1" si="118"/>
        <v>0</v>
      </c>
      <c r="BU60" s="39">
        <f t="shared" ca="1" si="118"/>
        <v>0</v>
      </c>
      <c r="BV60" s="39">
        <f t="shared" ca="1" si="118"/>
        <v>0</v>
      </c>
      <c r="BW60" s="39">
        <f t="shared" ca="1" si="118"/>
        <v>0</v>
      </c>
      <c r="BX60" s="39">
        <f t="shared" ca="1" si="118"/>
        <v>0</v>
      </c>
      <c r="BY60" s="39">
        <f t="shared" ca="1" si="118"/>
        <v>0</v>
      </c>
      <c r="BZ60" s="39">
        <f t="shared" ca="1" si="118"/>
        <v>0</v>
      </c>
      <c r="CA60" s="39">
        <f t="shared" ca="1" si="118"/>
        <v>0</v>
      </c>
      <c r="CB60" s="39">
        <f t="shared" ca="1" si="118"/>
        <v>0</v>
      </c>
      <c r="CC60" s="39">
        <f t="shared" ca="1" si="118"/>
        <v>0</v>
      </c>
      <c r="CD60" s="39">
        <f t="shared" ca="1" si="118"/>
        <v>0</v>
      </c>
      <c r="CE60" s="39">
        <f t="shared" ca="1" si="118"/>
        <v>0</v>
      </c>
      <c r="CF60" s="39">
        <f t="shared" ca="1" si="118"/>
        <v>0</v>
      </c>
      <c r="CG60" s="39">
        <f t="shared" ca="1" si="118"/>
        <v>0</v>
      </c>
      <c r="CH60" s="39">
        <f t="shared" ca="1" si="118"/>
        <v>0</v>
      </c>
      <c r="CI60" s="39">
        <f t="shared" ca="1" si="118"/>
        <v>0</v>
      </c>
      <c r="CJ60" s="39">
        <f t="shared" ca="1" si="118"/>
        <v>0</v>
      </c>
      <c r="CK60" s="39">
        <f t="shared" ca="1" si="118"/>
        <v>0</v>
      </c>
      <c r="CL60" s="39">
        <f t="shared" ca="1" si="118"/>
        <v>0</v>
      </c>
      <c r="CM60" s="39">
        <f t="shared" ca="1" si="118"/>
        <v>0</v>
      </c>
      <c r="CN60" s="39">
        <f t="shared" ca="1" si="118"/>
        <v>0</v>
      </c>
      <c r="CO60" s="39">
        <f t="shared" ca="1" si="118"/>
        <v>0</v>
      </c>
      <c r="CP60" s="39">
        <f t="shared" ca="1" si="118"/>
        <v>0</v>
      </c>
      <c r="CQ60" s="39">
        <f t="shared" ca="1" si="118"/>
        <v>0</v>
      </c>
      <c r="CR60" s="39">
        <f t="shared" ca="1" si="118"/>
        <v>0</v>
      </c>
      <c r="CS60" s="39">
        <f t="shared" ca="1" si="118"/>
        <v>0</v>
      </c>
      <c r="CT60" s="39">
        <f t="shared" ca="1" si="118"/>
        <v>0</v>
      </c>
      <c r="CU60" s="39">
        <f t="shared" ca="1" si="118"/>
        <v>0</v>
      </c>
    </row>
    <row r="61" spans="1:99" x14ac:dyDescent="0.3">
      <c r="A61" s="38" t="s">
        <v>96</v>
      </c>
      <c r="B61" s="39">
        <f ca="1">SUM(D61:CU61)</f>
        <v>696622337.01119256</v>
      </c>
      <c r="C61" s="40"/>
      <c r="D61" s="39">
        <f t="shared" ref="D61:AI61" ca="1" si="119">MAX(D52-IF(D17=1,D53,0),0)</f>
        <v>0</v>
      </c>
      <c r="E61" s="39">
        <f t="shared" ca="1" si="119"/>
        <v>0</v>
      </c>
      <c r="F61" s="39">
        <f t="shared" ca="1" si="119"/>
        <v>0</v>
      </c>
      <c r="G61" s="39">
        <f t="shared" ca="1" si="119"/>
        <v>0</v>
      </c>
      <c r="H61" s="39">
        <f t="shared" ca="1" si="119"/>
        <v>0</v>
      </c>
      <c r="I61" s="39">
        <f t="shared" ca="1" si="119"/>
        <v>0</v>
      </c>
      <c r="J61" s="39">
        <f t="shared" ca="1" si="119"/>
        <v>0</v>
      </c>
      <c r="K61" s="39">
        <f t="shared" ca="1" si="119"/>
        <v>0</v>
      </c>
      <c r="L61" s="39">
        <f t="shared" ca="1" si="119"/>
        <v>0</v>
      </c>
      <c r="M61" s="39">
        <f t="shared" ca="1" si="119"/>
        <v>0</v>
      </c>
      <c r="N61" s="39">
        <f t="shared" ca="1" si="119"/>
        <v>0</v>
      </c>
      <c r="O61" s="39">
        <f t="shared" ca="1" si="119"/>
        <v>0</v>
      </c>
      <c r="P61" s="39">
        <f t="shared" ca="1" si="119"/>
        <v>0</v>
      </c>
      <c r="Q61" s="39">
        <f t="shared" ca="1" si="119"/>
        <v>0</v>
      </c>
      <c r="R61" s="39">
        <f t="shared" ca="1" si="119"/>
        <v>0</v>
      </c>
      <c r="S61" s="39">
        <f t="shared" ca="1" si="119"/>
        <v>0</v>
      </c>
      <c r="T61" s="39">
        <f t="shared" ca="1" si="119"/>
        <v>0</v>
      </c>
      <c r="U61" s="39">
        <f t="shared" ca="1" si="119"/>
        <v>0</v>
      </c>
      <c r="V61" s="39">
        <f t="shared" ca="1" si="119"/>
        <v>0</v>
      </c>
      <c r="W61" s="39">
        <f t="shared" ca="1" si="119"/>
        <v>0</v>
      </c>
      <c r="X61" s="39">
        <f t="shared" ca="1" si="119"/>
        <v>0</v>
      </c>
      <c r="Y61" s="39">
        <f t="shared" ca="1" si="119"/>
        <v>0</v>
      </c>
      <c r="Z61" s="39">
        <f t="shared" ca="1" si="119"/>
        <v>0</v>
      </c>
      <c r="AA61" s="39">
        <f t="shared" ca="1" si="119"/>
        <v>0</v>
      </c>
      <c r="AB61" s="39">
        <f t="shared" ca="1" si="119"/>
        <v>0</v>
      </c>
      <c r="AC61" s="39">
        <f t="shared" ca="1" si="119"/>
        <v>0</v>
      </c>
      <c r="AD61" s="39">
        <f t="shared" ca="1" si="119"/>
        <v>0</v>
      </c>
      <c r="AE61" s="39">
        <f t="shared" ca="1" si="119"/>
        <v>0</v>
      </c>
      <c r="AF61" s="39">
        <f t="shared" ca="1" si="119"/>
        <v>0</v>
      </c>
      <c r="AG61" s="39">
        <f t="shared" ca="1" si="119"/>
        <v>0</v>
      </c>
      <c r="AH61" s="39">
        <f t="shared" ca="1" si="119"/>
        <v>0</v>
      </c>
      <c r="AI61" s="39">
        <f t="shared" ca="1" si="119"/>
        <v>0</v>
      </c>
      <c r="AJ61" s="39">
        <f t="shared" ref="AJ61:BO61" ca="1" si="120">MAX(AJ52-IF(AJ17=1,AJ53,0),0)</f>
        <v>696622337.0131346</v>
      </c>
      <c r="AK61" s="39">
        <f t="shared" ca="1" si="120"/>
        <v>0</v>
      </c>
      <c r="AL61" s="39">
        <f t="shared" ca="1" si="120"/>
        <v>0</v>
      </c>
      <c r="AM61" s="39">
        <f t="shared" ca="1" si="120"/>
        <v>0</v>
      </c>
      <c r="AN61" s="39">
        <f t="shared" ca="1" si="120"/>
        <v>0</v>
      </c>
      <c r="AO61" s="39">
        <f t="shared" ca="1" si="120"/>
        <v>0</v>
      </c>
      <c r="AP61" s="39">
        <f t="shared" ca="1" si="120"/>
        <v>0</v>
      </c>
      <c r="AQ61" s="39">
        <f t="shared" ca="1" si="120"/>
        <v>0</v>
      </c>
      <c r="AR61" s="39">
        <f t="shared" ca="1" si="120"/>
        <v>0</v>
      </c>
      <c r="AS61" s="39">
        <f t="shared" ca="1" si="120"/>
        <v>0</v>
      </c>
      <c r="AT61" s="39">
        <f t="shared" ca="1" si="120"/>
        <v>0</v>
      </c>
      <c r="AU61" s="39">
        <f t="shared" ca="1" si="120"/>
        <v>0</v>
      </c>
      <c r="AV61" s="39">
        <f t="shared" ca="1" si="120"/>
        <v>0</v>
      </c>
      <c r="AW61" s="39">
        <f t="shared" ca="1" si="120"/>
        <v>0</v>
      </c>
      <c r="AX61" s="39">
        <f t="shared" ca="1" si="120"/>
        <v>0</v>
      </c>
      <c r="AY61" s="39">
        <f t="shared" ca="1" si="120"/>
        <v>0</v>
      </c>
      <c r="AZ61" s="39">
        <f t="shared" ca="1" si="120"/>
        <v>0</v>
      </c>
      <c r="BA61" s="39">
        <f t="shared" ca="1" si="120"/>
        <v>0</v>
      </c>
      <c r="BB61" s="39">
        <f t="shared" ca="1" si="120"/>
        <v>0</v>
      </c>
      <c r="BC61" s="39">
        <f t="shared" ca="1" si="120"/>
        <v>0</v>
      </c>
      <c r="BD61" s="39">
        <f t="shared" ca="1" si="120"/>
        <v>0</v>
      </c>
      <c r="BE61" s="39">
        <f t="shared" ca="1" si="120"/>
        <v>0</v>
      </c>
      <c r="BF61" s="39">
        <f t="shared" ca="1" si="120"/>
        <v>0</v>
      </c>
      <c r="BG61" s="39">
        <f t="shared" ca="1" si="120"/>
        <v>0</v>
      </c>
      <c r="BH61" s="39">
        <f t="shared" ca="1" si="120"/>
        <v>0</v>
      </c>
      <c r="BI61" s="39">
        <f t="shared" ca="1" si="120"/>
        <v>0</v>
      </c>
      <c r="BJ61" s="39">
        <f t="shared" ca="1" si="120"/>
        <v>0</v>
      </c>
      <c r="BK61" s="39">
        <f t="shared" ca="1" si="120"/>
        <v>0</v>
      </c>
      <c r="BL61" s="39">
        <f t="shared" ca="1" si="120"/>
        <v>0</v>
      </c>
      <c r="BM61" s="39">
        <f t="shared" ca="1" si="120"/>
        <v>0</v>
      </c>
      <c r="BN61" s="39">
        <f t="shared" ca="1" si="120"/>
        <v>0</v>
      </c>
      <c r="BO61" s="39">
        <f t="shared" ca="1" si="120"/>
        <v>0</v>
      </c>
      <c r="BP61" s="39">
        <f t="shared" ref="BP61:CU61" ca="1" si="121">MAX(BP52-IF(BP17=1,BP53,0),0)</f>
        <v>0</v>
      </c>
      <c r="BQ61" s="39">
        <f t="shared" ca="1" si="121"/>
        <v>0</v>
      </c>
      <c r="BR61" s="39">
        <f t="shared" ca="1" si="121"/>
        <v>0</v>
      </c>
      <c r="BS61" s="39">
        <f t="shared" ca="1" si="121"/>
        <v>0</v>
      </c>
      <c r="BT61" s="39">
        <f t="shared" ca="1" si="121"/>
        <v>0</v>
      </c>
      <c r="BU61" s="39">
        <f t="shared" ca="1" si="121"/>
        <v>0</v>
      </c>
      <c r="BV61" s="39">
        <f t="shared" ca="1" si="121"/>
        <v>0</v>
      </c>
      <c r="BW61" s="39">
        <f t="shared" ca="1" si="121"/>
        <v>0</v>
      </c>
      <c r="BX61" s="39">
        <f t="shared" ca="1" si="121"/>
        <v>0</v>
      </c>
      <c r="BY61" s="39">
        <f t="shared" ca="1" si="121"/>
        <v>0</v>
      </c>
      <c r="BZ61" s="39">
        <f t="shared" ca="1" si="121"/>
        <v>0</v>
      </c>
      <c r="CA61" s="39">
        <f t="shared" ca="1" si="121"/>
        <v>0</v>
      </c>
      <c r="CB61" s="39">
        <f t="shared" ca="1" si="121"/>
        <v>0</v>
      </c>
      <c r="CC61" s="39">
        <f t="shared" ca="1" si="121"/>
        <v>0</v>
      </c>
      <c r="CD61" s="39">
        <f t="shared" ca="1" si="121"/>
        <v>0</v>
      </c>
      <c r="CE61" s="39">
        <f t="shared" ca="1" si="121"/>
        <v>0</v>
      </c>
      <c r="CF61" s="39">
        <f t="shared" ca="1" si="121"/>
        <v>0</v>
      </c>
      <c r="CG61" s="39">
        <f t="shared" ca="1" si="121"/>
        <v>0</v>
      </c>
      <c r="CH61" s="39">
        <f t="shared" ca="1" si="121"/>
        <v>0</v>
      </c>
      <c r="CI61" s="39">
        <f t="shared" ca="1" si="121"/>
        <v>0</v>
      </c>
      <c r="CJ61" s="39">
        <f t="shared" ca="1" si="121"/>
        <v>0</v>
      </c>
      <c r="CK61" s="39">
        <f t="shared" ca="1" si="121"/>
        <v>0</v>
      </c>
      <c r="CL61" s="39">
        <f t="shared" ca="1" si="121"/>
        <v>0</v>
      </c>
      <c r="CM61" s="39">
        <f t="shared" ca="1" si="121"/>
        <v>0</v>
      </c>
      <c r="CN61" s="39">
        <f t="shared" ca="1" si="121"/>
        <v>0</v>
      </c>
      <c r="CO61" s="39">
        <f t="shared" ca="1" si="121"/>
        <v>0</v>
      </c>
      <c r="CP61" s="39">
        <f t="shared" ca="1" si="121"/>
        <v>0</v>
      </c>
      <c r="CQ61" s="39">
        <f t="shared" ca="1" si="121"/>
        <v>0</v>
      </c>
      <c r="CR61" s="39">
        <f t="shared" ca="1" si="121"/>
        <v>0</v>
      </c>
      <c r="CS61" s="39">
        <f t="shared" ca="1" si="121"/>
        <v>0</v>
      </c>
      <c r="CT61" s="39">
        <f t="shared" ca="1" si="121"/>
        <v>0</v>
      </c>
      <c r="CU61" s="39">
        <f t="shared" ca="1" si="121"/>
        <v>0</v>
      </c>
    </row>
    <row r="62" spans="1:99" x14ac:dyDescent="0.3">
      <c r="A62" s="38" t="s">
        <v>437</v>
      </c>
      <c r="B62" s="39">
        <f ca="1">SUM(D62:CU62)</f>
        <v>281239096.7045269</v>
      </c>
      <c r="C62" s="40"/>
      <c r="D62" s="39">
        <f t="shared" ref="D62:AI62" ca="1" si="122">D61-D60</f>
        <v>-285050000</v>
      </c>
      <c r="E62" s="39">
        <f t="shared" ca="1" si="122"/>
        <v>-1168515</v>
      </c>
      <c r="F62" s="39">
        <f t="shared" ca="1" si="122"/>
        <v>-1168515</v>
      </c>
      <c r="G62" s="39">
        <f t="shared" ca="1" si="122"/>
        <v>-1168515</v>
      </c>
      <c r="H62" s="39">
        <f t="shared" ca="1" si="122"/>
        <v>-1168515</v>
      </c>
      <c r="I62" s="39">
        <f t="shared" ca="1" si="122"/>
        <v>0</v>
      </c>
      <c r="J62" s="39">
        <f t="shared" ca="1" si="122"/>
        <v>0</v>
      </c>
      <c r="K62" s="39">
        <f t="shared" ca="1" si="122"/>
        <v>0</v>
      </c>
      <c r="L62" s="39">
        <f t="shared" ca="1" si="122"/>
        <v>-6763725.5679634772</v>
      </c>
      <c r="M62" s="39">
        <f t="shared" ca="1" si="122"/>
        <v>-8284624.8648707168</v>
      </c>
      <c r="N62" s="39">
        <f t="shared" ca="1" si="122"/>
        <v>-2260028.9810248599</v>
      </c>
      <c r="O62" s="39">
        <f t="shared" ca="1" si="122"/>
        <v>-4666275.1785555398</v>
      </c>
      <c r="P62" s="39">
        <f t="shared" ca="1" si="122"/>
        <v>-6953373.9762762943</v>
      </c>
      <c r="Q62" s="39">
        <f t="shared" ca="1" si="122"/>
        <v>-9072386.9782410581</v>
      </c>
      <c r="R62" s="39">
        <f t="shared" ca="1" si="122"/>
        <v>-10976179.308166154</v>
      </c>
      <c r="S62" s="39">
        <f t="shared" ca="1" si="122"/>
        <v>-12620122.831685012</v>
      </c>
      <c r="T62" s="39">
        <f t="shared" ca="1" si="122"/>
        <v>-13962729.479489677</v>
      </c>
      <c r="U62" s="39">
        <f t="shared" ca="1" si="122"/>
        <v>-14966191.391071113</v>
      </c>
      <c r="V62" s="39">
        <f t="shared" ca="1" si="122"/>
        <v>-15596800.378256759</v>
      </c>
      <c r="W62" s="39">
        <f t="shared" ca="1" si="122"/>
        <v>-15825212.061193539</v>
      </c>
      <c r="X62" s="39">
        <f t="shared" ca="1" si="122"/>
        <v>-3711529.3098141551</v>
      </c>
      <c r="Y62" s="39">
        <f t="shared" ca="1" si="122"/>
        <v>0</v>
      </c>
      <c r="Z62" s="39">
        <f t="shared" ca="1" si="122"/>
        <v>0</v>
      </c>
      <c r="AA62" s="39">
        <f t="shared" ca="1" si="122"/>
        <v>0</v>
      </c>
      <c r="AB62" s="39">
        <f t="shared" ca="1" si="122"/>
        <v>0</v>
      </c>
      <c r="AC62" s="39">
        <f t="shared" ca="1" si="122"/>
        <v>0</v>
      </c>
      <c r="AD62" s="39">
        <f t="shared" ca="1" si="122"/>
        <v>0</v>
      </c>
      <c r="AE62" s="39">
        <f t="shared" ca="1" si="122"/>
        <v>0</v>
      </c>
      <c r="AF62" s="39">
        <f t="shared" ca="1" si="122"/>
        <v>0</v>
      </c>
      <c r="AG62" s="39">
        <f t="shared" ca="1" si="122"/>
        <v>0</v>
      </c>
      <c r="AH62" s="39">
        <f t="shared" ca="1" si="122"/>
        <v>0</v>
      </c>
      <c r="AI62" s="39">
        <f t="shared" ca="1" si="122"/>
        <v>0</v>
      </c>
      <c r="AJ62" s="39">
        <f t="shared" ref="AJ62:BO62" ca="1" si="123">AJ61-AJ60</f>
        <v>696622337.0131346</v>
      </c>
      <c r="AK62" s="39">
        <f t="shared" ca="1" si="123"/>
        <v>0</v>
      </c>
      <c r="AL62" s="39">
        <f t="shared" ca="1" si="123"/>
        <v>0</v>
      </c>
      <c r="AM62" s="39">
        <f t="shared" ca="1" si="123"/>
        <v>0</v>
      </c>
      <c r="AN62" s="39">
        <f t="shared" ca="1" si="123"/>
        <v>0</v>
      </c>
      <c r="AO62" s="39">
        <f t="shared" ca="1" si="123"/>
        <v>0</v>
      </c>
      <c r="AP62" s="39">
        <f t="shared" ca="1" si="123"/>
        <v>0</v>
      </c>
      <c r="AQ62" s="39">
        <f t="shared" ca="1" si="123"/>
        <v>0</v>
      </c>
      <c r="AR62" s="39">
        <f t="shared" ca="1" si="123"/>
        <v>0</v>
      </c>
      <c r="AS62" s="39">
        <f t="shared" ca="1" si="123"/>
        <v>0</v>
      </c>
      <c r="AT62" s="39">
        <f t="shared" ca="1" si="123"/>
        <v>0</v>
      </c>
      <c r="AU62" s="39">
        <f t="shared" ca="1" si="123"/>
        <v>0</v>
      </c>
      <c r="AV62" s="39">
        <f t="shared" ca="1" si="123"/>
        <v>0</v>
      </c>
      <c r="AW62" s="39">
        <f t="shared" ca="1" si="123"/>
        <v>0</v>
      </c>
      <c r="AX62" s="39">
        <f t="shared" ca="1" si="123"/>
        <v>0</v>
      </c>
      <c r="AY62" s="39">
        <f t="shared" ca="1" si="123"/>
        <v>0</v>
      </c>
      <c r="AZ62" s="39">
        <f t="shared" ca="1" si="123"/>
        <v>0</v>
      </c>
      <c r="BA62" s="39">
        <f t="shared" ca="1" si="123"/>
        <v>0</v>
      </c>
      <c r="BB62" s="39">
        <f t="shared" ca="1" si="123"/>
        <v>0</v>
      </c>
      <c r="BC62" s="39">
        <f t="shared" ca="1" si="123"/>
        <v>0</v>
      </c>
      <c r="BD62" s="39">
        <f t="shared" ca="1" si="123"/>
        <v>0</v>
      </c>
      <c r="BE62" s="39">
        <f t="shared" ca="1" si="123"/>
        <v>0</v>
      </c>
      <c r="BF62" s="39">
        <f t="shared" ca="1" si="123"/>
        <v>0</v>
      </c>
      <c r="BG62" s="39">
        <f t="shared" ca="1" si="123"/>
        <v>0</v>
      </c>
      <c r="BH62" s="39">
        <f t="shared" ca="1" si="123"/>
        <v>0</v>
      </c>
      <c r="BI62" s="39">
        <f t="shared" ca="1" si="123"/>
        <v>0</v>
      </c>
      <c r="BJ62" s="39">
        <f t="shared" ca="1" si="123"/>
        <v>0</v>
      </c>
      <c r="BK62" s="39">
        <f t="shared" ca="1" si="123"/>
        <v>0</v>
      </c>
      <c r="BL62" s="39">
        <f t="shared" ca="1" si="123"/>
        <v>0</v>
      </c>
      <c r="BM62" s="39">
        <f t="shared" ca="1" si="123"/>
        <v>0</v>
      </c>
      <c r="BN62" s="39">
        <f t="shared" ca="1" si="123"/>
        <v>0</v>
      </c>
      <c r="BO62" s="39">
        <f t="shared" ca="1" si="123"/>
        <v>0</v>
      </c>
      <c r="BP62" s="39">
        <f t="shared" ref="BP62:CU62" ca="1" si="124">BP61-BP60</f>
        <v>0</v>
      </c>
      <c r="BQ62" s="39">
        <f t="shared" ca="1" si="124"/>
        <v>0</v>
      </c>
      <c r="BR62" s="39">
        <f t="shared" ca="1" si="124"/>
        <v>0</v>
      </c>
      <c r="BS62" s="39">
        <f t="shared" ca="1" si="124"/>
        <v>0</v>
      </c>
      <c r="BT62" s="39">
        <f t="shared" ca="1" si="124"/>
        <v>0</v>
      </c>
      <c r="BU62" s="39">
        <f t="shared" ca="1" si="124"/>
        <v>0</v>
      </c>
      <c r="BV62" s="39">
        <f t="shared" ca="1" si="124"/>
        <v>0</v>
      </c>
      <c r="BW62" s="39">
        <f t="shared" ca="1" si="124"/>
        <v>0</v>
      </c>
      <c r="BX62" s="39">
        <f t="shared" ca="1" si="124"/>
        <v>0</v>
      </c>
      <c r="BY62" s="39">
        <f t="shared" ca="1" si="124"/>
        <v>0</v>
      </c>
      <c r="BZ62" s="39">
        <f t="shared" ca="1" si="124"/>
        <v>0</v>
      </c>
      <c r="CA62" s="39">
        <f t="shared" ca="1" si="124"/>
        <v>0</v>
      </c>
      <c r="CB62" s="39">
        <f t="shared" ca="1" si="124"/>
        <v>0</v>
      </c>
      <c r="CC62" s="39">
        <f t="shared" ca="1" si="124"/>
        <v>0</v>
      </c>
      <c r="CD62" s="39">
        <f t="shared" ca="1" si="124"/>
        <v>0</v>
      </c>
      <c r="CE62" s="39">
        <f t="shared" ca="1" si="124"/>
        <v>0</v>
      </c>
      <c r="CF62" s="39">
        <f t="shared" ca="1" si="124"/>
        <v>0</v>
      </c>
      <c r="CG62" s="39">
        <f t="shared" ca="1" si="124"/>
        <v>0</v>
      </c>
      <c r="CH62" s="39">
        <f t="shared" ca="1" si="124"/>
        <v>0</v>
      </c>
      <c r="CI62" s="39">
        <f t="shared" ca="1" si="124"/>
        <v>0</v>
      </c>
      <c r="CJ62" s="39">
        <f t="shared" ca="1" si="124"/>
        <v>0</v>
      </c>
      <c r="CK62" s="39">
        <f t="shared" ca="1" si="124"/>
        <v>0</v>
      </c>
      <c r="CL62" s="39">
        <f t="shared" ca="1" si="124"/>
        <v>0</v>
      </c>
      <c r="CM62" s="39">
        <f t="shared" ca="1" si="124"/>
        <v>0</v>
      </c>
      <c r="CN62" s="39">
        <f t="shared" ca="1" si="124"/>
        <v>0</v>
      </c>
      <c r="CO62" s="39">
        <f t="shared" ca="1" si="124"/>
        <v>0</v>
      </c>
      <c r="CP62" s="39">
        <f t="shared" ca="1" si="124"/>
        <v>0</v>
      </c>
      <c r="CQ62" s="39">
        <f t="shared" ca="1" si="124"/>
        <v>0</v>
      </c>
      <c r="CR62" s="39">
        <f t="shared" ca="1" si="124"/>
        <v>0</v>
      </c>
      <c r="CS62" s="39">
        <f t="shared" ca="1" si="124"/>
        <v>0</v>
      </c>
      <c r="CT62" s="39">
        <f t="shared" ca="1" si="124"/>
        <v>0</v>
      </c>
      <c r="CU62" s="39">
        <f t="shared" ca="1" si="124"/>
        <v>0</v>
      </c>
    </row>
    <row r="63" spans="1:99" x14ac:dyDescent="0.3">
      <c r="A63" s="7" t="s">
        <v>438</v>
      </c>
      <c r="B63" s="1"/>
      <c r="C63" s="11"/>
      <c r="D63" s="34">
        <f ca="1">D60-D61</f>
        <v>285050000</v>
      </c>
      <c r="E63" s="34">
        <f t="shared" ref="E63:AJ63" ca="1" si="125">E60-E61+D63</f>
        <v>286218515</v>
      </c>
      <c r="F63" s="34">
        <f t="shared" ca="1" si="125"/>
        <v>287387030</v>
      </c>
      <c r="G63" s="34">
        <f t="shared" ca="1" si="125"/>
        <v>288555545</v>
      </c>
      <c r="H63" s="34">
        <f t="shared" ca="1" si="125"/>
        <v>289724060</v>
      </c>
      <c r="I63" s="34">
        <f t="shared" ca="1" si="125"/>
        <v>289724060</v>
      </c>
      <c r="J63" s="34">
        <f t="shared" ca="1" si="125"/>
        <v>289724060</v>
      </c>
      <c r="K63" s="34">
        <f t="shared" ca="1" si="125"/>
        <v>289724060</v>
      </c>
      <c r="L63" s="34">
        <f t="shared" ca="1" si="125"/>
        <v>296487785.56796348</v>
      </c>
      <c r="M63" s="34">
        <f t="shared" ca="1" si="125"/>
        <v>304772410.43283421</v>
      </c>
      <c r="N63" s="34">
        <f t="shared" ca="1" si="125"/>
        <v>307032439.41385907</v>
      </c>
      <c r="O63" s="34">
        <f t="shared" ca="1" si="125"/>
        <v>311698714.59241462</v>
      </c>
      <c r="P63" s="34">
        <f t="shared" ca="1" si="125"/>
        <v>318652088.5686909</v>
      </c>
      <c r="Q63" s="34">
        <f t="shared" ca="1" si="125"/>
        <v>327724475.54693198</v>
      </c>
      <c r="R63" s="34">
        <f t="shared" ca="1" si="125"/>
        <v>338700654.85509813</v>
      </c>
      <c r="S63" s="34">
        <f t="shared" ca="1" si="125"/>
        <v>351320777.68678313</v>
      </c>
      <c r="T63" s="34">
        <f t="shared" ca="1" si="125"/>
        <v>365283507.16627282</v>
      </c>
      <c r="U63" s="34">
        <f t="shared" ca="1" si="125"/>
        <v>380249698.55734396</v>
      </c>
      <c r="V63" s="34">
        <f t="shared" ca="1" si="125"/>
        <v>395846498.9356007</v>
      </c>
      <c r="W63" s="34">
        <f t="shared" ca="1" si="125"/>
        <v>411671710.99679422</v>
      </c>
      <c r="X63" s="34">
        <f t="shared" ca="1" si="125"/>
        <v>415383240.30660838</v>
      </c>
      <c r="Y63" s="34">
        <f t="shared" ca="1" si="125"/>
        <v>415383240.30660838</v>
      </c>
      <c r="Z63" s="34">
        <f t="shared" ca="1" si="125"/>
        <v>415383240.30660838</v>
      </c>
      <c r="AA63" s="34">
        <f t="shared" ca="1" si="125"/>
        <v>415383240.30660838</v>
      </c>
      <c r="AB63" s="34">
        <f t="shared" ca="1" si="125"/>
        <v>415383240.30660838</v>
      </c>
      <c r="AC63" s="34">
        <f t="shared" ca="1" si="125"/>
        <v>415383240.30660838</v>
      </c>
      <c r="AD63" s="34">
        <f t="shared" ca="1" si="125"/>
        <v>415383240.30660838</v>
      </c>
      <c r="AE63" s="34">
        <f t="shared" ca="1" si="125"/>
        <v>415383240.30660838</v>
      </c>
      <c r="AF63" s="34">
        <f t="shared" ca="1" si="125"/>
        <v>415383240.30660838</v>
      </c>
      <c r="AG63" s="34">
        <f t="shared" ca="1" si="125"/>
        <v>415383240.30660838</v>
      </c>
      <c r="AH63" s="34">
        <f t="shared" ca="1" si="125"/>
        <v>415383240.30660838</v>
      </c>
      <c r="AI63" s="34">
        <f t="shared" ca="1" si="125"/>
        <v>415383240.30660838</v>
      </c>
      <c r="AJ63" s="34">
        <f t="shared" ca="1" si="125"/>
        <v>-281239096.70652622</v>
      </c>
      <c r="AK63" s="34">
        <f t="shared" ref="AK63:BP63" ca="1" si="126">AK60-AK61+AJ63</f>
        <v>-281239096.70652622</v>
      </c>
      <c r="AL63" s="34">
        <f t="shared" ca="1" si="126"/>
        <v>-281239096.70652622</v>
      </c>
      <c r="AM63" s="34">
        <f t="shared" ca="1" si="126"/>
        <v>-281239096.70652622</v>
      </c>
      <c r="AN63" s="34">
        <f t="shared" ca="1" si="126"/>
        <v>-281239096.70652622</v>
      </c>
      <c r="AO63" s="34">
        <f t="shared" ca="1" si="126"/>
        <v>-281239096.70652622</v>
      </c>
      <c r="AP63" s="34">
        <f t="shared" ca="1" si="126"/>
        <v>-281239096.70652622</v>
      </c>
      <c r="AQ63" s="34">
        <f t="shared" ca="1" si="126"/>
        <v>-281239096.70652622</v>
      </c>
      <c r="AR63" s="34">
        <f t="shared" ca="1" si="126"/>
        <v>-281239096.70652622</v>
      </c>
      <c r="AS63" s="34">
        <f t="shared" ca="1" si="126"/>
        <v>-281239096.70652622</v>
      </c>
      <c r="AT63" s="34">
        <f t="shared" ca="1" si="126"/>
        <v>-281239096.70652622</v>
      </c>
      <c r="AU63" s="34">
        <f t="shared" ca="1" si="126"/>
        <v>-281239096.70652622</v>
      </c>
      <c r="AV63" s="34">
        <f t="shared" ca="1" si="126"/>
        <v>-281239096.70652622</v>
      </c>
      <c r="AW63" s="34">
        <f t="shared" ca="1" si="126"/>
        <v>-281239096.70652622</v>
      </c>
      <c r="AX63" s="34">
        <f t="shared" ca="1" si="126"/>
        <v>-281239096.70652622</v>
      </c>
      <c r="AY63" s="34">
        <f t="shared" ca="1" si="126"/>
        <v>-281239096.70652622</v>
      </c>
      <c r="AZ63" s="34">
        <f t="shared" ca="1" si="126"/>
        <v>-281239096.70652622</v>
      </c>
      <c r="BA63" s="34">
        <f t="shared" ca="1" si="126"/>
        <v>-281239096.70652622</v>
      </c>
      <c r="BB63" s="34">
        <f t="shared" ca="1" si="126"/>
        <v>-281239096.70652622</v>
      </c>
      <c r="BC63" s="34">
        <f t="shared" ca="1" si="126"/>
        <v>-281239096.70652622</v>
      </c>
      <c r="BD63" s="34">
        <f t="shared" ca="1" si="126"/>
        <v>-281239096.70652622</v>
      </c>
      <c r="BE63" s="34">
        <f t="shared" ca="1" si="126"/>
        <v>-281239096.70652622</v>
      </c>
      <c r="BF63" s="34">
        <f t="shared" ca="1" si="126"/>
        <v>-281239096.70652622</v>
      </c>
      <c r="BG63" s="34">
        <f t="shared" ca="1" si="126"/>
        <v>-281239096.70652622</v>
      </c>
      <c r="BH63" s="34">
        <f t="shared" ca="1" si="126"/>
        <v>-281239096.70652622</v>
      </c>
      <c r="BI63" s="34">
        <f t="shared" ca="1" si="126"/>
        <v>-281239096.70652622</v>
      </c>
      <c r="BJ63" s="34">
        <f t="shared" ca="1" si="126"/>
        <v>-281239096.70652622</v>
      </c>
      <c r="BK63" s="34">
        <f t="shared" ca="1" si="126"/>
        <v>-281239096.70652622</v>
      </c>
      <c r="BL63" s="34">
        <f t="shared" ca="1" si="126"/>
        <v>-281239096.70652622</v>
      </c>
      <c r="BM63" s="34">
        <f t="shared" ca="1" si="126"/>
        <v>-281239096.70652622</v>
      </c>
      <c r="BN63" s="34">
        <f t="shared" ca="1" si="126"/>
        <v>-281239096.70652622</v>
      </c>
      <c r="BO63" s="34">
        <f t="shared" ca="1" si="126"/>
        <v>-281239096.70652622</v>
      </c>
      <c r="BP63" s="34">
        <f t="shared" ca="1" si="126"/>
        <v>-281239096.70652622</v>
      </c>
      <c r="BQ63" s="34">
        <f t="shared" ref="BQ63:CU63" ca="1" si="127">BQ60-BQ61+BP63</f>
        <v>-281239096.70652622</v>
      </c>
      <c r="BR63" s="34">
        <f t="shared" ca="1" si="127"/>
        <v>-281239096.70652622</v>
      </c>
      <c r="BS63" s="34">
        <f t="shared" ca="1" si="127"/>
        <v>-281239096.70652622</v>
      </c>
      <c r="BT63" s="34">
        <f t="shared" ca="1" si="127"/>
        <v>-281239096.70652622</v>
      </c>
      <c r="BU63" s="34">
        <f t="shared" ca="1" si="127"/>
        <v>-281239096.70652622</v>
      </c>
      <c r="BV63" s="34">
        <f t="shared" ca="1" si="127"/>
        <v>-281239096.70652622</v>
      </c>
      <c r="BW63" s="34">
        <f t="shared" ca="1" si="127"/>
        <v>-281239096.70652622</v>
      </c>
      <c r="BX63" s="34">
        <f t="shared" ca="1" si="127"/>
        <v>-281239096.70652622</v>
      </c>
      <c r="BY63" s="34">
        <f t="shared" ca="1" si="127"/>
        <v>-281239096.70652622</v>
      </c>
      <c r="BZ63" s="34">
        <f t="shared" ca="1" si="127"/>
        <v>-281239096.70652622</v>
      </c>
      <c r="CA63" s="34">
        <f t="shared" ca="1" si="127"/>
        <v>-281239096.70652622</v>
      </c>
      <c r="CB63" s="34">
        <f t="shared" ca="1" si="127"/>
        <v>-281239096.70652622</v>
      </c>
      <c r="CC63" s="34">
        <f t="shared" ca="1" si="127"/>
        <v>-281239096.70652622</v>
      </c>
      <c r="CD63" s="34">
        <f t="shared" ca="1" si="127"/>
        <v>-281239096.70652622</v>
      </c>
      <c r="CE63" s="34">
        <f t="shared" ca="1" si="127"/>
        <v>-281239096.70652622</v>
      </c>
      <c r="CF63" s="34">
        <f t="shared" ca="1" si="127"/>
        <v>-281239096.70652622</v>
      </c>
      <c r="CG63" s="34">
        <f t="shared" ca="1" si="127"/>
        <v>-281239096.70652622</v>
      </c>
      <c r="CH63" s="34">
        <f t="shared" ca="1" si="127"/>
        <v>-281239096.70652622</v>
      </c>
      <c r="CI63" s="34">
        <f t="shared" ca="1" si="127"/>
        <v>-281239096.70652622</v>
      </c>
      <c r="CJ63" s="34">
        <f t="shared" ca="1" si="127"/>
        <v>-281239096.70652622</v>
      </c>
      <c r="CK63" s="34">
        <f t="shared" ca="1" si="127"/>
        <v>-281239096.70652622</v>
      </c>
      <c r="CL63" s="34">
        <f t="shared" ca="1" si="127"/>
        <v>-281239096.70652622</v>
      </c>
      <c r="CM63" s="34">
        <f t="shared" ca="1" si="127"/>
        <v>-281239096.70652622</v>
      </c>
      <c r="CN63" s="34">
        <f t="shared" ca="1" si="127"/>
        <v>-281239096.70652622</v>
      </c>
      <c r="CO63" s="34">
        <f t="shared" ca="1" si="127"/>
        <v>-281239096.70652622</v>
      </c>
      <c r="CP63" s="34">
        <f t="shared" ca="1" si="127"/>
        <v>-281239096.70652622</v>
      </c>
      <c r="CQ63" s="34">
        <f t="shared" ca="1" si="127"/>
        <v>-281239096.70652622</v>
      </c>
      <c r="CR63" s="34">
        <f t="shared" ca="1" si="127"/>
        <v>-281239096.70652622</v>
      </c>
      <c r="CS63" s="34">
        <f t="shared" ca="1" si="127"/>
        <v>-281239096.70652622</v>
      </c>
      <c r="CT63" s="34">
        <f t="shared" ca="1" si="127"/>
        <v>-281239096.70652622</v>
      </c>
      <c r="CU63" s="34">
        <f t="shared" ca="1" si="127"/>
        <v>-281239096.70652622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17345E"/>
  </sheetPr>
  <dimension ref="A1:CU21"/>
  <sheetViews>
    <sheetView showGridLines="0" workbookViewId="0">
      <pane xSplit="3" ySplit="4" topLeftCell="D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46" customWidth="1"/>
    <col min="2" max="2" width="16" customWidth="1"/>
    <col min="3" max="3" width="22" customWidth="1"/>
    <col min="4" max="99" width="11" customWidth="1"/>
  </cols>
  <sheetData>
    <row r="1" spans="1:99" ht="21" x14ac:dyDescent="0.4">
      <c r="A1" s="10" t="s">
        <v>439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</row>
    <row r="2" spans="1:99" x14ac:dyDescent="0.3">
      <c r="A2" s="11" t="s">
        <v>440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</row>
    <row r="3" spans="1:99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</row>
    <row r="4" spans="1:99" x14ac:dyDescent="0.3">
      <c r="A4" s="12" t="s">
        <v>285</v>
      </c>
      <c r="B4" s="12" t="s">
        <v>309</v>
      </c>
      <c r="C4" s="12" t="s">
        <v>324</v>
      </c>
      <c r="D4" s="24">
        <v>0</v>
      </c>
      <c r="E4" s="24">
        <f t="shared" ref="E4:AJ4" si="0">D4+1</f>
        <v>1</v>
      </c>
      <c r="F4" s="24">
        <f t="shared" si="0"/>
        <v>2</v>
      </c>
      <c r="G4" s="24">
        <f t="shared" si="0"/>
        <v>3</v>
      </c>
      <c r="H4" s="24">
        <f t="shared" si="0"/>
        <v>4</v>
      </c>
      <c r="I4" s="24">
        <f t="shared" si="0"/>
        <v>5</v>
      </c>
      <c r="J4" s="24">
        <f t="shared" si="0"/>
        <v>6</v>
      </c>
      <c r="K4" s="24">
        <f t="shared" si="0"/>
        <v>7</v>
      </c>
      <c r="L4" s="24">
        <f t="shared" si="0"/>
        <v>8</v>
      </c>
      <c r="M4" s="24">
        <f t="shared" si="0"/>
        <v>9</v>
      </c>
      <c r="N4" s="24">
        <f t="shared" si="0"/>
        <v>10</v>
      </c>
      <c r="O4" s="24">
        <f t="shared" si="0"/>
        <v>11</v>
      </c>
      <c r="P4" s="24">
        <f t="shared" si="0"/>
        <v>12</v>
      </c>
      <c r="Q4" s="24">
        <f t="shared" si="0"/>
        <v>13</v>
      </c>
      <c r="R4" s="24">
        <f t="shared" si="0"/>
        <v>14</v>
      </c>
      <c r="S4" s="24">
        <f t="shared" si="0"/>
        <v>15</v>
      </c>
      <c r="T4" s="24">
        <f t="shared" si="0"/>
        <v>16</v>
      </c>
      <c r="U4" s="24">
        <f t="shared" si="0"/>
        <v>17</v>
      </c>
      <c r="V4" s="24">
        <f t="shared" si="0"/>
        <v>18</v>
      </c>
      <c r="W4" s="24">
        <f t="shared" si="0"/>
        <v>19</v>
      </c>
      <c r="X4" s="24">
        <f t="shared" si="0"/>
        <v>20</v>
      </c>
      <c r="Y4" s="24">
        <f t="shared" si="0"/>
        <v>21</v>
      </c>
      <c r="Z4" s="24">
        <f t="shared" si="0"/>
        <v>22</v>
      </c>
      <c r="AA4" s="24">
        <f t="shared" si="0"/>
        <v>23</v>
      </c>
      <c r="AB4" s="24">
        <f t="shared" si="0"/>
        <v>24</v>
      </c>
      <c r="AC4" s="24">
        <f t="shared" si="0"/>
        <v>25</v>
      </c>
      <c r="AD4" s="24">
        <f t="shared" si="0"/>
        <v>26</v>
      </c>
      <c r="AE4" s="24">
        <f t="shared" si="0"/>
        <v>27</v>
      </c>
      <c r="AF4" s="24">
        <f t="shared" si="0"/>
        <v>28</v>
      </c>
      <c r="AG4" s="24">
        <f t="shared" si="0"/>
        <v>29</v>
      </c>
      <c r="AH4" s="24">
        <f t="shared" si="0"/>
        <v>30</v>
      </c>
      <c r="AI4" s="24">
        <f t="shared" si="0"/>
        <v>31</v>
      </c>
      <c r="AJ4" s="24">
        <f t="shared" si="0"/>
        <v>32</v>
      </c>
      <c r="AK4" s="24">
        <f t="shared" ref="AK4:BP4" si="1">AJ4+1</f>
        <v>33</v>
      </c>
      <c r="AL4" s="24">
        <f t="shared" si="1"/>
        <v>34</v>
      </c>
      <c r="AM4" s="24">
        <f t="shared" si="1"/>
        <v>35</v>
      </c>
      <c r="AN4" s="24">
        <f t="shared" si="1"/>
        <v>36</v>
      </c>
      <c r="AO4" s="24">
        <f t="shared" si="1"/>
        <v>37</v>
      </c>
      <c r="AP4" s="24">
        <f t="shared" si="1"/>
        <v>38</v>
      </c>
      <c r="AQ4" s="24">
        <f t="shared" si="1"/>
        <v>39</v>
      </c>
      <c r="AR4" s="24">
        <f t="shared" si="1"/>
        <v>40</v>
      </c>
      <c r="AS4" s="24">
        <f t="shared" si="1"/>
        <v>41</v>
      </c>
      <c r="AT4" s="24">
        <f t="shared" si="1"/>
        <v>42</v>
      </c>
      <c r="AU4" s="24">
        <f t="shared" si="1"/>
        <v>43</v>
      </c>
      <c r="AV4" s="24">
        <f t="shared" si="1"/>
        <v>44</v>
      </c>
      <c r="AW4" s="24">
        <f t="shared" si="1"/>
        <v>45</v>
      </c>
      <c r="AX4" s="24">
        <f t="shared" si="1"/>
        <v>46</v>
      </c>
      <c r="AY4" s="24">
        <f t="shared" si="1"/>
        <v>47</v>
      </c>
      <c r="AZ4" s="24">
        <f t="shared" si="1"/>
        <v>48</v>
      </c>
      <c r="BA4" s="24">
        <f t="shared" si="1"/>
        <v>49</v>
      </c>
      <c r="BB4" s="24">
        <f t="shared" si="1"/>
        <v>50</v>
      </c>
      <c r="BC4" s="24">
        <f t="shared" si="1"/>
        <v>51</v>
      </c>
      <c r="BD4" s="24">
        <f t="shared" si="1"/>
        <v>52</v>
      </c>
      <c r="BE4" s="24">
        <f t="shared" si="1"/>
        <v>53</v>
      </c>
      <c r="BF4" s="24">
        <f t="shared" si="1"/>
        <v>54</v>
      </c>
      <c r="BG4" s="24">
        <f t="shared" si="1"/>
        <v>55</v>
      </c>
      <c r="BH4" s="24">
        <f t="shared" si="1"/>
        <v>56</v>
      </c>
      <c r="BI4" s="24">
        <f t="shared" si="1"/>
        <v>57</v>
      </c>
      <c r="BJ4" s="24">
        <f t="shared" si="1"/>
        <v>58</v>
      </c>
      <c r="BK4" s="24">
        <f t="shared" si="1"/>
        <v>59</v>
      </c>
      <c r="BL4" s="24">
        <f t="shared" si="1"/>
        <v>60</v>
      </c>
      <c r="BM4" s="24">
        <f t="shared" si="1"/>
        <v>61</v>
      </c>
      <c r="BN4" s="24">
        <f t="shared" si="1"/>
        <v>62</v>
      </c>
      <c r="BO4" s="24">
        <f t="shared" si="1"/>
        <v>63</v>
      </c>
      <c r="BP4" s="24">
        <f t="shared" si="1"/>
        <v>64</v>
      </c>
      <c r="BQ4" s="24">
        <f t="shared" ref="BQ4:CU4" si="2">BP4+1</f>
        <v>65</v>
      </c>
      <c r="BR4" s="24">
        <f t="shared" si="2"/>
        <v>66</v>
      </c>
      <c r="BS4" s="24">
        <f t="shared" si="2"/>
        <v>67</v>
      </c>
      <c r="BT4" s="24">
        <f t="shared" si="2"/>
        <v>68</v>
      </c>
      <c r="BU4" s="24">
        <f t="shared" si="2"/>
        <v>69</v>
      </c>
      <c r="BV4" s="24">
        <f t="shared" si="2"/>
        <v>70</v>
      </c>
      <c r="BW4" s="24">
        <f t="shared" si="2"/>
        <v>71</v>
      </c>
      <c r="BX4" s="24">
        <f t="shared" si="2"/>
        <v>72</v>
      </c>
      <c r="BY4" s="24">
        <f t="shared" si="2"/>
        <v>73</v>
      </c>
      <c r="BZ4" s="24">
        <f t="shared" si="2"/>
        <v>74</v>
      </c>
      <c r="CA4" s="24">
        <f t="shared" si="2"/>
        <v>75</v>
      </c>
      <c r="CB4" s="24">
        <f t="shared" si="2"/>
        <v>76</v>
      </c>
      <c r="CC4" s="24">
        <f t="shared" si="2"/>
        <v>77</v>
      </c>
      <c r="CD4" s="24">
        <f t="shared" si="2"/>
        <v>78</v>
      </c>
      <c r="CE4" s="24">
        <f t="shared" si="2"/>
        <v>79</v>
      </c>
      <c r="CF4" s="24">
        <f t="shared" si="2"/>
        <v>80</v>
      </c>
      <c r="CG4" s="24">
        <f t="shared" si="2"/>
        <v>81</v>
      </c>
      <c r="CH4" s="24">
        <f t="shared" si="2"/>
        <v>82</v>
      </c>
      <c r="CI4" s="24">
        <f t="shared" si="2"/>
        <v>83</v>
      </c>
      <c r="CJ4" s="24">
        <f t="shared" si="2"/>
        <v>84</v>
      </c>
      <c r="CK4" s="24">
        <f t="shared" si="2"/>
        <v>85</v>
      </c>
      <c r="CL4" s="24">
        <f t="shared" si="2"/>
        <v>86</v>
      </c>
      <c r="CM4" s="24">
        <f t="shared" si="2"/>
        <v>87</v>
      </c>
      <c r="CN4" s="24">
        <f t="shared" si="2"/>
        <v>88</v>
      </c>
      <c r="CO4" s="24">
        <f t="shared" si="2"/>
        <v>89</v>
      </c>
      <c r="CP4" s="24">
        <f t="shared" si="2"/>
        <v>90</v>
      </c>
      <c r="CQ4" s="24">
        <f t="shared" si="2"/>
        <v>91</v>
      </c>
      <c r="CR4" s="24">
        <f t="shared" si="2"/>
        <v>92</v>
      </c>
      <c r="CS4" s="24">
        <f t="shared" si="2"/>
        <v>93</v>
      </c>
      <c r="CT4" s="24">
        <f t="shared" si="2"/>
        <v>94</v>
      </c>
      <c r="CU4" s="24">
        <f t="shared" si="2"/>
        <v>95</v>
      </c>
    </row>
    <row r="5" spans="1:99" x14ac:dyDescent="0.3">
      <c r="A5" s="7" t="s">
        <v>228</v>
      </c>
      <c r="B5" s="44">
        <f>in_fin_sponsor_equity_share_pct</f>
        <v>0.2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</row>
    <row r="6" spans="1:99" x14ac:dyDescent="0.3">
      <c r="A6" s="7" t="s">
        <v>441</v>
      </c>
      <c r="B6" s="46">
        <f>(1+in_fin_pref_return_pct)^(1/12)-1</f>
        <v>7.9741404289037643E-3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</row>
    <row r="7" spans="1:99" x14ac:dyDescent="0.3">
      <c r="A7" s="7" t="s">
        <v>230</v>
      </c>
      <c r="B7" s="44">
        <f>in_fin_promote_pct</f>
        <v>0.2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</row>
    <row r="8" spans="1:99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</row>
    <row r="9" spans="1:99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</row>
    <row r="10" spans="1:99" x14ac:dyDescent="0.3">
      <c r="A10" s="7" t="s">
        <v>95</v>
      </c>
      <c r="B10" s="21">
        <f ca="1">SUM(D10:CU10)</f>
        <v>415383240.30666566</v>
      </c>
      <c r="C10" s="11"/>
      <c r="D10" s="34">
        <f ca="1">'Cash Flow'!D60</f>
        <v>285050000</v>
      </c>
      <c r="E10" s="34">
        <f ca="1">'Cash Flow'!E60</f>
        <v>1168515</v>
      </c>
      <c r="F10" s="34">
        <f ca="1">'Cash Flow'!F60</f>
        <v>1168515</v>
      </c>
      <c r="G10" s="34">
        <f ca="1">'Cash Flow'!G60</f>
        <v>1168515</v>
      </c>
      <c r="H10" s="34">
        <f ca="1">'Cash Flow'!H60</f>
        <v>1168515</v>
      </c>
      <c r="I10" s="34">
        <f ca="1">'Cash Flow'!I60</f>
        <v>0</v>
      </c>
      <c r="J10" s="34">
        <f ca="1">'Cash Flow'!J60</f>
        <v>0</v>
      </c>
      <c r="K10" s="34">
        <f ca="1">'Cash Flow'!K60</f>
        <v>0</v>
      </c>
      <c r="L10" s="34">
        <f ca="1">'Cash Flow'!L60</f>
        <v>6763725.5679634772</v>
      </c>
      <c r="M10" s="34">
        <f ca="1">'Cash Flow'!M60</f>
        <v>8284624.8648707168</v>
      </c>
      <c r="N10" s="34">
        <f ca="1">'Cash Flow'!N60</f>
        <v>2260028.9810248599</v>
      </c>
      <c r="O10" s="34">
        <f ca="1">'Cash Flow'!O60</f>
        <v>4666275.1785555398</v>
      </c>
      <c r="P10" s="34">
        <f ca="1">'Cash Flow'!P60</f>
        <v>6953373.9762762943</v>
      </c>
      <c r="Q10" s="34">
        <f ca="1">'Cash Flow'!Q60</f>
        <v>9072386.9782410581</v>
      </c>
      <c r="R10" s="34">
        <f ca="1">'Cash Flow'!R60</f>
        <v>10976179.308166154</v>
      </c>
      <c r="S10" s="34">
        <f ca="1">'Cash Flow'!S60</f>
        <v>12620122.831685012</v>
      </c>
      <c r="T10" s="34">
        <f ca="1">'Cash Flow'!T60</f>
        <v>13962729.479489677</v>
      </c>
      <c r="U10" s="34">
        <f ca="1">'Cash Flow'!U60</f>
        <v>14966191.391071113</v>
      </c>
      <c r="V10" s="34">
        <f ca="1">'Cash Flow'!V60</f>
        <v>15596800.378256759</v>
      </c>
      <c r="W10" s="34">
        <f ca="1">'Cash Flow'!W60</f>
        <v>15825212.061193539</v>
      </c>
      <c r="X10" s="34">
        <f ca="1">'Cash Flow'!X60</f>
        <v>3711529.3098141551</v>
      </c>
      <c r="Y10" s="34">
        <f ca="1">'Cash Flow'!Y60</f>
        <v>0</v>
      </c>
      <c r="Z10" s="34">
        <f ca="1">'Cash Flow'!Z60</f>
        <v>0</v>
      </c>
      <c r="AA10" s="34">
        <f ca="1">'Cash Flow'!AA60</f>
        <v>0</v>
      </c>
      <c r="AB10" s="34">
        <f ca="1">'Cash Flow'!AB60</f>
        <v>0</v>
      </c>
      <c r="AC10" s="34">
        <f ca="1">'Cash Flow'!AC60</f>
        <v>0</v>
      </c>
      <c r="AD10" s="34">
        <f ca="1">'Cash Flow'!AD60</f>
        <v>0</v>
      </c>
      <c r="AE10" s="34">
        <f ca="1">'Cash Flow'!AE60</f>
        <v>0</v>
      </c>
      <c r="AF10" s="34">
        <f ca="1">'Cash Flow'!AF60</f>
        <v>0</v>
      </c>
      <c r="AG10" s="34">
        <f ca="1">'Cash Flow'!AG60</f>
        <v>0</v>
      </c>
      <c r="AH10" s="34">
        <f ca="1">'Cash Flow'!AH60</f>
        <v>0</v>
      </c>
      <c r="AI10" s="34">
        <f ca="1">'Cash Flow'!AI60</f>
        <v>0</v>
      </c>
      <c r="AJ10" s="34">
        <f ca="1">'Cash Flow'!AJ60</f>
        <v>0</v>
      </c>
      <c r="AK10" s="34">
        <f ca="1">'Cash Flow'!AK60</f>
        <v>0</v>
      </c>
      <c r="AL10" s="34">
        <f ca="1">'Cash Flow'!AL60</f>
        <v>0</v>
      </c>
      <c r="AM10" s="34">
        <f ca="1">'Cash Flow'!AM60</f>
        <v>0</v>
      </c>
      <c r="AN10" s="34">
        <f ca="1">'Cash Flow'!AN60</f>
        <v>0</v>
      </c>
      <c r="AO10" s="34">
        <f ca="1">'Cash Flow'!AO60</f>
        <v>0</v>
      </c>
      <c r="AP10" s="34">
        <f ca="1">'Cash Flow'!AP60</f>
        <v>0</v>
      </c>
      <c r="AQ10" s="34">
        <f ca="1">'Cash Flow'!AQ60</f>
        <v>0</v>
      </c>
      <c r="AR10" s="34">
        <f ca="1">'Cash Flow'!AR60</f>
        <v>0</v>
      </c>
      <c r="AS10" s="34">
        <f ca="1">'Cash Flow'!AS60</f>
        <v>0</v>
      </c>
      <c r="AT10" s="34">
        <f ca="1">'Cash Flow'!AT60</f>
        <v>0</v>
      </c>
      <c r="AU10" s="34">
        <f ca="1">'Cash Flow'!AU60</f>
        <v>0</v>
      </c>
      <c r="AV10" s="34">
        <f ca="1">'Cash Flow'!AV60</f>
        <v>0</v>
      </c>
      <c r="AW10" s="34">
        <f ca="1">'Cash Flow'!AW60</f>
        <v>0</v>
      </c>
      <c r="AX10" s="34">
        <f ca="1">'Cash Flow'!AX60</f>
        <v>0</v>
      </c>
      <c r="AY10" s="34">
        <f ca="1">'Cash Flow'!AY60</f>
        <v>0</v>
      </c>
      <c r="AZ10" s="34">
        <f ca="1">'Cash Flow'!AZ60</f>
        <v>0</v>
      </c>
      <c r="BA10" s="34">
        <f ca="1">'Cash Flow'!BA60</f>
        <v>0</v>
      </c>
      <c r="BB10" s="34">
        <f ca="1">'Cash Flow'!BB60</f>
        <v>0</v>
      </c>
      <c r="BC10" s="34">
        <f ca="1">'Cash Flow'!BC60</f>
        <v>0</v>
      </c>
      <c r="BD10" s="34">
        <f ca="1">'Cash Flow'!BD60</f>
        <v>0</v>
      </c>
      <c r="BE10" s="34">
        <f ca="1">'Cash Flow'!BE60</f>
        <v>0</v>
      </c>
      <c r="BF10" s="34">
        <f ca="1">'Cash Flow'!BF60</f>
        <v>0</v>
      </c>
      <c r="BG10" s="34">
        <f ca="1">'Cash Flow'!BG60</f>
        <v>0</v>
      </c>
      <c r="BH10" s="34">
        <f ca="1">'Cash Flow'!BH60</f>
        <v>0</v>
      </c>
      <c r="BI10" s="34">
        <f ca="1">'Cash Flow'!BI60</f>
        <v>0</v>
      </c>
      <c r="BJ10" s="34">
        <f ca="1">'Cash Flow'!BJ60</f>
        <v>0</v>
      </c>
      <c r="BK10" s="34">
        <f ca="1">'Cash Flow'!BK60</f>
        <v>0</v>
      </c>
      <c r="BL10" s="34">
        <f ca="1">'Cash Flow'!BL60</f>
        <v>0</v>
      </c>
      <c r="BM10" s="34">
        <f ca="1">'Cash Flow'!BM60</f>
        <v>0</v>
      </c>
      <c r="BN10" s="34">
        <f ca="1">'Cash Flow'!BN60</f>
        <v>0</v>
      </c>
      <c r="BO10" s="34">
        <f ca="1">'Cash Flow'!BO60</f>
        <v>0</v>
      </c>
      <c r="BP10" s="34">
        <f ca="1">'Cash Flow'!BP60</f>
        <v>0</v>
      </c>
      <c r="BQ10" s="34">
        <f ca="1">'Cash Flow'!BQ60</f>
        <v>0</v>
      </c>
      <c r="BR10" s="34">
        <f ca="1">'Cash Flow'!BR60</f>
        <v>0</v>
      </c>
      <c r="BS10" s="34">
        <f ca="1">'Cash Flow'!BS60</f>
        <v>0</v>
      </c>
      <c r="BT10" s="34">
        <f ca="1">'Cash Flow'!BT60</f>
        <v>0</v>
      </c>
      <c r="BU10" s="34">
        <f ca="1">'Cash Flow'!BU60</f>
        <v>0</v>
      </c>
      <c r="BV10" s="34">
        <f ca="1">'Cash Flow'!BV60</f>
        <v>0</v>
      </c>
      <c r="BW10" s="34">
        <f ca="1">'Cash Flow'!BW60</f>
        <v>0</v>
      </c>
      <c r="BX10" s="34">
        <f ca="1">'Cash Flow'!BX60</f>
        <v>0</v>
      </c>
      <c r="BY10" s="34">
        <f ca="1">'Cash Flow'!BY60</f>
        <v>0</v>
      </c>
      <c r="BZ10" s="34">
        <f ca="1">'Cash Flow'!BZ60</f>
        <v>0</v>
      </c>
      <c r="CA10" s="34">
        <f ca="1">'Cash Flow'!CA60</f>
        <v>0</v>
      </c>
      <c r="CB10" s="34">
        <f ca="1">'Cash Flow'!CB60</f>
        <v>0</v>
      </c>
      <c r="CC10" s="34">
        <f ca="1">'Cash Flow'!CC60</f>
        <v>0</v>
      </c>
      <c r="CD10" s="34">
        <f ca="1">'Cash Flow'!CD60</f>
        <v>0</v>
      </c>
      <c r="CE10" s="34">
        <f ca="1">'Cash Flow'!CE60</f>
        <v>0</v>
      </c>
      <c r="CF10" s="34">
        <f ca="1">'Cash Flow'!CF60</f>
        <v>0</v>
      </c>
      <c r="CG10" s="34">
        <f ca="1">'Cash Flow'!CG60</f>
        <v>0</v>
      </c>
      <c r="CH10" s="34">
        <f ca="1">'Cash Flow'!CH60</f>
        <v>0</v>
      </c>
      <c r="CI10" s="34">
        <f ca="1">'Cash Flow'!CI60</f>
        <v>0</v>
      </c>
      <c r="CJ10" s="34">
        <f ca="1">'Cash Flow'!CJ60</f>
        <v>0</v>
      </c>
      <c r="CK10" s="34">
        <f ca="1">'Cash Flow'!CK60</f>
        <v>0</v>
      </c>
      <c r="CL10" s="34">
        <f ca="1">'Cash Flow'!CL60</f>
        <v>0</v>
      </c>
      <c r="CM10" s="34">
        <f ca="1">'Cash Flow'!CM60</f>
        <v>0</v>
      </c>
      <c r="CN10" s="34">
        <f ca="1">'Cash Flow'!CN60</f>
        <v>0</v>
      </c>
      <c r="CO10" s="34">
        <f ca="1">'Cash Flow'!CO60</f>
        <v>0</v>
      </c>
      <c r="CP10" s="34">
        <f ca="1">'Cash Flow'!CP60</f>
        <v>0</v>
      </c>
      <c r="CQ10" s="34">
        <f ca="1">'Cash Flow'!CQ60</f>
        <v>0</v>
      </c>
      <c r="CR10" s="34">
        <f ca="1">'Cash Flow'!CR60</f>
        <v>0</v>
      </c>
      <c r="CS10" s="34">
        <f ca="1">'Cash Flow'!CS60</f>
        <v>0</v>
      </c>
      <c r="CT10" s="34">
        <f ca="1">'Cash Flow'!CT60</f>
        <v>0</v>
      </c>
      <c r="CU10" s="34">
        <f ca="1">'Cash Flow'!CU60</f>
        <v>0</v>
      </c>
    </row>
    <row r="11" spans="1:99" x14ac:dyDescent="0.3">
      <c r="A11" s="7" t="s">
        <v>96</v>
      </c>
      <c r="B11" s="21">
        <f ca="1">SUM(D11:CU11)</f>
        <v>696622337.01119256</v>
      </c>
      <c r="C11" s="11"/>
      <c r="D11" s="34">
        <f ca="1">'Cash Flow'!D61</f>
        <v>0</v>
      </c>
      <c r="E11" s="34">
        <f ca="1">'Cash Flow'!E61</f>
        <v>0</v>
      </c>
      <c r="F11" s="34">
        <f ca="1">'Cash Flow'!F61</f>
        <v>0</v>
      </c>
      <c r="G11" s="34">
        <f ca="1">'Cash Flow'!G61</f>
        <v>0</v>
      </c>
      <c r="H11" s="34">
        <f ca="1">'Cash Flow'!H61</f>
        <v>0</v>
      </c>
      <c r="I11" s="34">
        <f ca="1">'Cash Flow'!I61</f>
        <v>0</v>
      </c>
      <c r="J11" s="34">
        <f ca="1">'Cash Flow'!J61</f>
        <v>0</v>
      </c>
      <c r="K11" s="34">
        <f ca="1">'Cash Flow'!K61</f>
        <v>0</v>
      </c>
      <c r="L11" s="34">
        <f ca="1">'Cash Flow'!L61</f>
        <v>0</v>
      </c>
      <c r="M11" s="34">
        <f ca="1">'Cash Flow'!M61</f>
        <v>0</v>
      </c>
      <c r="N11" s="34">
        <f ca="1">'Cash Flow'!N61</f>
        <v>0</v>
      </c>
      <c r="O11" s="34">
        <f ca="1">'Cash Flow'!O61</f>
        <v>0</v>
      </c>
      <c r="P11" s="34">
        <f ca="1">'Cash Flow'!P61</f>
        <v>0</v>
      </c>
      <c r="Q11" s="34">
        <f ca="1">'Cash Flow'!Q61</f>
        <v>0</v>
      </c>
      <c r="R11" s="34">
        <f ca="1">'Cash Flow'!R61</f>
        <v>0</v>
      </c>
      <c r="S11" s="34">
        <f ca="1">'Cash Flow'!S61</f>
        <v>0</v>
      </c>
      <c r="T11" s="34">
        <f ca="1">'Cash Flow'!T61</f>
        <v>0</v>
      </c>
      <c r="U11" s="34">
        <f ca="1">'Cash Flow'!U61</f>
        <v>0</v>
      </c>
      <c r="V11" s="34">
        <f ca="1">'Cash Flow'!V61</f>
        <v>0</v>
      </c>
      <c r="W11" s="34">
        <f ca="1">'Cash Flow'!W61</f>
        <v>0</v>
      </c>
      <c r="X11" s="34">
        <f ca="1">'Cash Flow'!X61</f>
        <v>0</v>
      </c>
      <c r="Y11" s="34">
        <f ca="1">'Cash Flow'!Y61</f>
        <v>0</v>
      </c>
      <c r="Z11" s="34">
        <f ca="1">'Cash Flow'!Z61</f>
        <v>0</v>
      </c>
      <c r="AA11" s="34">
        <f ca="1">'Cash Flow'!AA61</f>
        <v>0</v>
      </c>
      <c r="AB11" s="34">
        <f ca="1">'Cash Flow'!AB61</f>
        <v>0</v>
      </c>
      <c r="AC11" s="34">
        <f ca="1">'Cash Flow'!AC61</f>
        <v>0</v>
      </c>
      <c r="AD11" s="34">
        <f ca="1">'Cash Flow'!AD61</f>
        <v>0</v>
      </c>
      <c r="AE11" s="34">
        <f ca="1">'Cash Flow'!AE61</f>
        <v>0</v>
      </c>
      <c r="AF11" s="34">
        <f ca="1">'Cash Flow'!AF61</f>
        <v>0</v>
      </c>
      <c r="AG11" s="34">
        <f ca="1">'Cash Flow'!AG61</f>
        <v>0</v>
      </c>
      <c r="AH11" s="34">
        <f ca="1">'Cash Flow'!AH61</f>
        <v>0</v>
      </c>
      <c r="AI11" s="34">
        <f ca="1">'Cash Flow'!AI61</f>
        <v>0</v>
      </c>
      <c r="AJ11" s="34">
        <f ca="1">'Cash Flow'!AJ61</f>
        <v>696622337.0131346</v>
      </c>
      <c r="AK11" s="34">
        <f ca="1">'Cash Flow'!AK61</f>
        <v>0</v>
      </c>
      <c r="AL11" s="34">
        <f ca="1">'Cash Flow'!AL61</f>
        <v>0</v>
      </c>
      <c r="AM11" s="34">
        <f ca="1">'Cash Flow'!AM61</f>
        <v>0</v>
      </c>
      <c r="AN11" s="34">
        <f ca="1">'Cash Flow'!AN61</f>
        <v>0</v>
      </c>
      <c r="AO11" s="34">
        <f ca="1">'Cash Flow'!AO61</f>
        <v>0</v>
      </c>
      <c r="AP11" s="34">
        <f ca="1">'Cash Flow'!AP61</f>
        <v>0</v>
      </c>
      <c r="AQ11" s="34">
        <f ca="1">'Cash Flow'!AQ61</f>
        <v>0</v>
      </c>
      <c r="AR11" s="34">
        <f ca="1">'Cash Flow'!AR61</f>
        <v>0</v>
      </c>
      <c r="AS11" s="34">
        <f ca="1">'Cash Flow'!AS61</f>
        <v>0</v>
      </c>
      <c r="AT11" s="34">
        <f ca="1">'Cash Flow'!AT61</f>
        <v>0</v>
      </c>
      <c r="AU11" s="34">
        <f ca="1">'Cash Flow'!AU61</f>
        <v>0</v>
      </c>
      <c r="AV11" s="34">
        <f ca="1">'Cash Flow'!AV61</f>
        <v>0</v>
      </c>
      <c r="AW11" s="34">
        <f ca="1">'Cash Flow'!AW61</f>
        <v>0</v>
      </c>
      <c r="AX11" s="34">
        <f ca="1">'Cash Flow'!AX61</f>
        <v>0</v>
      </c>
      <c r="AY11" s="34">
        <f ca="1">'Cash Flow'!AY61</f>
        <v>0</v>
      </c>
      <c r="AZ11" s="34">
        <f ca="1">'Cash Flow'!AZ61</f>
        <v>0</v>
      </c>
      <c r="BA11" s="34">
        <f ca="1">'Cash Flow'!BA61</f>
        <v>0</v>
      </c>
      <c r="BB11" s="34">
        <f ca="1">'Cash Flow'!BB61</f>
        <v>0</v>
      </c>
      <c r="BC11" s="34">
        <f ca="1">'Cash Flow'!BC61</f>
        <v>0</v>
      </c>
      <c r="BD11" s="34">
        <f ca="1">'Cash Flow'!BD61</f>
        <v>0</v>
      </c>
      <c r="BE11" s="34">
        <f ca="1">'Cash Flow'!BE61</f>
        <v>0</v>
      </c>
      <c r="BF11" s="34">
        <f ca="1">'Cash Flow'!BF61</f>
        <v>0</v>
      </c>
      <c r="BG11" s="34">
        <f ca="1">'Cash Flow'!BG61</f>
        <v>0</v>
      </c>
      <c r="BH11" s="34">
        <f ca="1">'Cash Flow'!BH61</f>
        <v>0</v>
      </c>
      <c r="BI11" s="34">
        <f ca="1">'Cash Flow'!BI61</f>
        <v>0</v>
      </c>
      <c r="BJ11" s="34">
        <f ca="1">'Cash Flow'!BJ61</f>
        <v>0</v>
      </c>
      <c r="BK11" s="34">
        <f ca="1">'Cash Flow'!BK61</f>
        <v>0</v>
      </c>
      <c r="BL11" s="34">
        <f ca="1">'Cash Flow'!BL61</f>
        <v>0</v>
      </c>
      <c r="BM11" s="34">
        <f ca="1">'Cash Flow'!BM61</f>
        <v>0</v>
      </c>
      <c r="BN11" s="34">
        <f ca="1">'Cash Flow'!BN61</f>
        <v>0</v>
      </c>
      <c r="BO11" s="34">
        <f ca="1">'Cash Flow'!BO61</f>
        <v>0</v>
      </c>
      <c r="BP11" s="34">
        <f ca="1">'Cash Flow'!BP61</f>
        <v>0</v>
      </c>
      <c r="BQ11" s="34">
        <f ca="1">'Cash Flow'!BQ61</f>
        <v>0</v>
      </c>
      <c r="BR11" s="34">
        <f ca="1">'Cash Flow'!BR61</f>
        <v>0</v>
      </c>
      <c r="BS11" s="34">
        <f ca="1">'Cash Flow'!BS61</f>
        <v>0</v>
      </c>
      <c r="BT11" s="34">
        <f ca="1">'Cash Flow'!BT61</f>
        <v>0</v>
      </c>
      <c r="BU11" s="34">
        <f ca="1">'Cash Flow'!BU61</f>
        <v>0</v>
      </c>
      <c r="BV11" s="34">
        <f ca="1">'Cash Flow'!BV61</f>
        <v>0</v>
      </c>
      <c r="BW11" s="34">
        <f ca="1">'Cash Flow'!BW61</f>
        <v>0</v>
      </c>
      <c r="BX11" s="34">
        <f ca="1">'Cash Flow'!BX61</f>
        <v>0</v>
      </c>
      <c r="BY11" s="34">
        <f ca="1">'Cash Flow'!BY61</f>
        <v>0</v>
      </c>
      <c r="BZ11" s="34">
        <f ca="1">'Cash Flow'!BZ61</f>
        <v>0</v>
      </c>
      <c r="CA11" s="34">
        <f ca="1">'Cash Flow'!CA61</f>
        <v>0</v>
      </c>
      <c r="CB11" s="34">
        <f ca="1">'Cash Flow'!CB61</f>
        <v>0</v>
      </c>
      <c r="CC11" s="34">
        <f ca="1">'Cash Flow'!CC61</f>
        <v>0</v>
      </c>
      <c r="CD11" s="34">
        <f ca="1">'Cash Flow'!CD61</f>
        <v>0</v>
      </c>
      <c r="CE11" s="34">
        <f ca="1">'Cash Flow'!CE61</f>
        <v>0</v>
      </c>
      <c r="CF11" s="34">
        <f ca="1">'Cash Flow'!CF61</f>
        <v>0</v>
      </c>
      <c r="CG11" s="34">
        <f ca="1">'Cash Flow'!CG61</f>
        <v>0</v>
      </c>
      <c r="CH11" s="34">
        <f ca="1">'Cash Flow'!CH61</f>
        <v>0</v>
      </c>
      <c r="CI11" s="34">
        <f ca="1">'Cash Flow'!CI61</f>
        <v>0</v>
      </c>
      <c r="CJ11" s="34">
        <f ca="1">'Cash Flow'!CJ61</f>
        <v>0</v>
      </c>
      <c r="CK11" s="34">
        <f ca="1">'Cash Flow'!CK61</f>
        <v>0</v>
      </c>
      <c r="CL11" s="34">
        <f ca="1">'Cash Flow'!CL61</f>
        <v>0</v>
      </c>
      <c r="CM11" s="34">
        <f ca="1">'Cash Flow'!CM61</f>
        <v>0</v>
      </c>
      <c r="CN11" s="34">
        <f ca="1">'Cash Flow'!CN61</f>
        <v>0</v>
      </c>
      <c r="CO11" s="34">
        <f ca="1">'Cash Flow'!CO61</f>
        <v>0</v>
      </c>
      <c r="CP11" s="34">
        <f ca="1">'Cash Flow'!CP61</f>
        <v>0</v>
      </c>
      <c r="CQ11" s="34">
        <f ca="1">'Cash Flow'!CQ61</f>
        <v>0</v>
      </c>
      <c r="CR11" s="34">
        <f ca="1">'Cash Flow'!CR61</f>
        <v>0</v>
      </c>
      <c r="CS11" s="34">
        <f ca="1">'Cash Flow'!CS61</f>
        <v>0</v>
      </c>
      <c r="CT11" s="34">
        <f ca="1">'Cash Flow'!CT61</f>
        <v>0</v>
      </c>
      <c r="CU11" s="34">
        <f ca="1">'Cash Flow'!CU61</f>
        <v>0</v>
      </c>
    </row>
    <row r="12" spans="1:99" x14ac:dyDescent="0.3">
      <c r="A12" s="7" t="s">
        <v>442</v>
      </c>
      <c r="B12" s="1"/>
      <c r="C12" s="11"/>
      <c r="D12" s="34">
        <f>0</f>
        <v>0</v>
      </c>
      <c r="E12" s="34">
        <f t="shared" ref="E12:AJ12" ca="1" si="3">D18</f>
        <v>285050000</v>
      </c>
      <c r="F12" s="34">
        <f t="shared" ca="1" si="3"/>
        <v>286218515</v>
      </c>
      <c r="G12" s="34">
        <f t="shared" ca="1" si="3"/>
        <v>287387030</v>
      </c>
      <c r="H12" s="34">
        <f t="shared" ca="1" si="3"/>
        <v>288555545</v>
      </c>
      <c r="I12" s="34">
        <f t="shared" ca="1" si="3"/>
        <v>289724060</v>
      </c>
      <c r="J12" s="34">
        <f t="shared" ca="1" si="3"/>
        <v>289724060</v>
      </c>
      <c r="K12" s="34">
        <f t="shared" ca="1" si="3"/>
        <v>289724060</v>
      </c>
      <c r="L12" s="34">
        <f t="shared" ca="1" si="3"/>
        <v>289724060</v>
      </c>
      <c r="M12" s="34">
        <f t="shared" ca="1" si="3"/>
        <v>296487785.56796396</v>
      </c>
      <c r="N12" s="34">
        <f t="shared" ca="1" si="3"/>
        <v>304772410.43283522</v>
      </c>
      <c r="O12" s="34">
        <f t="shared" ca="1" si="3"/>
        <v>307032439.41386056</v>
      </c>
      <c r="P12" s="34">
        <f t="shared" ca="1" si="3"/>
        <v>311698714.59241641</v>
      </c>
      <c r="Q12" s="34">
        <f t="shared" ca="1" si="3"/>
        <v>318652088.56869256</v>
      </c>
      <c r="R12" s="34">
        <f t="shared" ca="1" si="3"/>
        <v>327724475.54693258</v>
      </c>
      <c r="S12" s="34">
        <f t="shared" ca="1" si="3"/>
        <v>338700654.8550964</v>
      </c>
      <c r="T12" s="34">
        <f t="shared" ca="1" si="3"/>
        <v>351320777.68677741</v>
      </c>
      <c r="U12" s="34">
        <f t="shared" ca="1" si="3"/>
        <v>365283507.1662606</v>
      </c>
      <c r="V12" s="34">
        <f t="shared" ca="1" si="3"/>
        <v>380249698.5573222</v>
      </c>
      <c r="W12" s="34">
        <f t="shared" ca="1" si="3"/>
        <v>395846498.93556601</v>
      </c>
      <c r="X12" s="34">
        <f t="shared" ca="1" si="3"/>
        <v>411671710.99674296</v>
      </c>
      <c r="Y12" s="34">
        <f t="shared" ca="1" si="3"/>
        <v>415383240.30659461</v>
      </c>
      <c r="Z12" s="34">
        <f t="shared" ca="1" si="3"/>
        <v>415383240.30663484</v>
      </c>
      <c r="AA12" s="34">
        <f t="shared" ca="1" si="3"/>
        <v>415383240.30666673</v>
      </c>
      <c r="AB12" s="34">
        <f t="shared" ca="1" si="3"/>
        <v>415383240.30667502</v>
      </c>
      <c r="AC12" s="34">
        <f t="shared" ca="1" si="3"/>
        <v>415383240.30666727</v>
      </c>
      <c r="AD12" s="34">
        <f t="shared" ca="1" si="3"/>
        <v>415383240.30664992</v>
      </c>
      <c r="AE12" s="34">
        <f t="shared" ca="1" si="3"/>
        <v>415383240.30657083</v>
      </c>
      <c r="AF12" s="34">
        <f t="shared" ca="1" si="3"/>
        <v>415383240.30639827</v>
      </c>
      <c r="AG12" s="34">
        <f t="shared" ca="1" si="3"/>
        <v>415383240.30609405</v>
      </c>
      <c r="AH12" s="34">
        <f t="shared" ca="1" si="3"/>
        <v>415383240.3056134</v>
      </c>
      <c r="AI12" s="34">
        <f t="shared" ca="1" si="3"/>
        <v>415383240.30491275</v>
      </c>
      <c r="AJ12" s="34">
        <f t="shared" ca="1" si="3"/>
        <v>415383240.3039825</v>
      </c>
      <c r="AK12" s="34">
        <f t="shared" ref="AK12:BP12" ca="1" si="4">AJ18</f>
        <v>0</v>
      </c>
      <c r="AL12" s="34">
        <f t="shared" ca="1" si="4"/>
        <v>0</v>
      </c>
      <c r="AM12" s="34">
        <f t="shared" ca="1" si="4"/>
        <v>0</v>
      </c>
      <c r="AN12" s="34">
        <f t="shared" ca="1" si="4"/>
        <v>0</v>
      </c>
      <c r="AO12" s="34">
        <f t="shared" ca="1" si="4"/>
        <v>0</v>
      </c>
      <c r="AP12" s="34">
        <f t="shared" ca="1" si="4"/>
        <v>0</v>
      </c>
      <c r="AQ12" s="34">
        <f t="shared" ca="1" si="4"/>
        <v>0</v>
      </c>
      <c r="AR12" s="34">
        <f t="shared" ca="1" si="4"/>
        <v>0</v>
      </c>
      <c r="AS12" s="34">
        <f t="shared" ca="1" si="4"/>
        <v>0</v>
      </c>
      <c r="AT12" s="34">
        <f t="shared" ca="1" si="4"/>
        <v>0</v>
      </c>
      <c r="AU12" s="34">
        <f t="shared" ca="1" si="4"/>
        <v>0</v>
      </c>
      <c r="AV12" s="34">
        <f t="shared" ca="1" si="4"/>
        <v>0</v>
      </c>
      <c r="AW12" s="34">
        <f t="shared" ca="1" si="4"/>
        <v>0</v>
      </c>
      <c r="AX12" s="34">
        <f t="shared" ca="1" si="4"/>
        <v>0</v>
      </c>
      <c r="AY12" s="34">
        <f t="shared" ca="1" si="4"/>
        <v>0</v>
      </c>
      <c r="AZ12" s="34">
        <f t="shared" ca="1" si="4"/>
        <v>0</v>
      </c>
      <c r="BA12" s="34">
        <f t="shared" ca="1" si="4"/>
        <v>0</v>
      </c>
      <c r="BB12" s="34">
        <f t="shared" ca="1" si="4"/>
        <v>0</v>
      </c>
      <c r="BC12" s="34">
        <f t="shared" ca="1" si="4"/>
        <v>0</v>
      </c>
      <c r="BD12" s="34">
        <f t="shared" ca="1" si="4"/>
        <v>0</v>
      </c>
      <c r="BE12" s="34">
        <f t="shared" ca="1" si="4"/>
        <v>0</v>
      </c>
      <c r="BF12" s="34">
        <f t="shared" ca="1" si="4"/>
        <v>0</v>
      </c>
      <c r="BG12" s="34">
        <f t="shared" ca="1" si="4"/>
        <v>0</v>
      </c>
      <c r="BH12" s="34">
        <f t="shared" ca="1" si="4"/>
        <v>0</v>
      </c>
      <c r="BI12" s="34">
        <f t="shared" ca="1" si="4"/>
        <v>0</v>
      </c>
      <c r="BJ12" s="34">
        <f t="shared" ca="1" si="4"/>
        <v>0</v>
      </c>
      <c r="BK12" s="34">
        <f t="shared" ca="1" si="4"/>
        <v>0</v>
      </c>
      <c r="BL12" s="34">
        <f t="shared" ca="1" si="4"/>
        <v>0</v>
      </c>
      <c r="BM12" s="34">
        <f t="shared" ca="1" si="4"/>
        <v>0</v>
      </c>
      <c r="BN12" s="34">
        <f t="shared" ca="1" si="4"/>
        <v>0</v>
      </c>
      <c r="BO12" s="34">
        <f t="shared" ca="1" si="4"/>
        <v>0</v>
      </c>
      <c r="BP12" s="34">
        <f t="shared" ca="1" si="4"/>
        <v>0</v>
      </c>
      <c r="BQ12" s="34">
        <f t="shared" ref="BQ12:CU12" ca="1" si="5">BP18</f>
        <v>0</v>
      </c>
      <c r="BR12" s="34">
        <f t="shared" ca="1" si="5"/>
        <v>0</v>
      </c>
      <c r="BS12" s="34">
        <f t="shared" ca="1" si="5"/>
        <v>0</v>
      </c>
      <c r="BT12" s="34">
        <f t="shared" ca="1" si="5"/>
        <v>0</v>
      </c>
      <c r="BU12" s="34">
        <f t="shared" ca="1" si="5"/>
        <v>0</v>
      </c>
      <c r="BV12" s="34">
        <f t="shared" ca="1" si="5"/>
        <v>0</v>
      </c>
      <c r="BW12" s="34">
        <f t="shared" ca="1" si="5"/>
        <v>0</v>
      </c>
      <c r="BX12" s="34">
        <f t="shared" ca="1" si="5"/>
        <v>0</v>
      </c>
      <c r="BY12" s="34">
        <f t="shared" ca="1" si="5"/>
        <v>0</v>
      </c>
      <c r="BZ12" s="34">
        <f t="shared" ca="1" si="5"/>
        <v>0</v>
      </c>
      <c r="CA12" s="34">
        <f t="shared" ca="1" si="5"/>
        <v>0</v>
      </c>
      <c r="CB12" s="34">
        <f t="shared" ca="1" si="5"/>
        <v>0</v>
      </c>
      <c r="CC12" s="34">
        <f t="shared" ca="1" si="5"/>
        <v>0</v>
      </c>
      <c r="CD12" s="34">
        <f t="shared" ca="1" si="5"/>
        <v>0</v>
      </c>
      <c r="CE12" s="34">
        <f t="shared" ca="1" si="5"/>
        <v>0</v>
      </c>
      <c r="CF12" s="34">
        <f t="shared" ca="1" si="5"/>
        <v>0</v>
      </c>
      <c r="CG12" s="34">
        <f t="shared" ca="1" si="5"/>
        <v>0</v>
      </c>
      <c r="CH12" s="34">
        <f t="shared" ca="1" si="5"/>
        <v>0</v>
      </c>
      <c r="CI12" s="34">
        <f t="shared" ca="1" si="5"/>
        <v>0</v>
      </c>
      <c r="CJ12" s="34">
        <f t="shared" ca="1" si="5"/>
        <v>0</v>
      </c>
      <c r="CK12" s="34">
        <f t="shared" ca="1" si="5"/>
        <v>0</v>
      </c>
      <c r="CL12" s="34">
        <f t="shared" ca="1" si="5"/>
        <v>0</v>
      </c>
      <c r="CM12" s="34">
        <f t="shared" ca="1" si="5"/>
        <v>0</v>
      </c>
      <c r="CN12" s="34">
        <f t="shared" ca="1" si="5"/>
        <v>0</v>
      </c>
      <c r="CO12" s="34">
        <f t="shared" ca="1" si="5"/>
        <v>0</v>
      </c>
      <c r="CP12" s="34">
        <f t="shared" ca="1" si="5"/>
        <v>0</v>
      </c>
      <c r="CQ12" s="34">
        <f t="shared" ca="1" si="5"/>
        <v>0</v>
      </c>
      <c r="CR12" s="34">
        <f t="shared" ca="1" si="5"/>
        <v>0</v>
      </c>
      <c r="CS12" s="34">
        <f t="shared" ca="1" si="5"/>
        <v>0</v>
      </c>
      <c r="CT12" s="34">
        <f t="shared" ca="1" si="5"/>
        <v>0</v>
      </c>
      <c r="CU12" s="34">
        <f t="shared" ca="1" si="5"/>
        <v>0</v>
      </c>
    </row>
    <row r="13" spans="1:99" x14ac:dyDescent="0.3">
      <c r="A13" s="7" t="s">
        <v>443</v>
      </c>
      <c r="B13" s="1"/>
      <c r="C13" s="11"/>
      <c r="D13" s="34">
        <f>0</f>
        <v>0</v>
      </c>
      <c r="E13" s="34">
        <f t="shared" ref="E13:AJ13" ca="1" si="6">D19</f>
        <v>0</v>
      </c>
      <c r="F13" s="34">
        <f t="shared" ca="1" si="6"/>
        <v>2273028.7292590179</v>
      </c>
      <c r="G13" s="34">
        <f t="shared" ca="1" si="6"/>
        <v>4573500.811507361</v>
      </c>
      <c r="H13" s="34">
        <f t="shared" ca="1" si="6"/>
        <v>6901635.0838956051</v>
      </c>
      <c r="I13" s="34">
        <f t="shared" ca="1" si="6"/>
        <v>9257652.1286124978</v>
      </c>
      <c r="J13" s="34">
        <f t="shared" ca="1" si="6"/>
        <v>11641774.286800135</v>
      </c>
      <c r="K13" s="34">
        <f t="shared" ca="1" si="6"/>
        <v>14044907.769876819</v>
      </c>
      <c r="L13" s="34">
        <f t="shared" ca="1" si="6"/>
        <v>16467204.176816959</v>
      </c>
      <c r="M13" s="34">
        <f t="shared" ca="1" si="6"/>
        <v>18908816.315466467</v>
      </c>
      <c r="N13" s="34">
        <f t="shared" ca="1" si="6"/>
        <v>21423833.109683998</v>
      </c>
      <c r="O13" s="34">
        <f t="shared" ca="1" si="6"/>
        <v>24024967.763072945</v>
      </c>
      <c r="P13" s="34">
        <f t="shared" ca="1" si="6"/>
        <v>26664866.017930597</v>
      </c>
      <c r="Q13" s="34">
        <f t="shared" ca="1" si="6"/>
        <v>29363024.725744192</v>
      </c>
      <c r="R13" s="34">
        <f t="shared" ca="1" si="6"/>
        <v>32138146.110534839</v>
      </c>
      <c r="S13" s="34">
        <f t="shared" ca="1" si="6"/>
        <v>35007741.19074484</v>
      </c>
      <c r="T13" s="34">
        <f t="shared" ca="1" si="6"/>
        <v>37987744.420274526</v>
      </c>
      <c r="U13" s="34">
        <f t="shared" ca="1" si="6"/>
        <v>41092145.245724723</v>
      </c>
      <c r="V13" s="34">
        <f t="shared" ca="1" si="6"/>
        <v>44332641.764944568</v>
      </c>
      <c r="W13" s="34">
        <f t="shared" ca="1" si="6"/>
        <v>47718320.970305882</v>
      </c>
      <c r="X13" s="34">
        <f t="shared" ca="1" si="6"/>
        <v>51255369.133555226</v>
      </c>
      <c r="Y13" s="34">
        <f t="shared" ca="1" si="6"/>
        <v>54946814.678854726</v>
      </c>
      <c r="Z13" s="34">
        <f t="shared" ca="1" si="6"/>
        <v>58697292.585241102</v>
      </c>
      <c r="AA13" s="34">
        <f t="shared" ca="1" si="6"/>
        <v>62477677.32912901</v>
      </c>
      <c r="AB13" s="34">
        <f t="shared" ca="1" si="6"/>
        <v>66288207.391840242</v>
      </c>
      <c r="AC13" s="34">
        <f t="shared" ca="1" si="6"/>
        <v>70129123.156380489</v>
      </c>
      <c r="AD13" s="34">
        <f t="shared" ca="1" si="6"/>
        <v>74000666.922603697</v>
      </c>
      <c r="AE13" s="34">
        <f t="shared" ca="1" si="6"/>
        <v>77903082.922495037</v>
      </c>
      <c r="AF13" s="34">
        <f t="shared" ca="1" si="6"/>
        <v>81836617.335579321</v>
      </c>
      <c r="AG13" s="34">
        <f t="shared" ca="1" si="6"/>
        <v>85801518.304450423</v>
      </c>
      <c r="AH13" s="34">
        <f t="shared" ca="1" si="6"/>
        <v>89798035.950424552</v>
      </c>
      <c r="AI13" s="34">
        <f t="shared" ca="1" si="6"/>
        <v>93826422.389319256</v>
      </c>
      <c r="AJ13" s="34">
        <f t="shared" ca="1" si="6"/>
        <v>97886931.747360572</v>
      </c>
      <c r="AK13" s="34">
        <f t="shared" ref="AK13:BP13" ca="1" si="7">AJ19</f>
        <v>0</v>
      </c>
      <c r="AL13" s="34">
        <f t="shared" ca="1" si="7"/>
        <v>0</v>
      </c>
      <c r="AM13" s="34">
        <f t="shared" ca="1" si="7"/>
        <v>0</v>
      </c>
      <c r="AN13" s="34">
        <f t="shared" ca="1" si="7"/>
        <v>0</v>
      </c>
      <c r="AO13" s="34">
        <f t="shared" ca="1" si="7"/>
        <v>0</v>
      </c>
      <c r="AP13" s="34">
        <f t="shared" ca="1" si="7"/>
        <v>0</v>
      </c>
      <c r="AQ13" s="34">
        <f t="shared" ca="1" si="7"/>
        <v>0</v>
      </c>
      <c r="AR13" s="34">
        <f t="shared" ca="1" si="7"/>
        <v>0</v>
      </c>
      <c r="AS13" s="34">
        <f t="shared" ca="1" si="7"/>
        <v>0</v>
      </c>
      <c r="AT13" s="34">
        <f t="shared" ca="1" si="7"/>
        <v>0</v>
      </c>
      <c r="AU13" s="34">
        <f t="shared" ca="1" si="7"/>
        <v>0</v>
      </c>
      <c r="AV13" s="34">
        <f t="shared" ca="1" si="7"/>
        <v>0</v>
      </c>
      <c r="AW13" s="34">
        <f t="shared" ca="1" si="7"/>
        <v>0</v>
      </c>
      <c r="AX13" s="34">
        <f t="shared" ca="1" si="7"/>
        <v>0</v>
      </c>
      <c r="AY13" s="34">
        <f t="shared" ca="1" si="7"/>
        <v>0</v>
      </c>
      <c r="AZ13" s="34">
        <f t="shared" ca="1" si="7"/>
        <v>0</v>
      </c>
      <c r="BA13" s="34">
        <f t="shared" ca="1" si="7"/>
        <v>0</v>
      </c>
      <c r="BB13" s="34">
        <f t="shared" ca="1" si="7"/>
        <v>0</v>
      </c>
      <c r="BC13" s="34">
        <f t="shared" ca="1" si="7"/>
        <v>0</v>
      </c>
      <c r="BD13" s="34">
        <f t="shared" ca="1" si="7"/>
        <v>0</v>
      </c>
      <c r="BE13" s="34">
        <f t="shared" ca="1" si="7"/>
        <v>0</v>
      </c>
      <c r="BF13" s="34">
        <f t="shared" ca="1" si="7"/>
        <v>0</v>
      </c>
      <c r="BG13" s="34">
        <f t="shared" ca="1" si="7"/>
        <v>0</v>
      </c>
      <c r="BH13" s="34">
        <f t="shared" ca="1" si="7"/>
        <v>0</v>
      </c>
      <c r="BI13" s="34">
        <f t="shared" ca="1" si="7"/>
        <v>0</v>
      </c>
      <c r="BJ13" s="34">
        <f t="shared" ca="1" si="7"/>
        <v>0</v>
      </c>
      <c r="BK13" s="34">
        <f t="shared" ca="1" si="7"/>
        <v>0</v>
      </c>
      <c r="BL13" s="34">
        <f t="shared" ca="1" si="7"/>
        <v>0</v>
      </c>
      <c r="BM13" s="34">
        <f t="shared" ca="1" si="7"/>
        <v>0</v>
      </c>
      <c r="BN13" s="34">
        <f t="shared" ca="1" si="7"/>
        <v>0</v>
      </c>
      <c r="BO13" s="34">
        <f t="shared" ca="1" si="7"/>
        <v>0</v>
      </c>
      <c r="BP13" s="34">
        <f t="shared" ca="1" si="7"/>
        <v>0</v>
      </c>
      <c r="BQ13" s="34">
        <f t="shared" ref="BQ13:CU13" ca="1" si="8">BP19</f>
        <v>0</v>
      </c>
      <c r="BR13" s="34">
        <f t="shared" ca="1" si="8"/>
        <v>0</v>
      </c>
      <c r="BS13" s="34">
        <f t="shared" ca="1" si="8"/>
        <v>0</v>
      </c>
      <c r="BT13" s="34">
        <f t="shared" ca="1" si="8"/>
        <v>0</v>
      </c>
      <c r="BU13" s="34">
        <f t="shared" ca="1" si="8"/>
        <v>0</v>
      </c>
      <c r="BV13" s="34">
        <f t="shared" ca="1" si="8"/>
        <v>0</v>
      </c>
      <c r="BW13" s="34">
        <f t="shared" ca="1" si="8"/>
        <v>0</v>
      </c>
      <c r="BX13" s="34">
        <f t="shared" ca="1" si="8"/>
        <v>0</v>
      </c>
      <c r="BY13" s="34">
        <f t="shared" ca="1" si="8"/>
        <v>0</v>
      </c>
      <c r="BZ13" s="34">
        <f t="shared" ca="1" si="8"/>
        <v>0</v>
      </c>
      <c r="CA13" s="34">
        <f t="shared" ca="1" si="8"/>
        <v>0</v>
      </c>
      <c r="CB13" s="34">
        <f t="shared" ca="1" si="8"/>
        <v>0</v>
      </c>
      <c r="CC13" s="34">
        <f t="shared" ca="1" si="8"/>
        <v>0</v>
      </c>
      <c r="CD13" s="34">
        <f t="shared" ca="1" si="8"/>
        <v>0</v>
      </c>
      <c r="CE13" s="34">
        <f t="shared" ca="1" si="8"/>
        <v>0</v>
      </c>
      <c r="CF13" s="34">
        <f t="shared" ca="1" si="8"/>
        <v>0</v>
      </c>
      <c r="CG13" s="34">
        <f t="shared" ca="1" si="8"/>
        <v>0</v>
      </c>
      <c r="CH13" s="34">
        <f t="shared" ca="1" si="8"/>
        <v>0</v>
      </c>
      <c r="CI13" s="34">
        <f t="shared" ca="1" si="8"/>
        <v>0</v>
      </c>
      <c r="CJ13" s="34">
        <f t="shared" ca="1" si="8"/>
        <v>0</v>
      </c>
      <c r="CK13" s="34">
        <f t="shared" ca="1" si="8"/>
        <v>0</v>
      </c>
      <c r="CL13" s="34">
        <f t="shared" ca="1" si="8"/>
        <v>0</v>
      </c>
      <c r="CM13" s="34">
        <f t="shared" ca="1" si="8"/>
        <v>0</v>
      </c>
      <c r="CN13" s="34">
        <f t="shared" ca="1" si="8"/>
        <v>0</v>
      </c>
      <c r="CO13" s="34">
        <f t="shared" ca="1" si="8"/>
        <v>0</v>
      </c>
      <c r="CP13" s="34">
        <f t="shared" ca="1" si="8"/>
        <v>0</v>
      </c>
      <c r="CQ13" s="34">
        <f t="shared" ca="1" si="8"/>
        <v>0</v>
      </c>
      <c r="CR13" s="34">
        <f t="shared" ca="1" si="8"/>
        <v>0</v>
      </c>
      <c r="CS13" s="34">
        <f t="shared" ca="1" si="8"/>
        <v>0</v>
      </c>
      <c r="CT13" s="34">
        <f t="shared" ca="1" si="8"/>
        <v>0</v>
      </c>
      <c r="CU13" s="34">
        <f t="shared" ca="1" si="8"/>
        <v>0</v>
      </c>
    </row>
    <row r="14" spans="1:99" x14ac:dyDescent="0.3">
      <c r="A14" s="7" t="s">
        <v>444</v>
      </c>
      <c r="B14" s="21">
        <f ca="1">SUM(D14:CU14)</f>
        <v>101979820.17732699</v>
      </c>
      <c r="C14" s="11"/>
      <c r="D14" s="34">
        <f t="shared" ref="D14:AI14" si="9">(D12+D13)*W_rp</f>
        <v>0</v>
      </c>
      <c r="E14" s="34">
        <f t="shared" ca="1" si="9"/>
        <v>2273028.7292590179</v>
      </c>
      <c r="F14" s="34">
        <f t="shared" ca="1" si="9"/>
        <v>2300472.0822483427</v>
      </c>
      <c r="G14" s="34">
        <f t="shared" ca="1" si="9"/>
        <v>2328134.272388244</v>
      </c>
      <c r="H14" s="34">
        <f t="shared" ca="1" si="9"/>
        <v>2356017.0447168923</v>
      </c>
      <c r="I14" s="34">
        <f t="shared" ca="1" si="9"/>
        <v>2384122.1581876362</v>
      </c>
      <c r="J14" s="34">
        <f t="shared" ca="1" si="9"/>
        <v>2403133.4830766851</v>
      </c>
      <c r="K14" s="34">
        <f t="shared" ca="1" si="9"/>
        <v>2422296.4069401394</v>
      </c>
      <c r="L14" s="34">
        <f t="shared" ca="1" si="9"/>
        <v>2441612.1386495088</v>
      </c>
      <c r="M14" s="34">
        <f t="shared" ca="1" si="9"/>
        <v>2515016.7942175278</v>
      </c>
      <c r="N14" s="34">
        <f t="shared" ca="1" si="9"/>
        <v>2601134.6533889407</v>
      </c>
      <c r="O14" s="34">
        <f t="shared" ca="1" si="9"/>
        <v>2639898.2548576407</v>
      </c>
      <c r="P14" s="34">
        <f t="shared" ca="1" si="9"/>
        <v>2698158.7078136061</v>
      </c>
      <c r="Q14" s="34">
        <f t="shared" ca="1" si="9"/>
        <v>2775121.384790692</v>
      </c>
      <c r="R14" s="34">
        <f t="shared" ca="1" si="9"/>
        <v>2869595.0802101102</v>
      </c>
      <c r="S14" s="34">
        <f t="shared" ca="1" si="9"/>
        <v>2980003.2295299219</v>
      </c>
      <c r="T14" s="34">
        <f t="shared" ca="1" si="9"/>
        <v>3104400.8254506178</v>
      </c>
      <c r="U14" s="34">
        <f t="shared" ca="1" si="9"/>
        <v>3240496.5192205557</v>
      </c>
      <c r="V14" s="34">
        <f t="shared" ca="1" si="9"/>
        <v>3385679.2053623642</v>
      </c>
      <c r="W14" s="34">
        <f t="shared" ca="1" si="9"/>
        <v>3537048.16325083</v>
      </c>
      <c r="X14" s="34">
        <f t="shared" ca="1" si="9"/>
        <v>3691445.5453013834</v>
      </c>
      <c r="Y14" s="34">
        <f t="shared" ca="1" si="9"/>
        <v>3750477.906388002</v>
      </c>
      <c r="Z14" s="34">
        <f t="shared" ca="1" si="9"/>
        <v>3780384.7438893486</v>
      </c>
      <c r="AA14" s="34">
        <f t="shared" ca="1" si="9"/>
        <v>3810530.0627126503</v>
      </c>
      <c r="AB14" s="34">
        <f t="shared" ca="1" si="9"/>
        <v>3840915.7645413354</v>
      </c>
      <c r="AC14" s="34">
        <f t="shared" ca="1" si="9"/>
        <v>3871543.7662233077</v>
      </c>
      <c r="AD14" s="34">
        <f t="shared" ca="1" si="9"/>
        <v>3902415.9998916807</v>
      </c>
      <c r="AE14" s="34">
        <f t="shared" ca="1" si="9"/>
        <v>3933534.4130861843</v>
      </c>
      <c r="AF14" s="34">
        <f t="shared" ca="1" si="9"/>
        <v>3964900.9688766678</v>
      </c>
      <c r="AG14" s="34">
        <f t="shared" ca="1" si="9"/>
        <v>3996517.6459867163</v>
      </c>
      <c r="AH14" s="34">
        <f t="shared" ca="1" si="9"/>
        <v>4028386.4389184737</v>
      </c>
      <c r="AI14" s="34">
        <f t="shared" ca="1" si="9"/>
        <v>4060509.358078524</v>
      </c>
      <c r="AJ14" s="34">
        <f t="shared" ref="AJ14:BO14" ca="1" si="10">(AJ12+AJ13)*W_rp</f>
        <v>4092888.4299050057</v>
      </c>
      <c r="AK14" s="34">
        <f t="shared" ca="1" si="10"/>
        <v>0</v>
      </c>
      <c r="AL14" s="34">
        <f t="shared" ca="1" si="10"/>
        <v>0</v>
      </c>
      <c r="AM14" s="34">
        <f t="shared" ca="1" si="10"/>
        <v>0</v>
      </c>
      <c r="AN14" s="34">
        <f t="shared" ca="1" si="10"/>
        <v>0</v>
      </c>
      <c r="AO14" s="34">
        <f t="shared" ca="1" si="10"/>
        <v>0</v>
      </c>
      <c r="AP14" s="34">
        <f t="shared" ca="1" si="10"/>
        <v>0</v>
      </c>
      <c r="AQ14" s="34">
        <f t="shared" ca="1" si="10"/>
        <v>0</v>
      </c>
      <c r="AR14" s="34">
        <f t="shared" ca="1" si="10"/>
        <v>0</v>
      </c>
      <c r="AS14" s="34">
        <f t="shared" ca="1" si="10"/>
        <v>0</v>
      </c>
      <c r="AT14" s="34">
        <f t="shared" ca="1" si="10"/>
        <v>0</v>
      </c>
      <c r="AU14" s="34">
        <f t="shared" ca="1" si="10"/>
        <v>0</v>
      </c>
      <c r="AV14" s="34">
        <f t="shared" ca="1" si="10"/>
        <v>0</v>
      </c>
      <c r="AW14" s="34">
        <f t="shared" ca="1" si="10"/>
        <v>0</v>
      </c>
      <c r="AX14" s="34">
        <f t="shared" ca="1" si="10"/>
        <v>0</v>
      </c>
      <c r="AY14" s="34">
        <f t="shared" ca="1" si="10"/>
        <v>0</v>
      </c>
      <c r="AZ14" s="34">
        <f t="shared" ca="1" si="10"/>
        <v>0</v>
      </c>
      <c r="BA14" s="34">
        <f t="shared" ca="1" si="10"/>
        <v>0</v>
      </c>
      <c r="BB14" s="34">
        <f t="shared" ca="1" si="10"/>
        <v>0</v>
      </c>
      <c r="BC14" s="34">
        <f t="shared" ca="1" si="10"/>
        <v>0</v>
      </c>
      <c r="BD14" s="34">
        <f t="shared" ca="1" si="10"/>
        <v>0</v>
      </c>
      <c r="BE14" s="34">
        <f t="shared" ca="1" si="10"/>
        <v>0</v>
      </c>
      <c r="BF14" s="34">
        <f t="shared" ca="1" si="10"/>
        <v>0</v>
      </c>
      <c r="BG14" s="34">
        <f t="shared" ca="1" si="10"/>
        <v>0</v>
      </c>
      <c r="BH14" s="34">
        <f t="shared" ca="1" si="10"/>
        <v>0</v>
      </c>
      <c r="BI14" s="34">
        <f t="shared" ca="1" si="10"/>
        <v>0</v>
      </c>
      <c r="BJ14" s="34">
        <f t="shared" ca="1" si="10"/>
        <v>0</v>
      </c>
      <c r="BK14" s="34">
        <f t="shared" ca="1" si="10"/>
        <v>0</v>
      </c>
      <c r="BL14" s="34">
        <f t="shared" ca="1" si="10"/>
        <v>0</v>
      </c>
      <c r="BM14" s="34">
        <f t="shared" ca="1" si="10"/>
        <v>0</v>
      </c>
      <c r="BN14" s="34">
        <f t="shared" ca="1" si="10"/>
        <v>0</v>
      </c>
      <c r="BO14" s="34">
        <f t="shared" ca="1" si="10"/>
        <v>0</v>
      </c>
      <c r="BP14" s="34">
        <f t="shared" ref="BP14:CU14" ca="1" si="11">(BP12+BP13)*W_rp</f>
        <v>0</v>
      </c>
      <c r="BQ14" s="34">
        <f t="shared" ca="1" si="11"/>
        <v>0</v>
      </c>
      <c r="BR14" s="34">
        <f t="shared" ca="1" si="11"/>
        <v>0</v>
      </c>
      <c r="BS14" s="34">
        <f t="shared" ca="1" si="11"/>
        <v>0</v>
      </c>
      <c r="BT14" s="34">
        <f t="shared" ca="1" si="11"/>
        <v>0</v>
      </c>
      <c r="BU14" s="34">
        <f t="shared" ca="1" si="11"/>
        <v>0</v>
      </c>
      <c r="BV14" s="34">
        <f t="shared" ca="1" si="11"/>
        <v>0</v>
      </c>
      <c r="BW14" s="34">
        <f t="shared" ca="1" si="11"/>
        <v>0</v>
      </c>
      <c r="BX14" s="34">
        <f t="shared" ca="1" si="11"/>
        <v>0</v>
      </c>
      <c r="BY14" s="34">
        <f t="shared" ca="1" si="11"/>
        <v>0</v>
      </c>
      <c r="BZ14" s="34">
        <f t="shared" ca="1" si="11"/>
        <v>0</v>
      </c>
      <c r="CA14" s="34">
        <f t="shared" ca="1" si="11"/>
        <v>0</v>
      </c>
      <c r="CB14" s="34">
        <f t="shared" ca="1" si="11"/>
        <v>0</v>
      </c>
      <c r="CC14" s="34">
        <f t="shared" ca="1" si="11"/>
        <v>0</v>
      </c>
      <c r="CD14" s="34">
        <f t="shared" ca="1" si="11"/>
        <v>0</v>
      </c>
      <c r="CE14" s="34">
        <f t="shared" ca="1" si="11"/>
        <v>0</v>
      </c>
      <c r="CF14" s="34">
        <f t="shared" ca="1" si="11"/>
        <v>0</v>
      </c>
      <c r="CG14" s="34">
        <f t="shared" ca="1" si="11"/>
        <v>0</v>
      </c>
      <c r="CH14" s="34">
        <f t="shared" ca="1" si="11"/>
        <v>0</v>
      </c>
      <c r="CI14" s="34">
        <f t="shared" ca="1" si="11"/>
        <v>0</v>
      </c>
      <c r="CJ14" s="34">
        <f t="shared" ca="1" si="11"/>
        <v>0</v>
      </c>
      <c r="CK14" s="34">
        <f t="shared" ca="1" si="11"/>
        <v>0</v>
      </c>
      <c r="CL14" s="34">
        <f t="shared" ca="1" si="11"/>
        <v>0</v>
      </c>
      <c r="CM14" s="34">
        <f t="shared" ca="1" si="11"/>
        <v>0</v>
      </c>
      <c r="CN14" s="34">
        <f t="shared" ca="1" si="11"/>
        <v>0</v>
      </c>
      <c r="CO14" s="34">
        <f t="shared" ca="1" si="11"/>
        <v>0</v>
      </c>
      <c r="CP14" s="34">
        <f t="shared" ca="1" si="11"/>
        <v>0</v>
      </c>
      <c r="CQ14" s="34">
        <f t="shared" ca="1" si="11"/>
        <v>0</v>
      </c>
      <c r="CR14" s="34">
        <f t="shared" ca="1" si="11"/>
        <v>0</v>
      </c>
      <c r="CS14" s="34">
        <f t="shared" ca="1" si="11"/>
        <v>0</v>
      </c>
      <c r="CT14" s="34">
        <f t="shared" ca="1" si="11"/>
        <v>0</v>
      </c>
      <c r="CU14" s="34">
        <f t="shared" ca="1" si="11"/>
        <v>0</v>
      </c>
    </row>
    <row r="15" spans="1:99" x14ac:dyDescent="0.3">
      <c r="A15" s="7" t="s">
        <v>445</v>
      </c>
      <c r="B15" s="21">
        <f ca="1">SUM(D15:CU15)</f>
        <v>415383240.30282205</v>
      </c>
      <c r="C15" s="11"/>
      <c r="D15" s="34">
        <f t="shared" ref="D15:AI15" ca="1" si="12">MIN(D11,D12+D10)</f>
        <v>0</v>
      </c>
      <c r="E15" s="34">
        <f t="shared" ca="1" si="12"/>
        <v>0</v>
      </c>
      <c r="F15" s="34">
        <f t="shared" ca="1" si="12"/>
        <v>0</v>
      </c>
      <c r="G15" s="34">
        <f t="shared" ca="1" si="12"/>
        <v>0</v>
      </c>
      <c r="H15" s="34">
        <f t="shared" ca="1" si="12"/>
        <v>0</v>
      </c>
      <c r="I15" s="34">
        <f t="shared" ca="1" si="12"/>
        <v>0</v>
      </c>
      <c r="J15" s="34">
        <f t="shared" ca="1" si="12"/>
        <v>0</v>
      </c>
      <c r="K15" s="34">
        <f t="shared" ca="1" si="12"/>
        <v>0</v>
      </c>
      <c r="L15" s="34">
        <f t="shared" ca="1" si="12"/>
        <v>0</v>
      </c>
      <c r="M15" s="34">
        <f t="shared" ca="1" si="12"/>
        <v>0</v>
      </c>
      <c r="N15" s="34">
        <f t="shared" ca="1" si="12"/>
        <v>0</v>
      </c>
      <c r="O15" s="34">
        <f t="shared" ca="1" si="12"/>
        <v>0</v>
      </c>
      <c r="P15" s="34">
        <f t="shared" ca="1" si="12"/>
        <v>0</v>
      </c>
      <c r="Q15" s="34">
        <f t="shared" ca="1" si="12"/>
        <v>0</v>
      </c>
      <c r="R15" s="34">
        <f t="shared" ca="1" si="12"/>
        <v>0</v>
      </c>
      <c r="S15" s="34">
        <f t="shared" ca="1" si="12"/>
        <v>0</v>
      </c>
      <c r="T15" s="34">
        <f t="shared" ca="1" si="12"/>
        <v>0</v>
      </c>
      <c r="U15" s="34">
        <f t="shared" ca="1" si="12"/>
        <v>0</v>
      </c>
      <c r="V15" s="34">
        <f t="shared" ca="1" si="12"/>
        <v>0</v>
      </c>
      <c r="W15" s="34">
        <f t="shared" ca="1" si="12"/>
        <v>0</v>
      </c>
      <c r="X15" s="34">
        <f t="shared" ca="1" si="12"/>
        <v>0</v>
      </c>
      <c r="Y15" s="34">
        <f t="shared" ca="1" si="12"/>
        <v>0</v>
      </c>
      <c r="Z15" s="34">
        <f t="shared" ca="1" si="12"/>
        <v>0</v>
      </c>
      <c r="AA15" s="34">
        <f t="shared" ca="1" si="12"/>
        <v>0</v>
      </c>
      <c r="AB15" s="34">
        <f t="shared" ca="1" si="12"/>
        <v>0</v>
      </c>
      <c r="AC15" s="34">
        <f t="shared" ca="1" si="12"/>
        <v>0</v>
      </c>
      <c r="AD15" s="34">
        <f t="shared" ca="1" si="12"/>
        <v>0</v>
      </c>
      <c r="AE15" s="34">
        <f t="shared" ca="1" si="12"/>
        <v>0</v>
      </c>
      <c r="AF15" s="34">
        <f t="shared" ca="1" si="12"/>
        <v>0</v>
      </c>
      <c r="AG15" s="34">
        <f t="shared" ca="1" si="12"/>
        <v>0</v>
      </c>
      <c r="AH15" s="34">
        <f t="shared" ca="1" si="12"/>
        <v>0</v>
      </c>
      <c r="AI15" s="34">
        <f t="shared" ca="1" si="12"/>
        <v>0</v>
      </c>
      <c r="AJ15" s="34">
        <f t="shared" ref="AJ15:BO15" ca="1" si="13">MIN(AJ11,AJ12+AJ10)</f>
        <v>415383240.3039825</v>
      </c>
      <c r="AK15" s="34">
        <f t="shared" ca="1" si="13"/>
        <v>0</v>
      </c>
      <c r="AL15" s="34">
        <f t="shared" ca="1" si="13"/>
        <v>0</v>
      </c>
      <c r="AM15" s="34">
        <f t="shared" ca="1" si="13"/>
        <v>0</v>
      </c>
      <c r="AN15" s="34">
        <f t="shared" ca="1" si="13"/>
        <v>0</v>
      </c>
      <c r="AO15" s="34">
        <f t="shared" ca="1" si="13"/>
        <v>0</v>
      </c>
      <c r="AP15" s="34">
        <f t="shared" ca="1" si="13"/>
        <v>0</v>
      </c>
      <c r="AQ15" s="34">
        <f t="shared" ca="1" si="13"/>
        <v>0</v>
      </c>
      <c r="AR15" s="34">
        <f t="shared" ca="1" si="13"/>
        <v>0</v>
      </c>
      <c r="AS15" s="34">
        <f t="shared" ca="1" si="13"/>
        <v>0</v>
      </c>
      <c r="AT15" s="34">
        <f t="shared" ca="1" si="13"/>
        <v>0</v>
      </c>
      <c r="AU15" s="34">
        <f t="shared" ca="1" si="13"/>
        <v>0</v>
      </c>
      <c r="AV15" s="34">
        <f t="shared" ca="1" si="13"/>
        <v>0</v>
      </c>
      <c r="AW15" s="34">
        <f t="shared" ca="1" si="13"/>
        <v>0</v>
      </c>
      <c r="AX15" s="34">
        <f t="shared" ca="1" si="13"/>
        <v>0</v>
      </c>
      <c r="AY15" s="34">
        <f t="shared" ca="1" si="13"/>
        <v>0</v>
      </c>
      <c r="AZ15" s="34">
        <f t="shared" ca="1" si="13"/>
        <v>0</v>
      </c>
      <c r="BA15" s="34">
        <f t="shared" ca="1" si="13"/>
        <v>0</v>
      </c>
      <c r="BB15" s="34">
        <f t="shared" ca="1" si="13"/>
        <v>0</v>
      </c>
      <c r="BC15" s="34">
        <f t="shared" ca="1" si="13"/>
        <v>0</v>
      </c>
      <c r="BD15" s="34">
        <f t="shared" ca="1" si="13"/>
        <v>0</v>
      </c>
      <c r="BE15" s="34">
        <f t="shared" ca="1" si="13"/>
        <v>0</v>
      </c>
      <c r="BF15" s="34">
        <f t="shared" ca="1" si="13"/>
        <v>0</v>
      </c>
      <c r="BG15" s="34">
        <f t="shared" ca="1" si="13"/>
        <v>0</v>
      </c>
      <c r="BH15" s="34">
        <f t="shared" ca="1" si="13"/>
        <v>0</v>
      </c>
      <c r="BI15" s="34">
        <f t="shared" ca="1" si="13"/>
        <v>0</v>
      </c>
      <c r="BJ15" s="34">
        <f t="shared" ca="1" si="13"/>
        <v>0</v>
      </c>
      <c r="BK15" s="34">
        <f t="shared" ca="1" si="13"/>
        <v>0</v>
      </c>
      <c r="BL15" s="34">
        <f t="shared" ca="1" si="13"/>
        <v>0</v>
      </c>
      <c r="BM15" s="34">
        <f t="shared" ca="1" si="13"/>
        <v>0</v>
      </c>
      <c r="BN15" s="34">
        <f t="shared" ca="1" si="13"/>
        <v>0</v>
      </c>
      <c r="BO15" s="34">
        <f t="shared" ca="1" si="13"/>
        <v>0</v>
      </c>
      <c r="BP15" s="34">
        <f t="shared" ref="BP15:CU15" ca="1" si="14">MIN(BP11,BP12+BP10)</f>
        <v>0</v>
      </c>
      <c r="BQ15" s="34">
        <f t="shared" ca="1" si="14"/>
        <v>0</v>
      </c>
      <c r="BR15" s="34">
        <f t="shared" ca="1" si="14"/>
        <v>0</v>
      </c>
      <c r="BS15" s="34">
        <f t="shared" ca="1" si="14"/>
        <v>0</v>
      </c>
      <c r="BT15" s="34">
        <f t="shared" ca="1" si="14"/>
        <v>0</v>
      </c>
      <c r="BU15" s="34">
        <f t="shared" ca="1" si="14"/>
        <v>0</v>
      </c>
      <c r="BV15" s="34">
        <f t="shared" ca="1" si="14"/>
        <v>0</v>
      </c>
      <c r="BW15" s="34">
        <f t="shared" ca="1" si="14"/>
        <v>0</v>
      </c>
      <c r="BX15" s="34">
        <f t="shared" ca="1" si="14"/>
        <v>0</v>
      </c>
      <c r="BY15" s="34">
        <f t="shared" ca="1" si="14"/>
        <v>0</v>
      </c>
      <c r="BZ15" s="34">
        <f t="shared" ca="1" si="14"/>
        <v>0</v>
      </c>
      <c r="CA15" s="34">
        <f t="shared" ca="1" si="14"/>
        <v>0</v>
      </c>
      <c r="CB15" s="34">
        <f t="shared" ca="1" si="14"/>
        <v>0</v>
      </c>
      <c r="CC15" s="34">
        <f t="shared" ca="1" si="14"/>
        <v>0</v>
      </c>
      <c r="CD15" s="34">
        <f t="shared" ca="1" si="14"/>
        <v>0</v>
      </c>
      <c r="CE15" s="34">
        <f t="shared" ca="1" si="14"/>
        <v>0</v>
      </c>
      <c r="CF15" s="34">
        <f t="shared" ca="1" si="14"/>
        <v>0</v>
      </c>
      <c r="CG15" s="34">
        <f t="shared" ca="1" si="14"/>
        <v>0</v>
      </c>
      <c r="CH15" s="34">
        <f t="shared" ca="1" si="14"/>
        <v>0</v>
      </c>
      <c r="CI15" s="34">
        <f t="shared" ca="1" si="14"/>
        <v>0</v>
      </c>
      <c r="CJ15" s="34">
        <f t="shared" ca="1" si="14"/>
        <v>0</v>
      </c>
      <c r="CK15" s="34">
        <f t="shared" ca="1" si="14"/>
        <v>0</v>
      </c>
      <c r="CL15" s="34">
        <f t="shared" ca="1" si="14"/>
        <v>0</v>
      </c>
      <c r="CM15" s="34">
        <f t="shared" ca="1" si="14"/>
        <v>0</v>
      </c>
      <c r="CN15" s="34">
        <f t="shared" ca="1" si="14"/>
        <v>0</v>
      </c>
      <c r="CO15" s="34">
        <f t="shared" ca="1" si="14"/>
        <v>0</v>
      </c>
      <c r="CP15" s="34">
        <f t="shared" ca="1" si="14"/>
        <v>0</v>
      </c>
      <c r="CQ15" s="34">
        <f t="shared" ca="1" si="14"/>
        <v>0</v>
      </c>
      <c r="CR15" s="34">
        <f t="shared" ca="1" si="14"/>
        <v>0</v>
      </c>
      <c r="CS15" s="34">
        <f t="shared" ca="1" si="14"/>
        <v>0</v>
      </c>
      <c r="CT15" s="34">
        <f t="shared" ca="1" si="14"/>
        <v>0</v>
      </c>
      <c r="CU15" s="34">
        <f t="shared" ca="1" si="14"/>
        <v>0</v>
      </c>
    </row>
    <row r="16" spans="1:99" x14ac:dyDescent="0.3">
      <c r="A16" s="7" t="s">
        <v>446</v>
      </c>
      <c r="B16" s="21">
        <f ca="1">SUM(D16:CU16)</f>
        <v>101979820.17721163</v>
      </c>
      <c r="C16" s="11"/>
      <c r="D16" s="34">
        <f t="shared" ref="D16:AI16" ca="1" si="15">MIN(D11-D15,D13+D14)</f>
        <v>0</v>
      </c>
      <c r="E16" s="34">
        <f t="shared" ca="1" si="15"/>
        <v>0</v>
      </c>
      <c r="F16" s="34">
        <f t="shared" ca="1" si="15"/>
        <v>0</v>
      </c>
      <c r="G16" s="34">
        <f t="shared" ca="1" si="15"/>
        <v>0</v>
      </c>
      <c r="H16" s="34">
        <f t="shared" ca="1" si="15"/>
        <v>0</v>
      </c>
      <c r="I16" s="34">
        <f t="shared" ca="1" si="15"/>
        <v>0</v>
      </c>
      <c r="J16" s="34">
        <f t="shared" ca="1" si="15"/>
        <v>0</v>
      </c>
      <c r="K16" s="34">
        <f t="shared" ca="1" si="15"/>
        <v>0</v>
      </c>
      <c r="L16" s="34">
        <f t="shared" ca="1" si="15"/>
        <v>0</v>
      </c>
      <c r="M16" s="34">
        <f t="shared" ca="1" si="15"/>
        <v>0</v>
      </c>
      <c r="N16" s="34">
        <f t="shared" ca="1" si="15"/>
        <v>0</v>
      </c>
      <c r="O16" s="34">
        <f t="shared" ca="1" si="15"/>
        <v>0</v>
      </c>
      <c r="P16" s="34">
        <f t="shared" ca="1" si="15"/>
        <v>0</v>
      </c>
      <c r="Q16" s="34">
        <f t="shared" ca="1" si="15"/>
        <v>0</v>
      </c>
      <c r="R16" s="34">
        <f t="shared" ca="1" si="15"/>
        <v>0</v>
      </c>
      <c r="S16" s="34">
        <f t="shared" ca="1" si="15"/>
        <v>0</v>
      </c>
      <c r="T16" s="34">
        <f t="shared" ca="1" si="15"/>
        <v>0</v>
      </c>
      <c r="U16" s="34">
        <f t="shared" ca="1" si="15"/>
        <v>0</v>
      </c>
      <c r="V16" s="34">
        <f t="shared" ca="1" si="15"/>
        <v>0</v>
      </c>
      <c r="W16" s="34">
        <f t="shared" ca="1" si="15"/>
        <v>0</v>
      </c>
      <c r="X16" s="34">
        <f t="shared" ca="1" si="15"/>
        <v>0</v>
      </c>
      <c r="Y16" s="34">
        <f t="shared" ca="1" si="15"/>
        <v>0</v>
      </c>
      <c r="Z16" s="34">
        <f t="shared" ca="1" si="15"/>
        <v>0</v>
      </c>
      <c r="AA16" s="34">
        <f t="shared" ca="1" si="15"/>
        <v>0</v>
      </c>
      <c r="AB16" s="34">
        <f t="shared" ca="1" si="15"/>
        <v>0</v>
      </c>
      <c r="AC16" s="34">
        <f t="shared" ca="1" si="15"/>
        <v>0</v>
      </c>
      <c r="AD16" s="34">
        <f t="shared" ca="1" si="15"/>
        <v>0</v>
      </c>
      <c r="AE16" s="34">
        <f t="shared" ca="1" si="15"/>
        <v>0</v>
      </c>
      <c r="AF16" s="34">
        <f t="shared" ca="1" si="15"/>
        <v>0</v>
      </c>
      <c r="AG16" s="34">
        <f t="shared" ca="1" si="15"/>
        <v>0</v>
      </c>
      <c r="AH16" s="34">
        <f t="shared" ca="1" si="15"/>
        <v>0</v>
      </c>
      <c r="AI16" s="34">
        <f t="shared" ca="1" si="15"/>
        <v>0</v>
      </c>
      <c r="AJ16" s="34">
        <f t="shared" ref="AJ16:BO16" ca="1" si="16">MIN(AJ11-AJ15,AJ13+AJ14)</f>
        <v>101979820.17726558</v>
      </c>
      <c r="AK16" s="34">
        <f t="shared" ca="1" si="16"/>
        <v>0</v>
      </c>
      <c r="AL16" s="34">
        <f t="shared" ca="1" si="16"/>
        <v>0</v>
      </c>
      <c r="AM16" s="34">
        <f t="shared" ca="1" si="16"/>
        <v>0</v>
      </c>
      <c r="AN16" s="34">
        <f t="shared" ca="1" si="16"/>
        <v>0</v>
      </c>
      <c r="AO16" s="34">
        <f t="shared" ca="1" si="16"/>
        <v>0</v>
      </c>
      <c r="AP16" s="34">
        <f t="shared" ca="1" si="16"/>
        <v>0</v>
      </c>
      <c r="AQ16" s="34">
        <f t="shared" ca="1" si="16"/>
        <v>0</v>
      </c>
      <c r="AR16" s="34">
        <f t="shared" ca="1" si="16"/>
        <v>0</v>
      </c>
      <c r="AS16" s="34">
        <f t="shared" ca="1" si="16"/>
        <v>0</v>
      </c>
      <c r="AT16" s="34">
        <f t="shared" ca="1" si="16"/>
        <v>0</v>
      </c>
      <c r="AU16" s="34">
        <f t="shared" ca="1" si="16"/>
        <v>0</v>
      </c>
      <c r="AV16" s="34">
        <f t="shared" ca="1" si="16"/>
        <v>0</v>
      </c>
      <c r="AW16" s="34">
        <f t="shared" ca="1" si="16"/>
        <v>0</v>
      </c>
      <c r="AX16" s="34">
        <f t="shared" ca="1" si="16"/>
        <v>0</v>
      </c>
      <c r="AY16" s="34">
        <f t="shared" ca="1" si="16"/>
        <v>0</v>
      </c>
      <c r="AZ16" s="34">
        <f t="shared" ca="1" si="16"/>
        <v>0</v>
      </c>
      <c r="BA16" s="34">
        <f t="shared" ca="1" si="16"/>
        <v>0</v>
      </c>
      <c r="BB16" s="34">
        <f t="shared" ca="1" si="16"/>
        <v>0</v>
      </c>
      <c r="BC16" s="34">
        <f t="shared" ca="1" si="16"/>
        <v>0</v>
      </c>
      <c r="BD16" s="34">
        <f t="shared" ca="1" si="16"/>
        <v>0</v>
      </c>
      <c r="BE16" s="34">
        <f t="shared" ca="1" si="16"/>
        <v>0</v>
      </c>
      <c r="BF16" s="34">
        <f t="shared" ca="1" si="16"/>
        <v>0</v>
      </c>
      <c r="BG16" s="34">
        <f t="shared" ca="1" si="16"/>
        <v>0</v>
      </c>
      <c r="BH16" s="34">
        <f t="shared" ca="1" si="16"/>
        <v>0</v>
      </c>
      <c r="BI16" s="34">
        <f t="shared" ca="1" si="16"/>
        <v>0</v>
      </c>
      <c r="BJ16" s="34">
        <f t="shared" ca="1" si="16"/>
        <v>0</v>
      </c>
      <c r="BK16" s="34">
        <f t="shared" ca="1" si="16"/>
        <v>0</v>
      </c>
      <c r="BL16" s="34">
        <f t="shared" ca="1" si="16"/>
        <v>0</v>
      </c>
      <c r="BM16" s="34">
        <f t="shared" ca="1" si="16"/>
        <v>0</v>
      </c>
      <c r="BN16" s="34">
        <f t="shared" ca="1" si="16"/>
        <v>0</v>
      </c>
      <c r="BO16" s="34">
        <f t="shared" ca="1" si="16"/>
        <v>0</v>
      </c>
      <c r="BP16" s="34">
        <f t="shared" ref="BP16:CU16" ca="1" si="17">MIN(BP11-BP15,BP13+BP14)</f>
        <v>0</v>
      </c>
      <c r="BQ16" s="34">
        <f t="shared" ca="1" si="17"/>
        <v>0</v>
      </c>
      <c r="BR16" s="34">
        <f t="shared" ca="1" si="17"/>
        <v>0</v>
      </c>
      <c r="BS16" s="34">
        <f t="shared" ca="1" si="17"/>
        <v>0</v>
      </c>
      <c r="BT16" s="34">
        <f t="shared" ca="1" si="17"/>
        <v>0</v>
      </c>
      <c r="BU16" s="34">
        <f t="shared" ca="1" si="17"/>
        <v>0</v>
      </c>
      <c r="BV16" s="34">
        <f t="shared" ca="1" si="17"/>
        <v>0</v>
      </c>
      <c r="BW16" s="34">
        <f t="shared" ca="1" si="17"/>
        <v>0</v>
      </c>
      <c r="BX16" s="34">
        <f t="shared" ca="1" si="17"/>
        <v>0</v>
      </c>
      <c r="BY16" s="34">
        <f t="shared" ca="1" si="17"/>
        <v>0</v>
      </c>
      <c r="BZ16" s="34">
        <f t="shared" ca="1" si="17"/>
        <v>0</v>
      </c>
      <c r="CA16" s="34">
        <f t="shared" ca="1" si="17"/>
        <v>0</v>
      </c>
      <c r="CB16" s="34">
        <f t="shared" ca="1" si="17"/>
        <v>0</v>
      </c>
      <c r="CC16" s="34">
        <f t="shared" ca="1" si="17"/>
        <v>0</v>
      </c>
      <c r="CD16" s="34">
        <f t="shared" ca="1" si="17"/>
        <v>0</v>
      </c>
      <c r="CE16" s="34">
        <f t="shared" ca="1" si="17"/>
        <v>0</v>
      </c>
      <c r="CF16" s="34">
        <f t="shared" ca="1" si="17"/>
        <v>0</v>
      </c>
      <c r="CG16" s="34">
        <f t="shared" ca="1" si="17"/>
        <v>0</v>
      </c>
      <c r="CH16" s="34">
        <f t="shared" ca="1" si="17"/>
        <v>0</v>
      </c>
      <c r="CI16" s="34">
        <f t="shared" ca="1" si="17"/>
        <v>0</v>
      </c>
      <c r="CJ16" s="34">
        <f t="shared" ca="1" si="17"/>
        <v>0</v>
      </c>
      <c r="CK16" s="34">
        <f t="shared" ca="1" si="17"/>
        <v>0</v>
      </c>
      <c r="CL16" s="34">
        <f t="shared" ca="1" si="17"/>
        <v>0</v>
      </c>
      <c r="CM16" s="34">
        <f t="shared" ca="1" si="17"/>
        <v>0</v>
      </c>
      <c r="CN16" s="34">
        <f t="shared" ca="1" si="17"/>
        <v>0</v>
      </c>
      <c r="CO16" s="34">
        <f t="shared" ca="1" si="17"/>
        <v>0</v>
      </c>
      <c r="CP16" s="34">
        <f t="shared" ca="1" si="17"/>
        <v>0</v>
      </c>
      <c r="CQ16" s="34">
        <f t="shared" ca="1" si="17"/>
        <v>0</v>
      </c>
      <c r="CR16" s="34">
        <f t="shared" ca="1" si="17"/>
        <v>0</v>
      </c>
      <c r="CS16" s="34">
        <f t="shared" ca="1" si="17"/>
        <v>0</v>
      </c>
      <c r="CT16" s="34">
        <f t="shared" ca="1" si="17"/>
        <v>0</v>
      </c>
      <c r="CU16" s="34">
        <f t="shared" ca="1" si="17"/>
        <v>0</v>
      </c>
    </row>
    <row r="17" spans="1:99" x14ac:dyDescent="0.3">
      <c r="A17" s="7" t="s">
        <v>447</v>
      </c>
      <c r="B17" s="21">
        <f ca="1">SUM(D17:CU17)</f>
        <v>179259276.53115886</v>
      </c>
      <c r="C17" s="11"/>
      <c r="D17" s="34">
        <f t="shared" ref="D17:AI17" ca="1" si="18">D11-D15-D16</f>
        <v>0</v>
      </c>
      <c r="E17" s="34">
        <f t="shared" ca="1" si="18"/>
        <v>0</v>
      </c>
      <c r="F17" s="34">
        <f t="shared" ca="1" si="18"/>
        <v>0</v>
      </c>
      <c r="G17" s="34">
        <f t="shared" ca="1" si="18"/>
        <v>0</v>
      </c>
      <c r="H17" s="34">
        <f t="shared" ca="1" si="18"/>
        <v>0</v>
      </c>
      <c r="I17" s="34">
        <f t="shared" ca="1" si="18"/>
        <v>0</v>
      </c>
      <c r="J17" s="34">
        <f t="shared" ca="1" si="18"/>
        <v>0</v>
      </c>
      <c r="K17" s="34">
        <f t="shared" ca="1" si="18"/>
        <v>0</v>
      </c>
      <c r="L17" s="34">
        <f t="shared" ca="1" si="18"/>
        <v>0</v>
      </c>
      <c r="M17" s="34">
        <f t="shared" ca="1" si="18"/>
        <v>0</v>
      </c>
      <c r="N17" s="34">
        <f t="shared" ca="1" si="18"/>
        <v>0</v>
      </c>
      <c r="O17" s="34">
        <f t="shared" ca="1" si="18"/>
        <v>0</v>
      </c>
      <c r="P17" s="34">
        <f t="shared" ca="1" si="18"/>
        <v>0</v>
      </c>
      <c r="Q17" s="34">
        <f t="shared" ca="1" si="18"/>
        <v>0</v>
      </c>
      <c r="R17" s="34">
        <f t="shared" ca="1" si="18"/>
        <v>0</v>
      </c>
      <c r="S17" s="34">
        <f t="shared" ca="1" si="18"/>
        <v>0</v>
      </c>
      <c r="T17" s="34">
        <f t="shared" ca="1" si="18"/>
        <v>0</v>
      </c>
      <c r="U17" s="34">
        <f t="shared" ca="1" si="18"/>
        <v>0</v>
      </c>
      <c r="V17" s="34">
        <f t="shared" ca="1" si="18"/>
        <v>0</v>
      </c>
      <c r="W17" s="34">
        <f t="shared" ca="1" si="18"/>
        <v>0</v>
      </c>
      <c r="X17" s="34">
        <f t="shared" ca="1" si="18"/>
        <v>0</v>
      </c>
      <c r="Y17" s="34">
        <f t="shared" ca="1" si="18"/>
        <v>0</v>
      </c>
      <c r="Z17" s="34">
        <f t="shared" ca="1" si="18"/>
        <v>0</v>
      </c>
      <c r="AA17" s="34">
        <f t="shared" ca="1" si="18"/>
        <v>0</v>
      </c>
      <c r="AB17" s="34">
        <f t="shared" ca="1" si="18"/>
        <v>0</v>
      </c>
      <c r="AC17" s="34">
        <f t="shared" ca="1" si="18"/>
        <v>0</v>
      </c>
      <c r="AD17" s="34">
        <f t="shared" ca="1" si="18"/>
        <v>0</v>
      </c>
      <c r="AE17" s="34">
        <f t="shared" ca="1" si="18"/>
        <v>0</v>
      </c>
      <c r="AF17" s="34">
        <f t="shared" ca="1" si="18"/>
        <v>0</v>
      </c>
      <c r="AG17" s="34">
        <f t="shared" ca="1" si="18"/>
        <v>0</v>
      </c>
      <c r="AH17" s="34">
        <f t="shared" ca="1" si="18"/>
        <v>0</v>
      </c>
      <c r="AI17" s="34">
        <f t="shared" ca="1" si="18"/>
        <v>0</v>
      </c>
      <c r="AJ17" s="34">
        <f t="shared" ref="AJ17:BO17" ca="1" si="19">AJ11-AJ15-AJ16</f>
        <v>179259276.53188652</v>
      </c>
      <c r="AK17" s="34">
        <f t="shared" ca="1" si="19"/>
        <v>0</v>
      </c>
      <c r="AL17" s="34">
        <f t="shared" ca="1" si="19"/>
        <v>0</v>
      </c>
      <c r="AM17" s="34">
        <f t="shared" ca="1" si="19"/>
        <v>0</v>
      </c>
      <c r="AN17" s="34">
        <f t="shared" ca="1" si="19"/>
        <v>0</v>
      </c>
      <c r="AO17" s="34">
        <f t="shared" ca="1" si="19"/>
        <v>0</v>
      </c>
      <c r="AP17" s="34">
        <f t="shared" ca="1" si="19"/>
        <v>0</v>
      </c>
      <c r="AQ17" s="34">
        <f t="shared" ca="1" si="19"/>
        <v>0</v>
      </c>
      <c r="AR17" s="34">
        <f t="shared" ca="1" si="19"/>
        <v>0</v>
      </c>
      <c r="AS17" s="34">
        <f t="shared" ca="1" si="19"/>
        <v>0</v>
      </c>
      <c r="AT17" s="34">
        <f t="shared" ca="1" si="19"/>
        <v>0</v>
      </c>
      <c r="AU17" s="34">
        <f t="shared" ca="1" si="19"/>
        <v>0</v>
      </c>
      <c r="AV17" s="34">
        <f t="shared" ca="1" si="19"/>
        <v>0</v>
      </c>
      <c r="AW17" s="34">
        <f t="shared" ca="1" si="19"/>
        <v>0</v>
      </c>
      <c r="AX17" s="34">
        <f t="shared" ca="1" si="19"/>
        <v>0</v>
      </c>
      <c r="AY17" s="34">
        <f t="shared" ca="1" si="19"/>
        <v>0</v>
      </c>
      <c r="AZ17" s="34">
        <f t="shared" ca="1" si="19"/>
        <v>0</v>
      </c>
      <c r="BA17" s="34">
        <f t="shared" ca="1" si="19"/>
        <v>0</v>
      </c>
      <c r="BB17" s="34">
        <f t="shared" ca="1" si="19"/>
        <v>0</v>
      </c>
      <c r="BC17" s="34">
        <f t="shared" ca="1" si="19"/>
        <v>0</v>
      </c>
      <c r="BD17" s="34">
        <f t="shared" ca="1" si="19"/>
        <v>0</v>
      </c>
      <c r="BE17" s="34">
        <f t="shared" ca="1" si="19"/>
        <v>0</v>
      </c>
      <c r="BF17" s="34">
        <f t="shared" ca="1" si="19"/>
        <v>0</v>
      </c>
      <c r="BG17" s="34">
        <f t="shared" ca="1" si="19"/>
        <v>0</v>
      </c>
      <c r="BH17" s="34">
        <f t="shared" ca="1" si="19"/>
        <v>0</v>
      </c>
      <c r="BI17" s="34">
        <f t="shared" ca="1" si="19"/>
        <v>0</v>
      </c>
      <c r="BJ17" s="34">
        <f t="shared" ca="1" si="19"/>
        <v>0</v>
      </c>
      <c r="BK17" s="34">
        <f t="shared" ca="1" si="19"/>
        <v>0</v>
      </c>
      <c r="BL17" s="34">
        <f t="shared" ca="1" si="19"/>
        <v>0</v>
      </c>
      <c r="BM17" s="34">
        <f t="shared" ca="1" si="19"/>
        <v>0</v>
      </c>
      <c r="BN17" s="34">
        <f t="shared" ca="1" si="19"/>
        <v>0</v>
      </c>
      <c r="BO17" s="34">
        <f t="shared" ca="1" si="19"/>
        <v>0</v>
      </c>
      <c r="BP17" s="34">
        <f t="shared" ref="BP17:CU17" ca="1" si="20">BP11-BP15-BP16</f>
        <v>0</v>
      </c>
      <c r="BQ17" s="34">
        <f t="shared" ca="1" si="20"/>
        <v>0</v>
      </c>
      <c r="BR17" s="34">
        <f t="shared" ca="1" si="20"/>
        <v>0</v>
      </c>
      <c r="BS17" s="34">
        <f t="shared" ca="1" si="20"/>
        <v>0</v>
      </c>
      <c r="BT17" s="34">
        <f t="shared" ca="1" si="20"/>
        <v>0</v>
      </c>
      <c r="BU17" s="34">
        <f t="shared" ca="1" si="20"/>
        <v>0</v>
      </c>
      <c r="BV17" s="34">
        <f t="shared" ca="1" si="20"/>
        <v>0</v>
      </c>
      <c r="BW17" s="34">
        <f t="shared" ca="1" si="20"/>
        <v>0</v>
      </c>
      <c r="BX17" s="34">
        <f t="shared" ca="1" si="20"/>
        <v>0</v>
      </c>
      <c r="BY17" s="34">
        <f t="shared" ca="1" si="20"/>
        <v>0</v>
      </c>
      <c r="BZ17" s="34">
        <f t="shared" ca="1" si="20"/>
        <v>0</v>
      </c>
      <c r="CA17" s="34">
        <f t="shared" ca="1" si="20"/>
        <v>0</v>
      </c>
      <c r="CB17" s="34">
        <f t="shared" ca="1" si="20"/>
        <v>0</v>
      </c>
      <c r="CC17" s="34">
        <f t="shared" ca="1" si="20"/>
        <v>0</v>
      </c>
      <c r="CD17" s="34">
        <f t="shared" ca="1" si="20"/>
        <v>0</v>
      </c>
      <c r="CE17" s="34">
        <f t="shared" ca="1" si="20"/>
        <v>0</v>
      </c>
      <c r="CF17" s="34">
        <f t="shared" ca="1" si="20"/>
        <v>0</v>
      </c>
      <c r="CG17" s="34">
        <f t="shared" ca="1" si="20"/>
        <v>0</v>
      </c>
      <c r="CH17" s="34">
        <f t="shared" ca="1" si="20"/>
        <v>0</v>
      </c>
      <c r="CI17" s="34">
        <f t="shared" ca="1" si="20"/>
        <v>0</v>
      </c>
      <c r="CJ17" s="34">
        <f t="shared" ca="1" si="20"/>
        <v>0</v>
      </c>
      <c r="CK17" s="34">
        <f t="shared" ca="1" si="20"/>
        <v>0</v>
      </c>
      <c r="CL17" s="34">
        <f t="shared" ca="1" si="20"/>
        <v>0</v>
      </c>
      <c r="CM17" s="34">
        <f t="shared" ca="1" si="20"/>
        <v>0</v>
      </c>
      <c r="CN17" s="34">
        <f t="shared" ca="1" si="20"/>
        <v>0</v>
      </c>
      <c r="CO17" s="34">
        <f t="shared" ca="1" si="20"/>
        <v>0</v>
      </c>
      <c r="CP17" s="34">
        <f t="shared" ca="1" si="20"/>
        <v>0</v>
      </c>
      <c r="CQ17" s="34">
        <f t="shared" ca="1" si="20"/>
        <v>0</v>
      </c>
      <c r="CR17" s="34">
        <f t="shared" ca="1" si="20"/>
        <v>0</v>
      </c>
      <c r="CS17" s="34">
        <f t="shared" ca="1" si="20"/>
        <v>0</v>
      </c>
      <c r="CT17" s="34">
        <f t="shared" ca="1" si="20"/>
        <v>0</v>
      </c>
      <c r="CU17" s="34">
        <f t="shared" ca="1" si="20"/>
        <v>0</v>
      </c>
    </row>
    <row r="18" spans="1:99" x14ac:dyDescent="0.3">
      <c r="A18" s="7" t="s">
        <v>448</v>
      </c>
      <c r="B18" s="1"/>
      <c r="C18" s="11"/>
      <c r="D18" s="34">
        <f t="shared" ref="D18:AI18" ca="1" si="21">D12+D10-D15</f>
        <v>285050000</v>
      </c>
      <c r="E18" s="34">
        <f t="shared" ca="1" si="21"/>
        <v>286218515</v>
      </c>
      <c r="F18" s="34">
        <f t="shared" ca="1" si="21"/>
        <v>287387030</v>
      </c>
      <c r="G18" s="34">
        <f t="shared" ca="1" si="21"/>
        <v>288555545</v>
      </c>
      <c r="H18" s="34">
        <f t="shared" ca="1" si="21"/>
        <v>289724060</v>
      </c>
      <c r="I18" s="34">
        <f t="shared" ca="1" si="21"/>
        <v>289724060</v>
      </c>
      <c r="J18" s="34">
        <f t="shared" ca="1" si="21"/>
        <v>289724060</v>
      </c>
      <c r="K18" s="34">
        <f t="shared" ca="1" si="21"/>
        <v>289724060</v>
      </c>
      <c r="L18" s="34">
        <f t="shared" ca="1" si="21"/>
        <v>296487785.56796348</v>
      </c>
      <c r="M18" s="34">
        <f t="shared" ca="1" si="21"/>
        <v>304772410.43283468</v>
      </c>
      <c r="N18" s="34">
        <f t="shared" ca="1" si="21"/>
        <v>307032439.41386008</v>
      </c>
      <c r="O18" s="34">
        <f t="shared" ca="1" si="21"/>
        <v>311698714.59241611</v>
      </c>
      <c r="P18" s="34">
        <f t="shared" ca="1" si="21"/>
        <v>318652088.56869268</v>
      </c>
      <c r="Q18" s="34">
        <f t="shared" ca="1" si="21"/>
        <v>327724475.54693365</v>
      </c>
      <c r="R18" s="34">
        <f t="shared" ca="1" si="21"/>
        <v>338700654.85509872</v>
      </c>
      <c r="S18" s="34">
        <f t="shared" ca="1" si="21"/>
        <v>351320777.68678141</v>
      </c>
      <c r="T18" s="34">
        <f t="shared" ca="1" si="21"/>
        <v>365283507.1662671</v>
      </c>
      <c r="U18" s="34">
        <f t="shared" ca="1" si="21"/>
        <v>380249698.55733174</v>
      </c>
      <c r="V18" s="34">
        <f t="shared" ca="1" si="21"/>
        <v>395846498.93557894</v>
      </c>
      <c r="W18" s="34">
        <f t="shared" ca="1" si="21"/>
        <v>411671710.99675953</v>
      </c>
      <c r="X18" s="34">
        <f t="shared" ca="1" si="21"/>
        <v>415383240.30655712</v>
      </c>
      <c r="Y18" s="34">
        <f t="shared" ca="1" si="21"/>
        <v>415383240.30659461</v>
      </c>
      <c r="Z18" s="34">
        <f t="shared" ca="1" si="21"/>
        <v>415383240.30663484</v>
      </c>
      <c r="AA18" s="34">
        <f t="shared" ca="1" si="21"/>
        <v>415383240.30666673</v>
      </c>
      <c r="AB18" s="34">
        <f t="shared" ca="1" si="21"/>
        <v>415383240.30667502</v>
      </c>
      <c r="AC18" s="34">
        <f t="shared" ca="1" si="21"/>
        <v>415383240.30666727</v>
      </c>
      <c r="AD18" s="34">
        <f t="shared" ca="1" si="21"/>
        <v>415383240.30664992</v>
      </c>
      <c r="AE18" s="34">
        <f t="shared" ca="1" si="21"/>
        <v>415383240.30657083</v>
      </c>
      <c r="AF18" s="34">
        <f t="shared" ca="1" si="21"/>
        <v>415383240.30639827</v>
      </c>
      <c r="AG18" s="34">
        <f t="shared" ca="1" si="21"/>
        <v>415383240.30609405</v>
      </c>
      <c r="AH18" s="34">
        <f t="shared" ca="1" si="21"/>
        <v>415383240.3056134</v>
      </c>
      <c r="AI18" s="34">
        <f t="shared" ca="1" si="21"/>
        <v>415383240.30491275</v>
      </c>
      <c r="AJ18" s="34">
        <f t="shared" ref="AJ18:BO18" ca="1" si="22">AJ12+AJ10-AJ15</f>
        <v>0</v>
      </c>
      <c r="AK18" s="34">
        <f t="shared" ca="1" si="22"/>
        <v>0</v>
      </c>
      <c r="AL18" s="34">
        <f t="shared" ca="1" si="22"/>
        <v>0</v>
      </c>
      <c r="AM18" s="34">
        <f t="shared" ca="1" si="22"/>
        <v>0</v>
      </c>
      <c r="AN18" s="34">
        <f t="shared" ca="1" si="22"/>
        <v>0</v>
      </c>
      <c r="AO18" s="34">
        <f t="shared" ca="1" si="22"/>
        <v>0</v>
      </c>
      <c r="AP18" s="34">
        <f t="shared" ca="1" si="22"/>
        <v>0</v>
      </c>
      <c r="AQ18" s="34">
        <f t="shared" ca="1" si="22"/>
        <v>0</v>
      </c>
      <c r="AR18" s="34">
        <f t="shared" ca="1" si="22"/>
        <v>0</v>
      </c>
      <c r="AS18" s="34">
        <f t="shared" ca="1" si="22"/>
        <v>0</v>
      </c>
      <c r="AT18" s="34">
        <f t="shared" ca="1" si="22"/>
        <v>0</v>
      </c>
      <c r="AU18" s="34">
        <f t="shared" ca="1" si="22"/>
        <v>0</v>
      </c>
      <c r="AV18" s="34">
        <f t="shared" ca="1" si="22"/>
        <v>0</v>
      </c>
      <c r="AW18" s="34">
        <f t="shared" ca="1" si="22"/>
        <v>0</v>
      </c>
      <c r="AX18" s="34">
        <f t="shared" ca="1" si="22"/>
        <v>0</v>
      </c>
      <c r="AY18" s="34">
        <f t="shared" ca="1" si="22"/>
        <v>0</v>
      </c>
      <c r="AZ18" s="34">
        <f t="shared" ca="1" si="22"/>
        <v>0</v>
      </c>
      <c r="BA18" s="34">
        <f t="shared" ca="1" si="22"/>
        <v>0</v>
      </c>
      <c r="BB18" s="34">
        <f t="shared" ca="1" si="22"/>
        <v>0</v>
      </c>
      <c r="BC18" s="34">
        <f t="shared" ca="1" si="22"/>
        <v>0</v>
      </c>
      <c r="BD18" s="34">
        <f t="shared" ca="1" si="22"/>
        <v>0</v>
      </c>
      <c r="BE18" s="34">
        <f t="shared" ca="1" si="22"/>
        <v>0</v>
      </c>
      <c r="BF18" s="34">
        <f t="shared" ca="1" si="22"/>
        <v>0</v>
      </c>
      <c r="BG18" s="34">
        <f t="shared" ca="1" si="22"/>
        <v>0</v>
      </c>
      <c r="BH18" s="34">
        <f t="shared" ca="1" si="22"/>
        <v>0</v>
      </c>
      <c r="BI18" s="34">
        <f t="shared" ca="1" si="22"/>
        <v>0</v>
      </c>
      <c r="BJ18" s="34">
        <f t="shared" ca="1" si="22"/>
        <v>0</v>
      </c>
      <c r="BK18" s="34">
        <f t="shared" ca="1" si="22"/>
        <v>0</v>
      </c>
      <c r="BL18" s="34">
        <f t="shared" ca="1" si="22"/>
        <v>0</v>
      </c>
      <c r="BM18" s="34">
        <f t="shared" ca="1" si="22"/>
        <v>0</v>
      </c>
      <c r="BN18" s="34">
        <f t="shared" ca="1" si="22"/>
        <v>0</v>
      </c>
      <c r="BO18" s="34">
        <f t="shared" ca="1" si="22"/>
        <v>0</v>
      </c>
      <c r="BP18" s="34">
        <f t="shared" ref="BP18:CU18" ca="1" si="23">BP12+BP10-BP15</f>
        <v>0</v>
      </c>
      <c r="BQ18" s="34">
        <f t="shared" ca="1" si="23"/>
        <v>0</v>
      </c>
      <c r="BR18" s="34">
        <f t="shared" ca="1" si="23"/>
        <v>0</v>
      </c>
      <c r="BS18" s="34">
        <f t="shared" ca="1" si="23"/>
        <v>0</v>
      </c>
      <c r="BT18" s="34">
        <f t="shared" ca="1" si="23"/>
        <v>0</v>
      </c>
      <c r="BU18" s="34">
        <f t="shared" ca="1" si="23"/>
        <v>0</v>
      </c>
      <c r="BV18" s="34">
        <f t="shared" ca="1" si="23"/>
        <v>0</v>
      </c>
      <c r="BW18" s="34">
        <f t="shared" ca="1" si="23"/>
        <v>0</v>
      </c>
      <c r="BX18" s="34">
        <f t="shared" ca="1" si="23"/>
        <v>0</v>
      </c>
      <c r="BY18" s="34">
        <f t="shared" ca="1" si="23"/>
        <v>0</v>
      </c>
      <c r="BZ18" s="34">
        <f t="shared" ca="1" si="23"/>
        <v>0</v>
      </c>
      <c r="CA18" s="34">
        <f t="shared" ca="1" si="23"/>
        <v>0</v>
      </c>
      <c r="CB18" s="34">
        <f t="shared" ca="1" si="23"/>
        <v>0</v>
      </c>
      <c r="CC18" s="34">
        <f t="shared" ca="1" si="23"/>
        <v>0</v>
      </c>
      <c r="CD18" s="34">
        <f t="shared" ca="1" si="23"/>
        <v>0</v>
      </c>
      <c r="CE18" s="34">
        <f t="shared" ca="1" si="23"/>
        <v>0</v>
      </c>
      <c r="CF18" s="34">
        <f t="shared" ca="1" si="23"/>
        <v>0</v>
      </c>
      <c r="CG18" s="34">
        <f t="shared" ca="1" si="23"/>
        <v>0</v>
      </c>
      <c r="CH18" s="34">
        <f t="shared" ca="1" si="23"/>
        <v>0</v>
      </c>
      <c r="CI18" s="34">
        <f t="shared" ca="1" si="23"/>
        <v>0</v>
      </c>
      <c r="CJ18" s="34">
        <f t="shared" ca="1" si="23"/>
        <v>0</v>
      </c>
      <c r="CK18" s="34">
        <f t="shared" ca="1" si="23"/>
        <v>0</v>
      </c>
      <c r="CL18" s="34">
        <f t="shared" ca="1" si="23"/>
        <v>0</v>
      </c>
      <c r="CM18" s="34">
        <f t="shared" ca="1" si="23"/>
        <v>0</v>
      </c>
      <c r="CN18" s="34">
        <f t="shared" ca="1" si="23"/>
        <v>0</v>
      </c>
      <c r="CO18" s="34">
        <f t="shared" ca="1" si="23"/>
        <v>0</v>
      </c>
      <c r="CP18" s="34">
        <f t="shared" ca="1" si="23"/>
        <v>0</v>
      </c>
      <c r="CQ18" s="34">
        <f t="shared" ca="1" si="23"/>
        <v>0</v>
      </c>
      <c r="CR18" s="34">
        <f t="shared" ca="1" si="23"/>
        <v>0</v>
      </c>
      <c r="CS18" s="34">
        <f t="shared" ca="1" si="23"/>
        <v>0</v>
      </c>
      <c r="CT18" s="34">
        <f t="shared" ca="1" si="23"/>
        <v>0</v>
      </c>
      <c r="CU18" s="34">
        <f t="shared" ca="1" si="23"/>
        <v>0</v>
      </c>
    </row>
    <row r="19" spans="1:99" x14ac:dyDescent="0.3">
      <c r="A19" s="7" t="s">
        <v>449</v>
      </c>
      <c r="B19" s="1"/>
      <c r="C19" s="11"/>
      <c r="D19" s="34">
        <f t="shared" ref="D19:AI19" ca="1" si="24">D13+D14-D16</f>
        <v>0</v>
      </c>
      <c r="E19" s="34">
        <f t="shared" ca="1" si="24"/>
        <v>2273028.7292590179</v>
      </c>
      <c r="F19" s="34">
        <f t="shared" ca="1" si="24"/>
        <v>4573500.811507361</v>
      </c>
      <c r="G19" s="34">
        <f t="shared" ca="1" si="24"/>
        <v>6901635.0838956051</v>
      </c>
      <c r="H19" s="34">
        <f t="shared" ca="1" si="24"/>
        <v>9257652.1286124978</v>
      </c>
      <c r="I19" s="34">
        <f t="shared" ca="1" si="24"/>
        <v>11641774.286800135</v>
      </c>
      <c r="J19" s="34">
        <f t="shared" ca="1" si="24"/>
        <v>14044907.769876819</v>
      </c>
      <c r="K19" s="34">
        <f t="shared" ca="1" si="24"/>
        <v>16467204.176816959</v>
      </c>
      <c r="L19" s="34">
        <f t="shared" ca="1" si="24"/>
        <v>18908816.315466467</v>
      </c>
      <c r="M19" s="34">
        <f t="shared" ca="1" si="24"/>
        <v>21423833.109683994</v>
      </c>
      <c r="N19" s="34">
        <f t="shared" ca="1" si="24"/>
        <v>24024967.763072938</v>
      </c>
      <c r="O19" s="34">
        <f t="shared" ca="1" si="24"/>
        <v>26664866.017930586</v>
      </c>
      <c r="P19" s="34">
        <f t="shared" ca="1" si="24"/>
        <v>29363024.725744203</v>
      </c>
      <c r="Q19" s="34">
        <f t="shared" ca="1" si="24"/>
        <v>32138146.110534884</v>
      </c>
      <c r="R19" s="34">
        <f t="shared" ca="1" si="24"/>
        <v>35007741.190744951</v>
      </c>
      <c r="S19" s="34">
        <f t="shared" ca="1" si="24"/>
        <v>37987744.420274764</v>
      </c>
      <c r="T19" s="34">
        <f t="shared" ca="1" si="24"/>
        <v>41092145.24572514</v>
      </c>
      <c r="U19" s="34">
        <f t="shared" ca="1" si="24"/>
        <v>44332641.764945276</v>
      </c>
      <c r="V19" s="34">
        <f t="shared" ca="1" si="24"/>
        <v>47718320.970306933</v>
      </c>
      <c r="W19" s="34">
        <f t="shared" ca="1" si="24"/>
        <v>51255369.133556709</v>
      </c>
      <c r="X19" s="34">
        <f t="shared" ca="1" si="24"/>
        <v>54946814.678856611</v>
      </c>
      <c r="Y19" s="34">
        <f t="shared" ca="1" si="24"/>
        <v>58697292.585242726</v>
      </c>
      <c r="Z19" s="34">
        <f t="shared" ca="1" si="24"/>
        <v>62477677.329130448</v>
      </c>
      <c r="AA19" s="34">
        <f t="shared" ca="1" si="24"/>
        <v>66288207.391841657</v>
      </c>
      <c r="AB19" s="34">
        <f t="shared" ca="1" si="24"/>
        <v>70129123.156381577</v>
      </c>
      <c r="AC19" s="34">
        <f t="shared" ca="1" si="24"/>
        <v>74000666.922603801</v>
      </c>
      <c r="AD19" s="34">
        <f t="shared" ca="1" si="24"/>
        <v>77903082.92249538</v>
      </c>
      <c r="AE19" s="34">
        <f t="shared" ca="1" si="24"/>
        <v>81836617.335581228</v>
      </c>
      <c r="AF19" s="34">
        <f t="shared" ca="1" si="24"/>
        <v>85801518.304455996</v>
      </c>
      <c r="AG19" s="34">
        <f t="shared" ca="1" si="24"/>
        <v>89798035.950437143</v>
      </c>
      <c r="AH19" s="34">
        <f t="shared" ca="1" si="24"/>
        <v>93826422.389343023</v>
      </c>
      <c r="AI19" s="34">
        <f t="shared" ca="1" si="24"/>
        <v>97886931.74739778</v>
      </c>
      <c r="AJ19" s="34">
        <f t="shared" ref="AJ19:BO19" ca="1" si="25">AJ13+AJ14-AJ16</f>
        <v>0</v>
      </c>
      <c r="AK19" s="34">
        <f t="shared" ca="1" si="25"/>
        <v>0</v>
      </c>
      <c r="AL19" s="34">
        <f t="shared" ca="1" si="25"/>
        <v>0</v>
      </c>
      <c r="AM19" s="34">
        <f t="shared" ca="1" si="25"/>
        <v>0</v>
      </c>
      <c r="AN19" s="34">
        <f t="shared" ca="1" si="25"/>
        <v>0</v>
      </c>
      <c r="AO19" s="34">
        <f t="shared" ca="1" si="25"/>
        <v>0</v>
      </c>
      <c r="AP19" s="34">
        <f t="shared" ca="1" si="25"/>
        <v>0</v>
      </c>
      <c r="AQ19" s="34">
        <f t="shared" ca="1" si="25"/>
        <v>0</v>
      </c>
      <c r="AR19" s="34">
        <f t="shared" ca="1" si="25"/>
        <v>0</v>
      </c>
      <c r="AS19" s="34">
        <f t="shared" ca="1" si="25"/>
        <v>0</v>
      </c>
      <c r="AT19" s="34">
        <f t="shared" ca="1" si="25"/>
        <v>0</v>
      </c>
      <c r="AU19" s="34">
        <f t="shared" ca="1" si="25"/>
        <v>0</v>
      </c>
      <c r="AV19" s="34">
        <f t="shared" ca="1" si="25"/>
        <v>0</v>
      </c>
      <c r="AW19" s="34">
        <f t="shared" ca="1" si="25"/>
        <v>0</v>
      </c>
      <c r="AX19" s="34">
        <f t="shared" ca="1" si="25"/>
        <v>0</v>
      </c>
      <c r="AY19" s="34">
        <f t="shared" ca="1" si="25"/>
        <v>0</v>
      </c>
      <c r="AZ19" s="34">
        <f t="shared" ca="1" si="25"/>
        <v>0</v>
      </c>
      <c r="BA19" s="34">
        <f t="shared" ca="1" si="25"/>
        <v>0</v>
      </c>
      <c r="BB19" s="34">
        <f t="shared" ca="1" si="25"/>
        <v>0</v>
      </c>
      <c r="BC19" s="34">
        <f t="shared" ca="1" si="25"/>
        <v>0</v>
      </c>
      <c r="BD19" s="34">
        <f t="shared" ca="1" si="25"/>
        <v>0</v>
      </c>
      <c r="BE19" s="34">
        <f t="shared" ca="1" si="25"/>
        <v>0</v>
      </c>
      <c r="BF19" s="34">
        <f t="shared" ca="1" si="25"/>
        <v>0</v>
      </c>
      <c r="BG19" s="34">
        <f t="shared" ca="1" si="25"/>
        <v>0</v>
      </c>
      <c r="BH19" s="34">
        <f t="shared" ca="1" si="25"/>
        <v>0</v>
      </c>
      <c r="BI19" s="34">
        <f t="shared" ca="1" si="25"/>
        <v>0</v>
      </c>
      <c r="BJ19" s="34">
        <f t="shared" ca="1" si="25"/>
        <v>0</v>
      </c>
      <c r="BK19" s="34">
        <f t="shared" ca="1" si="25"/>
        <v>0</v>
      </c>
      <c r="BL19" s="34">
        <f t="shared" ca="1" si="25"/>
        <v>0</v>
      </c>
      <c r="BM19" s="34">
        <f t="shared" ca="1" si="25"/>
        <v>0</v>
      </c>
      <c r="BN19" s="34">
        <f t="shared" ca="1" si="25"/>
        <v>0</v>
      </c>
      <c r="BO19" s="34">
        <f t="shared" ca="1" si="25"/>
        <v>0</v>
      </c>
      <c r="BP19" s="34">
        <f t="shared" ref="BP19:CU19" ca="1" si="26">BP13+BP14-BP16</f>
        <v>0</v>
      </c>
      <c r="BQ19" s="34">
        <f t="shared" ca="1" si="26"/>
        <v>0</v>
      </c>
      <c r="BR19" s="34">
        <f t="shared" ca="1" si="26"/>
        <v>0</v>
      </c>
      <c r="BS19" s="34">
        <f t="shared" ca="1" si="26"/>
        <v>0</v>
      </c>
      <c r="BT19" s="34">
        <f t="shared" ca="1" si="26"/>
        <v>0</v>
      </c>
      <c r="BU19" s="34">
        <f t="shared" ca="1" si="26"/>
        <v>0</v>
      </c>
      <c r="BV19" s="34">
        <f t="shared" ca="1" si="26"/>
        <v>0</v>
      </c>
      <c r="BW19" s="34">
        <f t="shared" ca="1" si="26"/>
        <v>0</v>
      </c>
      <c r="BX19" s="34">
        <f t="shared" ca="1" si="26"/>
        <v>0</v>
      </c>
      <c r="BY19" s="34">
        <f t="shared" ca="1" si="26"/>
        <v>0</v>
      </c>
      <c r="BZ19" s="34">
        <f t="shared" ca="1" si="26"/>
        <v>0</v>
      </c>
      <c r="CA19" s="34">
        <f t="shared" ca="1" si="26"/>
        <v>0</v>
      </c>
      <c r="CB19" s="34">
        <f t="shared" ca="1" si="26"/>
        <v>0</v>
      </c>
      <c r="CC19" s="34">
        <f t="shared" ca="1" si="26"/>
        <v>0</v>
      </c>
      <c r="CD19" s="34">
        <f t="shared" ca="1" si="26"/>
        <v>0</v>
      </c>
      <c r="CE19" s="34">
        <f t="shared" ca="1" si="26"/>
        <v>0</v>
      </c>
      <c r="CF19" s="34">
        <f t="shared" ca="1" si="26"/>
        <v>0</v>
      </c>
      <c r="CG19" s="34">
        <f t="shared" ca="1" si="26"/>
        <v>0</v>
      </c>
      <c r="CH19" s="34">
        <f t="shared" ca="1" si="26"/>
        <v>0</v>
      </c>
      <c r="CI19" s="34">
        <f t="shared" ca="1" si="26"/>
        <v>0</v>
      </c>
      <c r="CJ19" s="34">
        <f t="shared" ca="1" si="26"/>
        <v>0</v>
      </c>
      <c r="CK19" s="34">
        <f t="shared" ca="1" si="26"/>
        <v>0</v>
      </c>
      <c r="CL19" s="34">
        <f t="shared" ca="1" si="26"/>
        <v>0</v>
      </c>
      <c r="CM19" s="34">
        <f t="shared" ca="1" si="26"/>
        <v>0</v>
      </c>
      <c r="CN19" s="34">
        <f t="shared" ca="1" si="26"/>
        <v>0</v>
      </c>
      <c r="CO19" s="34">
        <f t="shared" ca="1" si="26"/>
        <v>0</v>
      </c>
      <c r="CP19" s="34">
        <f t="shared" ca="1" si="26"/>
        <v>0</v>
      </c>
      <c r="CQ19" s="34">
        <f t="shared" ca="1" si="26"/>
        <v>0</v>
      </c>
      <c r="CR19" s="34">
        <f t="shared" ca="1" si="26"/>
        <v>0</v>
      </c>
      <c r="CS19" s="34">
        <f t="shared" ca="1" si="26"/>
        <v>0</v>
      </c>
      <c r="CT19" s="34">
        <f t="shared" ca="1" si="26"/>
        <v>0</v>
      </c>
      <c r="CU19" s="34">
        <f t="shared" ca="1" si="26"/>
        <v>0</v>
      </c>
    </row>
    <row r="20" spans="1:99" x14ac:dyDescent="0.3">
      <c r="A20" s="38" t="s">
        <v>450</v>
      </c>
      <c r="B20" s="39">
        <f ca="1">SUM(D20:CU20)</f>
        <v>196309793.11863607</v>
      </c>
      <c r="C20" s="40"/>
      <c r="D20" s="39">
        <f t="shared" ref="D20:AI20" ca="1" si="27">(-D10+D15+D16+D17*(1-W_promote))*(1-W_s)</f>
        <v>-228040000</v>
      </c>
      <c r="E20" s="39">
        <f t="shared" ca="1" si="27"/>
        <v>-934812</v>
      </c>
      <c r="F20" s="39">
        <f t="shared" ca="1" si="27"/>
        <v>-934812</v>
      </c>
      <c r="G20" s="39">
        <f t="shared" ca="1" si="27"/>
        <v>-934812</v>
      </c>
      <c r="H20" s="39">
        <f t="shared" ca="1" si="27"/>
        <v>-934812</v>
      </c>
      <c r="I20" s="39">
        <f t="shared" ca="1" si="27"/>
        <v>0</v>
      </c>
      <c r="J20" s="39">
        <f t="shared" ca="1" si="27"/>
        <v>0</v>
      </c>
      <c r="K20" s="39">
        <f t="shared" ca="1" si="27"/>
        <v>0</v>
      </c>
      <c r="L20" s="39">
        <f t="shared" ca="1" si="27"/>
        <v>-5410980.4543707818</v>
      </c>
      <c r="M20" s="39">
        <f t="shared" ca="1" si="27"/>
        <v>-6627699.8918965738</v>
      </c>
      <c r="N20" s="39">
        <f t="shared" ca="1" si="27"/>
        <v>-1808023.1848198881</v>
      </c>
      <c r="O20" s="39">
        <f t="shared" ca="1" si="27"/>
        <v>-3733020.142844432</v>
      </c>
      <c r="P20" s="39">
        <f t="shared" ca="1" si="27"/>
        <v>-5562699.1810210356</v>
      </c>
      <c r="Q20" s="39">
        <f t="shared" ca="1" si="27"/>
        <v>-7257909.5825928468</v>
      </c>
      <c r="R20" s="39">
        <f t="shared" ca="1" si="27"/>
        <v>-8780943.4465329237</v>
      </c>
      <c r="S20" s="39">
        <f t="shared" ca="1" si="27"/>
        <v>-10096098.26534801</v>
      </c>
      <c r="T20" s="39">
        <f t="shared" ca="1" si="27"/>
        <v>-11170183.583591742</v>
      </c>
      <c r="U20" s="39">
        <f t="shared" ca="1" si="27"/>
        <v>-11972953.112856891</v>
      </c>
      <c r="V20" s="39">
        <f t="shared" ca="1" si="27"/>
        <v>-12477440.302605407</v>
      </c>
      <c r="W20" s="39">
        <f t="shared" ca="1" si="27"/>
        <v>-12660169.648954831</v>
      </c>
      <c r="X20" s="39">
        <f t="shared" ca="1" si="27"/>
        <v>-2969223.4478513245</v>
      </c>
      <c r="Y20" s="39">
        <f t="shared" ca="1" si="27"/>
        <v>0</v>
      </c>
      <c r="Z20" s="39">
        <f t="shared" ca="1" si="27"/>
        <v>0</v>
      </c>
      <c r="AA20" s="39">
        <f t="shared" ca="1" si="27"/>
        <v>0</v>
      </c>
      <c r="AB20" s="39">
        <f t="shared" ca="1" si="27"/>
        <v>0</v>
      </c>
      <c r="AC20" s="39">
        <f t="shared" ca="1" si="27"/>
        <v>0</v>
      </c>
      <c r="AD20" s="39">
        <f t="shared" ca="1" si="27"/>
        <v>0</v>
      </c>
      <c r="AE20" s="39">
        <f t="shared" ca="1" si="27"/>
        <v>0</v>
      </c>
      <c r="AF20" s="39">
        <f t="shared" ca="1" si="27"/>
        <v>0</v>
      </c>
      <c r="AG20" s="39">
        <f t="shared" ca="1" si="27"/>
        <v>0</v>
      </c>
      <c r="AH20" s="39">
        <f t="shared" ca="1" si="27"/>
        <v>0</v>
      </c>
      <c r="AI20" s="39">
        <f t="shared" ca="1" si="27"/>
        <v>0</v>
      </c>
      <c r="AJ20" s="39">
        <f t="shared" ref="AJ20:BO20" ca="1" si="28">(-AJ10+AJ15+AJ16+AJ17*(1-W_promote))*(1-W_s)</f>
        <v>528616385.36540586</v>
      </c>
      <c r="AK20" s="39">
        <f t="shared" ca="1" si="28"/>
        <v>0</v>
      </c>
      <c r="AL20" s="39">
        <f t="shared" ca="1" si="28"/>
        <v>0</v>
      </c>
      <c r="AM20" s="39">
        <f t="shared" ca="1" si="28"/>
        <v>0</v>
      </c>
      <c r="AN20" s="39">
        <f t="shared" ca="1" si="28"/>
        <v>0</v>
      </c>
      <c r="AO20" s="39">
        <f t="shared" ca="1" si="28"/>
        <v>0</v>
      </c>
      <c r="AP20" s="39">
        <f t="shared" ca="1" si="28"/>
        <v>0</v>
      </c>
      <c r="AQ20" s="39">
        <f t="shared" ca="1" si="28"/>
        <v>0</v>
      </c>
      <c r="AR20" s="39">
        <f t="shared" ca="1" si="28"/>
        <v>0</v>
      </c>
      <c r="AS20" s="39">
        <f t="shared" ca="1" si="28"/>
        <v>0</v>
      </c>
      <c r="AT20" s="39">
        <f t="shared" ca="1" si="28"/>
        <v>0</v>
      </c>
      <c r="AU20" s="39">
        <f t="shared" ca="1" si="28"/>
        <v>0</v>
      </c>
      <c r="AV20" s="39">
        <f t="shared" ca="1" si="28"/>
        <v>0</v>
      </c>
      <c r="AW20" s="39">
        <f t="shared" ca="1" si="28"/>
        <v>0</v>
      </c>
      <c r="AX20" s="39">
        <f t="shared" ca="1" si="28"/>
        <v>0</v>
      </c>
      <c r="AY20" s="39">
        <f t="shared" ca="1" si="28"/>
        <v>0</v>
      </c>
      <c r="AZ20" s="39">
        <f t="shared" ca="1" si="28"/>
        <v>0</v>
      </c>
      <c r="BA20" s="39">
        <f t="shared" ca="1" si="28"/>
        <v>0</v>
      </c>
      <c r="BB20" s="39">
        <f t="shared" ca="1" si="28"/>
        <v>0</v>
      </c>
      <c r="BC20" s="39">
        <f t="shared" ca="1" si="28"/>
        <v>0</v>
      </c>
      <c r="BD20" s="39">
        <f t="shared" ca="1" si="28"/>
        <v>0</v>
      </c>
      <c r="BE20" s="39">
        <f t="shared" ca="1" si="28"/>
        <v>0</v>
      </c>
      <c r="BF20" s="39">
        <f t="shared" ca="1" si="28"/>
        <v>0</v>
      </c>
      <c r="BG20" s="39">
        <f t="shared" ca="1" si="28"/>
        <v>0</v>
      </c>
      <c r="BH20" s="39">
        <f t="shared" ca="1" si="28"/>
        <v>0</v>
      </c>
      <c r="BI20" s="39">
        <f t="shared" ca="1" si="28"/>
        <v>0</v>
      </c>
      <c r="BJ20" s="39">
        <f t="shared" ca="1" si="28"/>
        <v>0</v>
      </c>
      <c r="BK20" s="39">
        <f t="shared" ca="1" si="28"/>
        <v>0</v>
      </c>
      <c r="BL20" s="39">
        <f t="shared" ca="1" si="28"/>
        <v>0</v>
      </c>
      <c r="BM20" s="39">
        <f t="shared" ca="1" si="28"/>
        <v>0</v>
      </c>
      <c r="BN20" s="39">
        <f t="shared" ca="1" si="28"/>
        <v>0</v>
      </c>
      <c r="BO20" s="39">
        <f t="shared" ca="1" si="28"/>
        <v>0</v>
      </c>
      <c r="BP20" s="39">
        <f t="shared" ref="BP20:CU20" ca="1" si="29">(-BP10+BP15+BP16+BP17*(1-W_promote))*(1-W_s)</f>
        <v>0</v>
      </c>
      <c r="BQ20" s="39">
        <f t="shared" ca="1" si="29"/>
        <v>0</v>
      </c>
      <c r="BR20" s="39">
        <f t="shared" ca="1" si="29"/>
        <v>0</v>
      </c>
      <c r="BS20" s="39">
        <f t="shared" ca="1" si="29"/>
        <v>0</v>
      </c>
      <c r="BT20" s="39">
        <f t="shared" ca="1" si="29"/>
        <v>0</v>
      </c>
      <c r="BU20" s="39">
        <f t="shared" ca="1" si="29"/>
        <v>0</v>
      </c>
      <c r="BV20" s="39">
        <f t="shared" ca="1" si="29"/>
        <v>0</v>
      </c>
      <c r="BW20" s="39">
        <f t="shared" ca="1" si="29"/>
        <v>0</v>
      </c>
      <c r="BX20" s="39">
        <f t="shared" ca="1" si="29"/>
        <v>0</v>
      </c>
      <c r="BY20" s="39">
        <f t="shared" ca="1" si="29"/>
        <v>0</v>
      </c>
      <c r="BZ20" s="39">
        <f t="shared" ca="1" si="29"/>
        <v>0</v>
      </c>
      <c r="CA20" s="39">
        <f t="shared" ca="1" si="29"/>
        <v>0</v>
      </c>
      <c r="CB20" s="39">
        <f t="shared" ca="1" si="29"/>
        <v>0</v>
      </c>
      <c r="CC20" s="39">
        <f t="shared" ca="1" si="29"/>
        <v>0</v>
      </c>
      <c r="CD20" s="39">
        <f t="shared" ca="1" si="29"/>
        <v>0</v>
      </c>
      <c r="CE20" s="39">
        <f t="shared" ca="1" si="29"/>
        <v>0</v>
      </c>
      <c r="CF20" s="39">
        <f t="shared" ca="1" si="29"/>
        <v>0</v>
      </c>
      <c r="CG20" s="39">
        <f t="shared" ca="1" si="29"/>
        <v>0</v>
      </c>
      <c r="CH20" s="39">
        <f t="shared" ca="1" si="29"/>
        <v>0</v>
      </c>
      <c r="CI20" s="39">
        <f t="shared" ca="1" si="29"/>
        <v>0</v>
      </c>
      <c r="CJ20" s="39">
        <f t="shared" ca="1" si="29"/>
        <v>0</v>
      </c>
      <c r="CK20" s="39">
        <f t="shared" ca="1" si="29"/>
        <v>0</v>
      </c>
      <c r="CL20" s="39">
        <f t="shared" ca="1" si="29"/>
        <v>0</v>
      </c>
      <c r="CM20" s="39">
        <f t="shared" ca="1" si="29"/>
        <v>0</v>
      </c>
      <c r="CN20" s="39">
        <f t="shared" ca="1" si="29"/>
        <v>0</v>
      </c>
      <c r="CO20" s="39">
        <f t="shared" ca="1" si="29"/>
        <v>0</v>
      </c>
      <c r="CP20" s="39">
        <f t="shared" ca="1" si="29"/>
        <v>0</v>
      </c>
      <c r="CQ20" s="39">
        <f t="shared" ca="1" si="29"/>
        <v>0</v>
      </c>
      <c r="CR20" s="39">
        <f t="shared" ca="1" si="29"/>
        <v>0</v>
      </c>
      <c r="CS20" s="39">
        <f t="shared" ca="1" si="29"/>
        <v>0</v>
      </c>
      <c r="CT20" s="39">
        <f t="shared" ca="1" si="29"/>
        <v>0</v>
      </c>
      <c r="CU20" s="39">
        <f t="shared" ca="1" si="29"/>
        <v>0</v>
      </c>
    </row>
    <row r="21" spans="1:99" x14ac:dyDescent="0.3">
      <c r="A21" s="38" t="s">
        <v>451</v>
      </c>
      <c r="B21" s="39">
        <f ca="1">SUM(D21:CU21)</f>
        <v>84929303.5858908</v>
      </c>
      <c r="C21" s="40"/>
      <c r="D21" s="39">
        <f t="shared" ref="D21:AI21" ca="1" si="30">(-D10+D15+D16+D17*(1-W_promote))*W_s+D17*W_promote</f>
        <v>-57010000</v>
      </c>
      <c r="E21" s="39">
        <f t="shared" ca="1" si="30"/>
        <v>-233703</v>
      </c>
      <c r="F21" s="39">
        <f t="shared" ca="1" si="30"/>
        <v>-233703</v>
      </c>
      <c r="G21" s="39">
        <f t="shared" ca="1" si="30"/>
        <v>-233703</v>
      </c>
      <c r="H21" s="39">
        <f t="shared" ca="1" si="30"/>
        <v>-233703</v>
      </c>
      <c r="I21" s="39">
        <f t="shared" ca="1" si="30"/>
        <v>0</v>
      </c>
      <c r="J21" s="39">
        <f t="shared" ca="1" si="30"/>
        <v>0</v>
      </c>
      <c r="K21" s="39">
        <f t="shared" ca="1" si="30"/>
        <v>0</v>
      </c>
      <c r="L21" s="39">
        <f t="shared" ca="1" si="30"/>
        <v>-1352745.1135926954</v>
      </c>
      <c r="M21" s="39">
        <f t="shared" ca="1" si="30"/>
        <v>-1656924.9729741435</v>
      </c>
      <c r="N21" s="39">
        <f t="shared" ca="1" si="30"/>
        <v>-452005.79620497202</v>
      </c>
      <c r="O21" s="39">
        <f t="shared" ca="1" si="30"/>
        <v>-933255.03571110801</v>
      </c>
      <c r="P21" s="39">
        <f t="shared" ca="1" si="30"/>
        <v>-1390674.7952552589</v>
      </c>
      <c r="Q21" s="39">
        <f t="shared" ca="1" si="30"/>
        <v>-1814477.3956482117</v>
      </c>
      <c r="R21" s="39">
        <f t="shared" ca="1" si="30"/>
        <v>-2195235.8616332309</v>
      </c>
      <c r="S21" s="39">
        <f t="shared" ca="1" si="30"/>
        <v>-2524024.5663370024</v>
      </c>
      <c r="T21" s="39">
        <f t="shared" ca="1" si="30"/>
        <v>-2792545.8958979356</v>
      </c>
      <c r="U21" s="39">
        <f t="shared" ca="1" si="30"/>
        <v>-2993238.2782142228</v>
      </c>
      <c r="V21" s="39">
        <f t="shared" ca="1" si="30"/>
        <v>-3119360.0756513518</v>
      </c>
      <c r="W21" s="39">
        <f t="shared" ca="1" si="30"/>
        <v>-3165042.4122387078</v>
      </c>
      <c r="X21" s="39">
        <f t="shared" ca="1" si="30"/>
        <v>-742305.86196283111</v>
      </c>
      <c r="Y21" s="39">
        <f t="shared" ca="1" si="30"/>
        <v>0</v>
      </c>
      <c r="Z21" s="39">
        <f t="shared" ca="1" si="30"/>
        <v>0</v>
      </c>
      <c r="AA21" s="39">
        <f t="shared" ca="1" si="30"/>
        <v>0</v>
      </c>
      <c r="AB21" s="39">
        <f t="shared" ca="1" si="30"/>
        <v>0</v>
      </c>
      <c r="AC21" s="39">
        <f t="shared" ca="1" si="30"/>
        <v>0</v>
      </c>
      <c r="AD21" s="39">
        <f t="shared" ca="1" si="30"/>
        <v>0</v>
      </c>
      <c r="AE21" s="39">
        <f t="shared" ca="1" si="30"/>
        <v>0</v>
      </c>
      <c r="AF21" s="39">
        <f t="shared" ca="1" si="30"/>
        <v>0</v>
      </c>
      <c r="AG21" s="39">
        <f t="shared" ca="1" si="30"/>
        <v>0</v>
      </c>
      <c r="AH21" s="39">
        <f t="shared" ca="1" si="30"/>
        <v>0</v>
      </c>
      <c r="AI21" s="39">
        <f t="shared" ca="1" si="30"/>
        <v>0</v>
      </c>
      <c r="AJ21" s="39">
        <f t="shared" ref="AJ21:BO21" ca="1" si="31">(-AJ10+AJ15+AJ16+AJ17*(1-W_promote))*W_s+AJ17*W_promote</f>
        <v>168005951.64772877</v>
      </c>
      <c r="AK21" s="39">
        <f t="shared" ca="1" si="31"/>
        <v>0</v>
      </c>
      <c r="AL21" s="39">
        <f t="shared" ca="1" si="31"/>
        <v>0</v>
      </c>
      <c r="AM21" s="39">
        <f t="shared" ca="1" si="31"/>
        <v>0</v>
      </c>
      <c r="AN21" s="39">
        <f t="shared" ca="1" si="31"/>
        <v>0</v>
      </c>
      <c r="AO21" s="39">
        <f t="shared" ca="1" si="31"/>
        <v>0</v>
      </c>
      <c r="AP21" s="39">
        <f t="shared" ca="1" si="31"/>
        <v>0</v>
      </c>
      <c r="AQ21" s="39">
        <f t="shared" ca="1" si="31"/>
        <v>0</v>
      </c>
      <c r="AR21" s="39">
        <f t="shared" ca="1" si="31"/>
        <v>0</v>
      </c>
      <c r="AS21" s="39">
        <f t="shared" ca="1" si="31"/>
        <v>0</v>
      </c>
      <c r="AT21" s="39">
        <f t="shared" ca="1" si="31"/>
        <v>0</v>
      </c>
      <c r="AU21" s="39">
        <f t="shared" ca="1" si="31"/>
        <v>0</v>
      </c>
      <c r="AV21" s="39">
        <f t="shared" ca="1" si="31"/>
        <v>0</v>
      </c>
      <c r="AW21" s="39">
        <f t="shared" ca="1" si="31"/>
        <v>0</v>
      </c>
      <c r="AX21" s="39">
        <f t="shared" ca="1" si="31"/>
        <v>0</v>
      </c>
      <c r="AY21" s="39">
        <f t="shared" ca="1" si="31"/>
        <v>0</v>
      </c>
      <c r="AZ21" s="39">
        <f t="shared" ca="1" si="31"/>
        <v>0</v>
      </c>
      <c r="BA21" s="39">
        <f t="shared" ca="1" si="31"/>
        <v>0</v>
      </c>
      <c r="BB21" s="39">
        <f t="shared" ca="1" si="31"/>
        <v>0</v>
      </c>
      <c r="BC21" s="39">
        <f t="shared" ca="1" si="31"/>
        <v>0</v>
      </c>
      <c r="BD21" s="39">
        <f t="shared" ca="1" si="31"/>
        <v>0</v>
      </c>
      <c r="BE21" s="39">
        <f t="shared" ca="1" si="31"/>
        <v>0</v>
      </c>
      <c r="BF21" s="39">
        <f t="shared" ca="1" si="31"/>
        <v>0</v>
      </c>
      <c r="BG21" s="39">
        <f t="shared" ca="1" si="31"/>
        <v>0</v>
      </c>
      <c r="BH21" s="39">
        <f t="shared" ca="1" si="31"/>
        <v>0</v>
      </c>
      <c r="BI21" s="39">
        <f t="shared" ca="1" si="31"/>
        <v>0</v>
      </c>
      <c r="BJ21" s="39">
        <f t="shared" ca="1" si="31"/>
        <v>0</v>
      </c>
      <c r="BK21" s="39">
        <f t="shared" ca="1" si="31"/>
        <v>0</v>
      </c>
      <c r="BL21" s="39">
        <f t="shared" ca="1" si="31"/>
        <v>0</v>
      </c>
      <c r="BM21" s="39">
        <f t="shared" ca="1" si="31"/>
        <v>0</v>
      </c>
      <c r="BN21" s="39">
        <f t="shared" ca="1" si="31"/>
        <v>0</v>
      </c>
      <c r="BO21" s="39">
        <f t="shared" ca="1" si="31"/>
        <v>0</v>
      </c>
      <c r="BP21" s="39">
        <f t="shared" ref="BP21:CU21" ca="1" si="32">(-BP10+BP15+BP16+BP17*(1-W_promote))*W_s+BP17*W_promote</f>
        <v>0</v>
      </c>
      <c r="BQ21" s="39">
        <f t="shared" ca="1" si="32"/>
        <v>0</v>
      </c>
      <c r="BR21" s="39">
        <f t="shared" ca="1" si="32"/>
        <v>0</v>
      </c>
      <c r="BS21" s="39">
        <f t="shared" ca="1" si="32"/>
        <v>0</v>
      </c>
      <c r="BT21" s="39">
        <f t="shared" ca="1" si="32"/>
        <v>0</v>
      </c>
      <c r="BU21" s="39">
        <f t="shared" ca="1" si="32"/>
        <v>0</v>
      </c>
      <c r="BV21" s="39">
        <f t="shared" ca="1" si="32"/>
        <v>0</v>
      </c>
      <c r="BW21" s="39">
        <f t="shared" ca="1" si="32"/>
        <v>0</v>
      </c>
      <c r="BX21" s="39">
        <f t="shared" ca="1" si="32"/>
        <v>0</v>
      </c>
      <c r="BY21" s="39">
        <f t="shared" ca="1" si="32"/>
        <v>0</v>
      </c>
      <c r="BZ21" s="39">
        <f t="shared" ca="1" si="32"/>
        <v>0</v>
      </c>
      <c r="CA21" s="39">
        <f t="shared" ca="1" si="32"/>
        <v>0</v>
      </c>
      <c r="CB21" s="39">
        <f t="shared" ca="1" si="32"/>
        <v>0</v>
      </c>
      <c r="CC21" s="39">
        <f t="shared" ca="1" si="32"/>
        <v>0</v>
      </c>
      <c r="CD21" s="39">
        <f t="shared" ca="1" si="32"/>
        <v>0</v>
      </c>
      <c r="CE21" s="39">
        <f t="shared" ca="1" si="32"/>
        <v>0</v>
      </c>
      <c r="CF21" s="39">
        <f t="shared" ca="1" si="32"/>
        <v>0</v>
      </c>
      <c r="CG21" s="39">
        <f t="shared" ca="1" si="32"/>
        <v>0</v>
      </c>
      <c r="CH21" s="39">
        <f t="shared" ca="1" si="32"/>
        <v>0</v>
      </c>
      <c r="CI21" s="39">
        <f t="shared" ca="1" si="32"/>
        <v>0</v>
      </c>
      <c r="CJ21" s="39">
        <f t="shared" ca="1" si="32"/>
        <v>0</v>
      </c>
      <c r="CK21" s="39">
        <f t="shared" ca="1" si="32"/>
        <v>0</v>
      </c>
      <c r="CL21" s="39">
        <f t="shared" ca="1" si="32"/>
        <v>0</v>
      </c>
      <c r="CM21" s="39">
        <f t="shared" ca="1" si="32"/>
        <v>0</v>
      </c>
      <c r="CN21" s="39">
        <f t="shared" ca="1" si="32"/>
        <v>0</v>
      </c>
      <c r="CO21" s="39">
        <f t="shared" ca="1" si="32"/>
        <v>0</v>
      </c>
      <c r="CP21" s="39">
        <f t="shared" ca="1" si="32"/>
        <v>0</v>
      </c>
      <c r="CQ21" s="39">
        <f t="shared" ca="1" si="32"/>
        <v>0</v>
      </c>
      <c r="CR21" s="39">
        <f t="shared" ca="1" si="32"/>
        <v>0</v>
      </c>
      <c r="CS21" s="39">
        <f t="shared" ca="1" si="32"/>
        <v>0</v>
      </c>
      <c r="CT21" s="39">
        <f t="shared" ca="1" si="32"/>
        <v>0</v>
      </c>
      <c r="CU21" s="39">
        <f t="shared" ca="1" si="32"/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17345E"/>
  </sheetPr>
  <dimension ref="A1:G32"/>
  <sheetViews>
    <sheetView showGridLines="0" workbookViewId="0"/>
  </sheetViews>
  <sheetFormatPr defaultRowHeight="14.4" x14ac:dyDescent="0.3"/>
  <cols>
    <col min="1" max="1" width="44" customWidth="1"/>
    <col min="2" max="5" width="16" customWidth="1"/>
    <col min="6" max="6" width="44" customWidth="1"/>
  </cols>
  <sheetData>
    <row r="1" spans="1:7" ht="21" x14ac:dyDescent="0.4">
      <c r="A1" s="10" t="s">
        <v>191</v>
      </c>
      <c r="B1" s="1"/>
      <c r="C1" s="1"/>
      <c r="D1" s="1"/>
      <c r="E1" s="1"/>
      <c r="F1" s="1"/>
      <c r="G1" s="1"/>
    </row>
    <row r="2" spans="1:7" x14ac:dyDescent="0.3">
      <c r="A2" s="11" t="s">
        <v>452</v>
      </c>
      <c r="B2" s="1"/>
      <c r="C2" s="1"/>
      <c r="D2" s="1"/>
      <c r="E2" s="1"/>
      <c r="F2" s="1"/>
      <c r="G2" s="1"/>
    </row>
    <row r="3" spans="1:7" x14ac:dyDescent="0.3">
      <c r="A3" s="1"/>
      <c r="B3" s="1"/>
      <c r="C3" s="1"/>
      <c r="D3" s="1"/>
      <c r="E3" s="1"/>
      <c r="F3" s="1"/>
      <c r="G3" s="1"/>
    </row>
    <row r="4" spans="1:7" x14ac:dyDescent="0.3">
      <c r="A4" s="12" t="s">
        <v>453</v>
      </c>
      <c r="B4" s="12" t="s">
        <v>454</v>
      </c>
      <c r="C4" s="12" t="s">
        <v>455</v>
      </c>
      <c r="D4" s="12" t="s">
        <v>456</v>
      </c>
      <c r="E4" s="12" t="s">
        <v>457</v>
      </c>
      <c r="F4" s="12" t="s">
        <v>458</v>
      </c>
      <c r="G4" s="1"/>
    </row>
    <row r="5" spans="1:7" x14ac:dyDescent="0.3">
      <c r="A5" s="13" t="s">
        <v>459</v>
      </c>
      <c r="B5" s="14"/>
      <c r="C5" s="14"/>
      <c r="D5" s="14"/>
      <c r="E5" s="14"/>
      <c r="F5" s="14"/>
      <c r="G5" s="1"/>
    </row>
    <row r="6" spans="1:7" x14ac:dyDescent="0.3">
      <c r="A6" s="7" t="s">
        <v>340</v>
      </c>
      <c r="B6" s="34">
        <f>SUM(M_land)</f>
        <v>265000000</v>
      </c>
      <c r="C6" s="34">
        <f>IF((D_GBA+D_Below)&gt;0,B6/(D_GBA+D_Below),0)</f>
        <v>19015.499425947186</v>
      </c>
      <c r="D6" s="34">
        <f>IF(D_Units&gt;0,B6/D_Units,0)</f>
        <v>3533333.3333333335</v>
      </c>
      <c r="E6" s="44">
        <f ca="1">IF(TotalCost&lt;&gt;0,B6/TotalCost,0)</f>
        <v>0.3508807911759193</v>
      </c>
      <c r="F6" s="11" t="s">
        <v>460</v>
      </c>
      <c r="G6" s="1"/>
    </row>
    <row r="7" spans="1:7" x14ac:dyDescent="0.3">
      <c r="A7" s="7" t="s">
        <v>461</v>
      </c>
      <c r="B7" s="34">
        <f>SUM(M_acq)</f>
        <v>20049999.999999996</v>
      </c>
      <c r="C7" s="34">
        <f>IF((D_GBA+D_Below)&gt;0,B7/(D_GBA+D_Below),0)</f>
        <v>1438.7198622273247</v>
      </c>
      <c r="D7" s="34">
        <f>IF(D_Units&gt;0,B7/D_Units,0)</f>
        <v>267333.33333333326</v>
      </c>
      <c r="E7" s="44">
        <f ca="1">IF(TotalCost&lt;&gt;0,B7/TotalCost,0)</f>
        <v>2.6547773068215777E-2</v>
      </c>
      <c r="F7" s="11" t="s">
        <v>462</v>
      </c>
      <c r="G7" s="1"/>
    </row>
    <row r="8" spans="1:7" x14ac:dyDescent="0.3">
      <c r="A8" s="13" t="s">
        <v>25</v>
      </c>
      <c r="B8" s="14"/>
      <c r="C8" s="14"/>
      <c r="D8" s="14"/>
      <c r="E8" s="14"/>
      <c r="F8" s="14"/>
      <c r="G8" s="1"/>
    </row>
    <row r="9" spans="1:7" x14ac:dyDescent="0.3">
      <c r="A9" s="7" t="s">
        <v>463</v>
      </c>
      <c r="B9" s="34">
        <f>SUM(M_hard)</f>
        <v>338024924.11769235</v>
      </c>
      <c r="C9" s="34">
        <f t="shared" ref="C9:C14" si="0">IF((D_GBA+D_Below)&gt;0,B9/(D_GBA+D_Below),0)</f>
        <v>24255.519813267249</v>
      </c>
      <c r="D9" s="34">
        <f t="shared" ref="D9:D14" si="1">IF(D_Units&gt;0,B9/D_Units,0)</f>
        <v>4506998.9882358983</v>
      </c>
      <c r="E9" s="44">
        <f t="shared" ref="E9:E14" ca="1" si="2">IF(TotalCost&lt;&gt;0,B9/TotalCost,0)</f>
        <v>0.44757152004375844</v>
      </c>
      <c r="F9" s="11" t="s">
        <v>464</v>
      </c>
      <c r="G9" s="1"/>
    </row>
    <row r="10" spans="1:7" x14ac:dyDescent="0.3">
      <c r="A10" s="7" t="s">
        <v>101</v>
      </c>
      <c r="B10" s="34">
        <f>SUM(M_soft)</f>
        <v>38950500</v>
      </c>
      <c r="C10" s="34">
        <f t="shared" si="0"/>
        <v>2794.9555109070034</v>
      </c>
      <c r="D10" s="34">
        <f t="shared" si="1"/>
        <v>519340</v>
      </c>
      <c r="E10" s="44">
        <f t="shared" ca="1" si="2"/>
        <v>5.1573517949802437E-2</v>
      </c>
      <c r="F10" s="11" t="s">
        <v>465</v>
      </c>
      <c r="G10" s="1"/>
    </row>
    <row r="11" spans="1:7" x14ac:dyDescent="0.3">
      <c r="A11" s="7" t="s">
        <v>203</v>
      </c>
      <c r="B11" s="34">
        <f>SUM(M_cont)</f>
        <v>17527724.999999996</v>
      </c>
      <c r="C11" s="34">
        <f t="shared" si="0"/>
        <v>1257.7299799081513</v>
      </c>
      <c r="D11" s="34">
        <f t="shared" si="1"/>
        <v>233702.99999999994</v>
      </c>
      <c r="E11" s="44">
        <f t="shared" ca="1" si="2"/>
        <v>2.3208083077411092E-2</v>
      </c>
      <c r="F11" s="11" t="s">
        <v>204</v>
      </c>
      <c r="G11" s="1"/>
    </row>
    <row r="12" spans="1:7" x14ac:dyDescent="0.3">
      <c r="A12" s="7" t="s">
        <v>208</v>
      </c>
      <c r="B12" s="34">
        <f>SUM(M_fee)</f>
        <v>10516635</v>
      </c>
      <c r="C12" s="34">
        <f t="shared" si="0"/>
        <v>754.63798794489094</v>
      </c>
      <c r="D12" s="34">
        <f t="shared" si="1"/>
        <v>140221.79999999999</v>
      </c>
      <c r="E12" s="44">
        <f t="shared" ca="1" si="2"/>
        <v>1.3924849846446657E-2</v>
      </c>
      <c r="F12" s="11" t="s">
        <v>204</v>
      </c>
      <c r="G12" s="1"/>
    </row>
    <row r="13" spans="1:7" x14ac:dyDescent="0.3">
      <c r="A13" s="7" t="s">
        <v>343</v>
      </c>
      <c r="B13" s="34">
        <f>SUM(M_cv)</f>
        <v>0</v>
      </c>
      <c r="C13" s="34">
        <f t="shared" si="0"/>
        <v>0</v>
      </c>
      <c r="D13" s="34">
        <f t="shared" si="1"/>
        <v>0</v>
      </c>
      <c r="E13" s="44">
        <f t="shared" ca="1" si="2"/>
        <v>0</v>
      </c>
      <c r="F13" s="11" t="s">
        <v>466</v>
      </c>
      <c r="G13" s="1"/>
    </row>
    <row r="14" spans="1:7" x14ac:dyDescent="0.3">
      <c r="A14" s="7" t="s">
        <v>344</v>
      </c>
      <c r="B14" s="34">
        <f>SUM(M_cflow)</f>
        <v>0</v>
      </c>
      <c r="C14" s="34">
        <f t="shared" si="0"/>
        <v>0</v>
      </c>
      <c r="D14" s="34">
        <f t="shared" si="1"/>
        <v>0</v>
      </c>
      <c r="E14" s="44">
        <f t="shared" ca="1" si="2"/>
        <v>0</v>
      </c>
      <c r="F14" s="11" t="s">
        <v>467</v>
      </c>
      <c r="G14" s="1"/>
    </row>
    <row r="15" spans="1:7" x14ac:dyDescent="0.3">
      <c r="A15" s="13" t="s">
        <v>103</v>
      </c>
      <c r="B15" s="14"/>
      <c r="C15" s="14"/>
      <c r="D15" s="14"/>
      <c r="E15" s="14"/>
      <c r="F15" s="14"/>
      <c r="G15" s="1"/>
    </row>
    <row r="16" spans="1:7" x14ac:dyDescent="0.3">
      <c r="A16" s="7" t="s">
        <v>468</v>
      </c>
      <c r="B16" s="34">
        <f>IF(in_mode_sale=1,SUM(M_SalesCost),0)</f>
        <v>51824067.59067139</v>
      </c>
      <c r="C16" s="34">
        <f>IF((D_GBA+D_Below)&gt;0,B16/(D_GBA+D_Below),0)</f>
        <v>3718.7189717760757</v>
      </c>
      <c r="D16" s="34">
        <f>IF(D_Units&gt;0,B16/D_Units,0)</f>
        <v>690987.56787561858</v>
      </c>
      <c r="E16" s="44">
        <f ca="1">IF(TotalCost&lt;&gt;0,B16/TotalCost,0)</f>
        <v>6.861913146478904E-2</v>
      </c>
      <c r="F16" s="11" t="s">
        <v>469</v>
      </c>
      <c r="G16" s="1"/>
    </row>
    <row r="17" spans="1:7" x14ac:dyDescent="0.3">
      <c r="A17" s="13" t="s">
        <v>105</v>
      </c>
      <c r="B17" s="14"/>
      <c r="C17" s="14"/>
      <c r="D17" s="14"/>
      <c r="E17" s="14"/>
      <c r="F17" s="14"/>
      <c r="G17" s="1"/>
    </row>
    <row r="18" spans="1:7" x14ac:dyDescent="0.3">
      <c r="A18" s="7" t="s">
        <v>470</v>
      </c>
      <c r="B18" s="34">
        <f ca="1">FinCost</f>
        <v>13348403.394561581</v>
      </c>
      <c r="C18" s="34">
        <f ca="1">IF((D_GBA+D_Below)&gt;0,B18/(D_GBA+D_Below),0)</f>
        <v>957.83606447772536</v>
      </c>
      <c r="D18" s="34">
        <f ca="1">IF(D_Units&gt;0,B18/D_Units,0)</f>
        <v>177978.71192748775</v>
      </c>
      <c r="E18" s="44">
        <f ca="1">IF(TotalCost&lt;&gt;0,B18/TotalCost,0)</f>
        <v>1.767433337365696E-2</v>
      </c>
      <c r="F18" s="11" t="s">
        <v>471</v>
      </c>
      <c r="G18" s="1"/>
    </row>
    <row r="19" spans="1:7" x14ac:dyDescent="0.3">
      <c r="A19" s="38" t="s">
        <v>62</v>
      </c>
      <c r="B19" s="39">
        <f ca="1">SUM(B5:B18)</f>
        <v>755242255.1029253</v>
      </c>
      <c r="C19" s="47"/>
      <c r="D19" s="47"/>
      <c r="E19" s="47"/>
      <c r="F19" s="40" t="s">
        <v>472</v>
      </c>
      <c r="G19" s="48">
        <f ca="1">ROUND(B19-TotalCost,0)</f>
        <v>0</v>
      </c>
    </row>
    <row r="20" spans="1:7" x14ac:dyDescent="0.3">
      <c r="A20" s="1"/>
      <c r="B20" s="1"/>
      <c r="C20" s="1"/>
      <c r="D20" s="1"/>
      <c r="E20" s="1"/>
      <c r="F20" s="1"/>
      <c r="G20" s="1"/>
    </row>
    <row r="21" spans="1:7" x14ac:dyDescent="0.3">
      <c r="A21" s="1"/>
      <c r="B21" s="1"/>
      <c r="C21" s="1"/>
      <c r="D21" s="1"/>
      <c r="E21" s="1"/>
      <c r="F21" s="1"/>
      <c r="G21" s="1"/>
    </row>
    <row r="22" spans="1:7" x14ac:dyDescent="0.3">
      <c r="A22" s="13" t="s">
        <v>473</v>
      </c>
      <c r="B22" s="14"/>
      <c r="C22" s="14"/>
      <c r="D22" s="14"/>
      <c r="E22" s="14"/>
      <c r="F22" s="14"/>
      <c r="G22" s="1"/>
    </row>
    <row r="23" spans="1:7" x14ac:dyDescent="0.3">
      <c r="A23" s="7" t="str">
        <f>Assumptions!A123</f>
        <v>Demolition &amp; excavation</v>
      </c>
      <c r="B23" s="23">
        <f>C_HardAbove*Assumptions!B123</f>
        <v>10368000</v>
      </c>
      <c r="C23" s="1"/>
      <c r="D23" s="1"/>
      <c r="E23" s="1"/>
      <c r="F23" s="1"/>
      <c r="G23" s="1"/>
    </row>
    <row r="24" spans="1:7" x14ac:dyDescent="0.3">
      <c r="A24" s="7" t="str">
        <f>Assumptions!A124</f>
        <v>Foundations</v>
      </c>
      <c r="B24" s="23">
        <f>C_HardAbove*Assumptions!B124</f>
        <v>20736000</v>
      </c>
      <c r="C24" s="1"/>
      <c r="D24" s="1"/>
      <c r="E24" s="1"/>
      <c r="F24" s="1"/>
      <c r="G24" s="1"/>
    </row>
    <row r="25" spans="1:7" x14ac:dyDescent="0.3">
      <c r="A25" s="7" t="str">
        <f>Assumptions!A125</f>
        <v>Structure</v>
      </c>
      <c r="B25" s="23">
        <f>C_HardAbove*Assumptions!B125</f>
        <v>69984000</v>
      </c>
      <c r="C25" s="1"/>
      <c r="D25" s="1"/>
      <c r="E25" s="1"/>
      <c r="F25" s="1"/>
      <c r="G25" s="1"/>
    </row>
    <row r="26" spans="1:7" x14ac:dyDescent="0.3">
      <c r="A26" s="7" t="str">
        <f>Assumptions!A126</f>
        <v>Façade &amp; envelope</v>
      </c>
      <c r="B26" s="23">
        <f>C_HardAbove*Assumptions!B126</f>
        <v>23328000</v>
      </c>
      <c r="C26" s="1"/>
      <c r="D26" s="1"/>
      <c r="E26" s="1"/>
      <c r="F26" s="1"/>
      <c r="G26" s="1"/>
    </row>
    <row r="27" spans="1:7" x14ac:dyDescent="0.3">
      <c r="A27" s="7" t="str">
        <f>Assumptions!A127</f>
        <v>MEP systems</v>
      </c>
      <c r="B27" s="23">
        <f>C_HardAbove*Assumptions!B127</f>
        <v>46656000</v>
      </c>
      <c r="C27" s="1"/>
      <c r="D27" s="1"/>
      <c r="E27" s="1"/>
      <c r="F27" s="1"/>
      <c r="G27" s="1"/>
    </row>
    <row r="28" spans="1:7" x14ac:dyDescent="0.3">
      <c r="A28" s="7" t="str">
        <f>Assumptions!A128</f>
        <v>Elevators</v>
      </c>
      <c r="B28" s="23">
        <f>C_HardAbove*Assumptions!B128</f>
        <v>10368000</v>
      </c>
      <c r="C28" s="1"/>
      <c r="D28" s="1"/>
      <c r="E28" s="1"/>
      <c r="F28" s="1"/>
      <c r="G28" s="1"/>
    </row>
    <row r="29" spans="1:7" x14ac:dyDescent="0.3">
      <c r="A29" s="7" t="str">
        <f>Assumptions!A129</f>
        <v>Finishes</v>
      </c>
      <c r="B29" s="23">
        <f>C_HardAbove*Assumptions!B129</f>
        <v>49248000</v>
      </c>
      <c r="C29" s="1"/>
      <c r="D29" s="1"/>
      <c r="E29" s="1"/>
      <c r="F29" s="1"/>
      <c r="G29" s="1"/>
    </row>
    <row r="30" spans="1:7" x14ac:dyDescent="0.3">
      <c r="A30" s="7" t="str">
        <f>Assumptions!A130</f>
        <v>Amenities</v>
      </c>
      <c r="B30" s="23">
        <f>C_HardAbove*Assumptions!B130</f>
        <v>10368000</v>
      </c>
      <c r="C30" s="1"/>
      <c r="D30" s="1"/>
      <c r="E30" s="1"/>
      <c r="F30" s="1"/>
      <c r="G30" s="1"/>
    </row>
    <row r="31" spans="1:7" x14ac:dyDescent="0.3">
      <c r="A31" s="7" t="str">
        <f>Assumptions!A131</f>
        <v>Landscaping &amp; exterior</v>
      </c>
      <c r="B31" s="23">
        <f>C_HardAbove*Assumptions!B131</f>
        <v>5184000</v>
      </c>
      <c r="C31" s="1"/>
      <c r="D31" s="1"/>
      <c r="E31" s="1"/>
      <c r="F31" s="1"/>
      <c r="G31" s="1"/>
    </row>
    <row r="32" spans="1:7" x14ac:dyDescent="0.3">
      <c r="A32" s="7" t="str">
        <f>Assumptions!A132</f>
        <v>Infrastructure &amp; connections</v>
      </c>
      <c r="B32" s="23">
        <f>C_HardAbove*Assumptions!B132</f>
        <v>12960000</v>
      </c>
      <c r="C32" s="1"/>
      <c r="D32" s="1"/>
      <c r="E32" s="1"/>
      <c r="F32" s="1"/>
      <c r="G32" s="1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6250D6"/>
  </sheetPr>
  <dimension ref="A1:F26"/>
  <sheetViews>
    <sheetView showGridLines="0" workbookViewId="0"/>
  </sheetViews>
  <sheetFormatPr defaultRowHeight="14.4" x14ac:dyDescent="0.3"/>
  <cols>
    <col min="1" max="1" width="40" customWidth="1"/>
  </cols>
  <sheetData>
    <row r="1" spans="1:6" ht="21" x14ac:dyDescent="0.4">
      <c r="A1" s="10" t="s">
        <v>474</v>
      </c>
      <c r="B1" s="1"/>
      <c r="C1" s="1"/>
      <c r="D1" s="1"/>
      <c r="E1" s="1"/>
      <c r="F1" s="1"/>
    </row>
    <row r="2" spans="1:6" x14ac:dyDescent="0.3">
      <c r="A2" s="11" t="s">
        <v>475</v>
      </c>
      <c r="B2" s="1"/>
      <c r="C2" s="1"/>
      <c r="D2" s="1"/>
      <c r="E2" s="1"/>
      <c r="F2" s="1"/>
    </row>
    <row r="3" spans="1:6" x14ac:dyDescent="0.3">
      <c r="A3" s="1"/>
      <c r="B3" s="1"/>
      <c r="C3" s="1"/>
      <c r="D3" s="1"/>
      <c r="E3" s="1"/>
      <c r="F3" s="1"/>
    </row>
    <row r="4" spans="1:6" x14ac:dyDescent="0.3">
      <c r="A4" s="12" t="s">
        <v>476</v>
      </c>
      <c r="B4" s="12" t="s">
        <v>477</v>
      </c>
      <c r="C4" s="12" t="s">
        <v>478</v>
      </c>
      <c r="D4" s="12" t="s">
        <v>479</v>
      </c>
      <c r="E4" s="12" t="s">
        <v>480</v>
      </c>
      <c r="F4" s="12" t="s">
        <v>68</v>
      </c>
    </row>
    <row r="5" spans="1:6" x14ac:dyDescent="0.3">
      <c r="A5" s="1" t="s">
        <v>481</v>
      </c>
      <c r="B5" s="17">
        <v>0.24913765217686379</v>
      </c>
      <c r="C5" s="23">
        <v>281239096.70113051</v>
      </c>
      <c r="D5" s="17">
        <v>0.27134023801689688</v>
      </c>
      <c r="E5" s="20">
        <v>1.677059326146157</v>
      </c>
      <c r="F5" s="23">
        <v>415383240.19839191</v>
      </c>
    </row>
    <row r="6" spans="1:6" x14ac:dyDescent="0.3">
      <c r="A6" s="1" t="s">
        <v>482</v>
      </c>
      <c r="B6" s="17">
        <v>0.31765558400373611</v>
      </c>
      <c r="C6" s="23">
        <v>365253023.20449531</v>
      </c>
      <c r="D6" s="17">
        <v>0.33139859866904331</v>
      </c>
      <c r="E6" s="20">
        <v>1.901198987578798</v>
      </c>
      <c r="F6" s="23">
        <v>405296752.70253092</v>
      </c>
    </row>
    <row r="7" spans="1:6" x14ac:dyDescent="0.3">
      <c r="A7" s="1" t="s">
        <v>483</v>
      </c>
      <c r="B7" s="17">
        <v>0.11492444933945919</v>
      </c>
      <c r="C7" s="23">
        <v>154440803.11895791</v>
      </c>
      <c r="D7" s="17">
        <v>0.1617285374715666</v>
      </c>
      <c r="E7" s="20">
        <v>1.3507836054576561</v>
      </c>
      <c r="F7" s="23">
        <v>440273720.65311891</v>
      </c>
    </row>
    <row r="8" spans="1:6" x14ac:dyDescent="0.3">
      <c r="A8" s="1"/>
      <c r="B8" s="1"/>
      <c r="C8" s="1"/>
      <c r="D8" s="1"/>
      <c r="E8" s="1"/>
      <c r="F8" s="1"/>
    </row>
    <row r="9" spans="1:6" x14ac:dyDescent="0.3">
      <c r="A9" s="1"/>
      <c r="B9" s="1"/>
      <c r="C9" s="1"/>
      <c r="D9" s="1"/>
      <c r="E9" s="1"/>
      <c r="F9" s="1"/>
    </row>
    <row r="10" spans="1:6" x14ac:dyDescent="0.3">
      <c r="A10" s="4" t="s">
        <v>484</v>
      </c>
      <c r="B10" s="1"/>
      <c r="C10" s="1"/>
      <c r="D10" s="1"/>
      <c r="E10" s="1"/>
      <c r="F10" s="1"/>
    </row>
    <row r="11" spans="1:6" x14ac:dyDescent="0.3">
      <c r="A11" s="12" t="s">
        <v>485</v>
      </c>
      <c r="B11" s="12" t="s">
        <v>486</v>
      </c>
      <c r="C11" s="12" t="s">
        <v>487</v>
      </c>
      <c r="D11" s="1"/>
      <c r="E11" s="1"/>
      <c r="F11" s="1"/>
    </row>
    <row r="12" spans="1:6" x14ac:dyDescent="0.3">
      <c r="A12" s="1" t="s">
        <v>488</v>
      </c>
      <c r="B12" s="17">
        <v>0.16914634898713771</v>
      </c>
      <c r="C12" s="17">
        <v>0.32243862015051272</v>
      </c>
      <c r="D12" s="1"/>
      <c r="E12" s="1"/>
      <c r="F12" s="1"/>
    </row>
    <row r="13" spans="1:6" x14ac:dyDescent="0.3">
      <c r="A13" s="1" t="s">
        <v>489</v>
      </c>
      <c r="B13" s="17">
        <v>0.31427380090887058</v>
      </c>
      <c r="C13" s="17">
        <v>0.20214036645207711</v>
      </c>
      <c r="D13" s="1"/>
      <c r="E13" s="1"/>
      <c r="F13" s="1"/>
    </row>
    <row r="14" spans="1:6" x14ac:dyDescent="0.3">
      <c r="A14" s="1" t="s">
        <v>490</v>
      </c>
      <c r="B14" s="17">
        <v>0.2892352466793926</v>
      </c>
      <c r="C14" s="17">
        <v>0.21305575931891149</v>
      </c>
      <c r="D14" s="1"/>
      <c r="E14" s="1"/>
      <c r="F14" s="1"/>
    </row>
    <row r="15" spans="1:6" x14ac:dyDescent="0.3">
      <c r="A15" s="1" t="s">
        <v>491</v>
      </c>
      <c r="B15" s="17">
        <v>0.28092274065608119</v>
      </c>
      <c r="C15" s="17">
        <v>0.21753241187092501</v>
      </c>
      <c r="D15" s="1"/>
      <c r="E15" s="1"/>
      <c r="F15" s="1"/>
    </row>
    <row r="16" spans="1:6" x14ac:dyDescent="0.3">
      <c r="A16" s="1" t="s">
        <v>492</v>
      </c>
      <c r="B16" s="17">
        <v>0.25021281993918287</v>
      </c>
      <c r="C16" s="17">
        <v>0.24807085275190149</v>
      </c>
      <c r="D16" s="1"/>
      <c r="E16" s="1"/>
      <c r="F16" s="1"/>
    </row>
    <row r="17" spans="1:6" x14ac:dyDescent="0.3">
      <c r="A17" s="1" t="s">
        <v>493</v>
      </c>
      <c r="B17" s="17">
        <v>0.24651116424625991</v>
      </c>
      <c r="C17" s="17">
        <v>0.24567494542454241</v>
      </c>
      <c r="D17" s="1"/>
      <c r="E17" s="1"/>
      <c r="F17" s="1"/>
    </row>
    <row r="18" spans="1:6" x14ac:dyDescent="0.3">
      <c r="A18" s="1"/>
      <c r="B18" s="1"/>
      <c r="C18" s="1"/>
      <c r="D18" s="1"/>
      <c r="E18" s="1"/>
      <c r="F18" s="1"/>
    </row>
    <row r="19" spans="1:6" x14ac:dyDescent="0.3">
      <c r="A19" s="1"/>
      <c r="B19" s="1"/>
      <c r="C19" s="1"/>
      <c r="D19" s="1"/>
      <c r="E19" s="1"/>
      <c r="F19" s="1"/>
    </row>
    <row r="20" spans="1:6" x14ac:dyDescent="0.3">
      <c r="A20" s="4" t="s">
        <v>494</v>
      </c>
      <c r="B20" s="1"/>
      <c r="C20" s="1"/>
      <c r="D20" s="1"/>
      <c r="E20" s="1"/>
      <c r="F20" s="1"/>
    </row>
    <row r="21" spans="1:6" x14ac:dyDescent="0.3">
      <c r="A21" s="12" t="s">
        <v>495</v>
      </c>
      <c r="B21" s="49">
        <v>-0.15</v>
      </c>
      <c r="C21" s="49">
        <v>-7.4999999999999997E-2</v>
      </c>
      <c r="D21" s="49">
        <v>0</v>
      </c>
      <c r="E21" s="49">
        <v>7.4999999999999997E-2</v>
      </c>
      <c r="F21" s="49">
        <v>0.15</v>
      </c>
    </row>
    <row r="22" spans="1:6" x14ac:dyDescent="0.3">
      <c r="A22" s="15">
        <v>-0.15</v>
      </c>
      <c r="B22" s="17">
        <v>0.17694480853520519</v>
      </c>
      <c r="C22" s="17">
        <v>0.23908484425913201</v>
      </c>
      <c r="D22" s="17">
        <v>0.29690137221822771</v>
      </c>
      <c r="E22" s="17">
        <v>0.35122838146638441</v>
      </c>
      <c r="F22" s="17">
        <v>0.40258548627354851</v>
      </c>
    </row>
    <row r="23" spans="1:6" x14ac:dyDescent="0.3">
      <c r="A23" s="15">
        <v>-7.4999999999999997E-2</v>
      </c>
      <c r="B23" s="17">
        <v>0.1514398238493038</v>
      </c>
      <c r="C23" s="17">
        <v>0.21442144053597281</v>
      </c>
      <c r="D23" s="17">
        <v>0.27296363468351631</v>
      </c>
      <c r="E23" s="17">
        <v>0.3278860040772702</v>
      </c>
      <c r="F23" s="17">
        <v>0.37975800976701551</v>
      </c>
    </row>
    <row r="24" spans="1:6" x14ac:dyDescent="0.3">
      <c r="A24" s="15">
        <v>0</v>
      </c>
      <c r="B24" s="17">
        <v>0.1260401615634614</v>
      </c>
      <c r="C24" s="17">
        <v>0.1898644710264881</v>
      </c>
      <c r="D24" s="17">
        <v>0.24913765217686379</v>
      </c>
      <c r="E24" s="17">
        <v>0.30466424882923099</v>
      </c>
      <c r="F24" s="17">
        <v>0.35704661180393532</v>
      </c>
    </row>
    <row r="25" spans="1:6" x14ac:dyDescent="0.3">
      <c r="A25" s="15">
        <v>7.4999999999999997E-2</v>
      </c>
      <c r="B25" s="17">
        <v>0.1007431223910633</v>
      </c>
      <c r="C25" s="17">
        <v>0.16542369736251489</v>
      </c>
      <c r="D25" s="17">
        <v>0.22541429935004481</v>
      </c>
      <c r="E25" s="17">
        <v>0.28154442823967307</v>
      </c>
      <c r="F25" s="17">
        <v>0.33445751992345052</v>
      </c>
    </row>
    <row r="26" spans="1:6" x14ac:dyDescent="0.3">
      <c r="A26" s="15">
        <v>0.15</v>
      </c>
      <c r="B26" s="17">
        <v>7.5523683897098071E-2</v>
      </c>
      <c r="C26" s="17">
        <v>0.14110652429823339</v>
      </c>
      <c r="D26" s="17">
        <v>0.20180771300622011</v>
      </c>
      <c r="E26" s="17">
        <v>0.25853015256997169</v>
      </c>
      <c r="F26" s="17">
        <v>0.31197717161004968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197</vt:i4>
      </vt:variant>
    </vt:vector>
  </HeadingPairs>
  <TitlesOfParts>
    <vt:vector size="208" baseType="lpstr">
      <vt:lpstr>Cover</vt:lpstr>
      <vt:lpstr>Outputs</vt:lpstr>
      <vt:lpstr>Assumptions</vt:lpstr>
      <vt:lpstr>Development</vt:lpstr>
      <vt:lpstr>Construction</vt:lpstr>
      <vt:lpstr>Sales</vt:lpstr>
      <vt:lpstr>Rental</vt:lpstr>
      <vt:lpstr>Cash Flow</vt:lpstr>
      <vt:lpstr>Waterfall</vt:lpstr>
      <vt:lpstr>Budget</vt:lpstr>
      <vt:lpstr>Sensitivity</vt:lpstr>
      <vt:lpstr>anchor_months</vt:lpstr>
      <vt:lpstr>anchor_names</vt:lpstr>
      <vt:lpstr>C_Contingency</vt:lpstr>
      <vt:lpstr>C_CVSpread</vt:lpstr>
      <vt:lpstr>C_DevFee</vt:lpstr>
      <vt:lpstr>C_FixedSite</vt:lpstr>
      <vt:lpstr>C_HardAbove</vt:lpstr>
      <vt:lpstr>C_HardBase</vt:lpstr>
      <vt:lpstr>C_HardBelow</vt:lpstr>
      <vt:lpstr>C_Soft</vt:lpstr>
      <vt:lpstr>cf_amount</vt:lpstr>
      <vt:lpstr>cf_month</vt:lpstr>
      <vt:lpstr>cf_type</vt:lpstr>
      <vt:lpstr>cv_effect</vt:lpstr>
      <vt:lpstr>cv_end</vt:lpstr>
      <vt:lpstr>CV_PriceMult</vt:lpstr>
      <vt:lpstr>cv_start</vt:lpstr>
      <vt:lpstr>cv_timing</vt:lpstr>
      <vt:lpstr>cv_value</vt:lpstr>
      <vt:lpstr>D_AvgPrice</vt:lpstr>
      <vt:lpstr>D_Below</vt:lpstr>
      <vt:lpstr>D_Capacity</vt:lpstr>
      <vt:lpstr>D_Footprint</vt:lpstr>
      <vt:lpstr>D_GBA</vt:lpstr>
      <vt:lpstr>D_Land</vt:lpstr>
      <vt:lpstr>D_MaxCov</vt:lpstr>
      <vt:lpstr>D_MaxFAR</vt:lpstr>
      <vt:lpstr>D_MaxUnits</vt:lpstr>
      <vt:lpstr>D_Parking</vt:lpstr>
      <vt:lpstr>D_PriceRange</vt:lpstr>
      <vt:lpstr>D_Saleable</vt:lpstr>
      <vt:lpstr>D_SoldArea</vt:lpstr>
      <vt:lpstr>D_Units</vt:lpstr>
      <vt:lpstr>D_UnitsRange</vt:lpstr>
      <vt:lpstr>F_AmortPrincipal</vt:lpstr>
      <vt:lpstr>F_EquityCap</vt:lpstr>
      <vt:lpstr>F_MezzCommit</vt:lpstr>
      <vt:lpstr>F_SeniorCommit</vt:lpstr>
      <vt:lpstr>F_SeniorRate</vt:lpstr>
      <vt:lpstr>FinCost</vt:lpstr>
      <vt:lpstr>FinCostSizing</vt:lpstr>
      <vt:lpstr>in_circ_switch</vt:lpstr>
      <vt:lpstr>in_cost_below_grade_per_area</vt:lpstr>
      <vt:lpstr>in_cost_contingency_pct</vt:lpstr>
      <vt:lpstr>in_cost_curve</vt:lpstr>
      <vt:lpstr>in_cost_demolition</vt:lpstr>
      <vt:lpstr>in_cost_design_pct</vt:lpstr>
      <vt:lpstr>in_cost_developer_fee_pct</vt:lpstr>
      <vt:lpstr>in_cost_escalation_pct</vt:lpstr>
      <vt:lpstr>in_cost_hard_per_area</vt:lpstr>
      <vt:lpstr>in_cost_infrastructure_fees</vt:lpstr>
      <vt:lpstr>in_cost_insurance_other_pct</vt:lpstr>
      <vt:lpstr>in_cost_permits_pct</vt:lpstr>
      <vt:lpstr>in_cost_pm_supervision_pct</vt:lpstr>
      <vt:lpstr>in_cost_renovation_budget</vt:lpstr>
      <vt:lpstr>in_dev_amenity_area</vt:lpstr>
      <vt:lpstr>in_dev_buildings</vt:lpstr>
      <vt:lpstr>in_dev_efficiency_pct</vt:lpstr>
      <vt:lpstr>in_dev_existing_rentable_area</vt:lpstr>
      <vt:lpstr>in_dev_footprint</vt:lpstr>
      <vt:lpstr>in_dev_levels_below</vt:lpstr>
      <vt:lpstr>in_dev_parking_area_per_space</vt:lpstr>
      <vt:lpstr>in_dev_parking_spaces</vt:lpstr>
      <vt:lpstr>in_dev_quality</vt:lpstr>
      <vt:lpstr>in_dev_stories</vt:lpstr>
      <vt:lpstr>in_fin_amortization_years</vt:lpstr>
      <vt:lpstr>in_fin_commitment_fee_pct</vt:lpstr>
      <vt:lpstr>in_fin_interest_capitalized</vt:lpstr>
      <vt:lpstr>in_fin_max_ltc_covenant_pct</vt:lpstr>
      <vt:lpstr>in_fin_max_ltv_covenant_pct</vt:lpstr>
      <vt:lpstr>in_fin_mezz_ltc_pct</vt:lpstr>
      <vt:lpstr>in_fin_mezz_rate_pct</vt:lpstr>
      <vt:lpstr>in_fin_min_dscr</vt:lpstr>
      <vt:lpstr>in_fin_min_presales_pct</vt:lpstr>
      <vt:lpstr>in_fin_origination_fee_pct</vt:lpstr>
      <vt:lpstr>in_fin_pref_return_pct</vt:lpstr>
      <vt:lpstr>in_fin_promote_pct</vt:lpstr>
      <vt:lpstr>in_fin_reference_rate_pct</vt:lpstr>
      <vt:lpstr>in_fin_senior_fixed_rate_pct</vt:lpstr>
      <vt:lpstr>in_fin_senior_ltc_pct</vt:lpstr>
      <vt:lpstr>in_fin_senior_rate_type</vt:lpstr>
      <vt:lpstr>in_fin_senior_spread_pct</vt:lpstr>
      <vt:lpstr>in_fin_senior_term_months</vt:lpstr>
      <vt:lpstr>in_fin_sponsor_equity_share_pct</vt:lpstr>
      <vt:lpstr>in_fin_sweep_pct</vt:lpstr>
      <vt:lpstr>in_green_capex</vt:lpstr>
      <vt:lpstr>in_green_rent_prem</vt:lpstr>
      <vt:lpstr>in_green_sale_prem</vt:lpstr>
      <vt:lpstr>in_green_savings</vt:lpstr>
      <vt:lpstr>in_ground_up</vt:lpstr>
      <vt:lpstr>in_mode_sale</vt:lpstr>
      <vt:lpstr>in_reg_max_far</vt:lpstr>
      <vt:lpstr>in_reg_max_height_m</vt:lpstr>
      <vt:lpstr>in_reg_max_stories</vt:lpstr>
      <vt:lpstr>in_reg_max_underground_levels</vt:lpstr>
      <vt:lpstr>in_reg_max_units</vt:lpstr>
      <vt:lpstr>in_reg_min_land_per_unit</vt:lpstr>
      <vt:lpstr>in_reg_min_open_area_pct</vt:lpstr>
      <vt:lpstr>in_reg_parking_max_per_unit</vt:lpstr>
      <vt:lpstr>in_reg_parking_min_per_unit</vt:lpstr>
      <vt:lpstr>in_rent_concessions_pct</vt:lpstr>
      <vt:lpstr>in_rent_exit_cap_pct</vt:lpstr>
      <vt:lpstr>in_rent_growth_pct</vt:lpstr>
      <vt:lpstr>in_rent_hold_years</vt:lpstr>
      <vt:lpstr>in_rent_lease_up_months</vt:lpstr>
      <vt:lpstr>in_rent_opex_pct_egi</vt:lpstr>
      <vt:lpstr>in_rent_rent_per_area_month</vt:lpstr>
      <vt:lpstr>in_rent_selling_costs_pct</vt:lpstr>
      <vt:lpstr>in_rent_vacancy_pct</vt:lpstr>
      <vt:lpstr>in_rev_absorption_per_month</vt:lpstr>
      <vt:lpstr>in_rev_cancellation_pct</vt:lpstr>
      <vt:lpstr>in_rev_closing_pct</vt:lpstr>
      <vt:lpstr>in_rev_commission_pct</vt:lpstr>
      <vt:lpstr>in_rev_deposit_pct</vt:lpstr>
      <vt:lpstr>in_rev_discount_pct</vt:lpstr>
      <vt:lpstr>in_rev_escalation_pct</vt:lpstr>
      <vt:lpstr>in_rev_floor_view_premium_pct</vt:lpstr>
      <vt:lpstr>in_rev_installments_pct</vt:lpstr>
      <vt:lpstr>in_rev_marketing_pct</vt:lpstr>
      <vt:lpstr>in_rev_price_per_area</vt:lpstr>
      <vt:lpstr>in_rev_sales_start_offset</vt:lpstr>
      <vt:lpstr>in_rev_terrace_value_pct</vt:lpstr>
      <vt:lpstr>in_sch_construction_months</vt:lpstr>
      <vt:lpstr>in_sch_predev_months</vt:lpstr>
      <vt:lpstr>in_site_brokerage_pct</vt:lpstr>
      <vt:lpstr>in_site_due_diligence</vt:lpstr>
      <vt:lpstr>in_site_land_area</vt:lpstr>
      <vt:lpstr>in_site_land_price</vt:lpstr>
      <vt:lpstr>in_site_legal_notary_pct</vt:lpstr>
      <vt:lpstr>in_site_transfer_tax_pct</vt:lpstr>
      <vt:lpstr>in_val_discount_rate_pct</vt:lpstr>
      <vt:lpstr>in_val_equity_discount_rate_pct</vt:lpstr>
      <vt:lpstr>lp_month</vt:lpstr>
      <vt:lpstr>lp_pct</vt:lpstr>
      <vt:lpstr>M_acq</vt:lpstr>
      <vt:lpstr>M_cflow</vt:lpstr>
      <vt:lpstr>M_ConCost</vt:lpstr>
      <vt:lpstr>M_cont</vt:lpstr>
      <vt:lpstr>M_Contract</vt:lpstr>
      <vt:lpstr>M_Contrib</vt:lpstr>
      <vt:lpstr>M_CumSold</vt:lpstr>
      <vt:lpstr>M_CumUnlev</vt:lpstr>
      <vt:lpstr>M_cv</vt:lpstr>
      <vt:lpstr>M_Dist</vt:lpstr>
      <vt:lpstr>M_fee</vt:lpstr>
      <vt:lpstr>M_hard</vt:lpstr>
      <vt:lpstr>M_Inflow</vt:lpstr>
      <vt:lpstr>M_Investor</vt:lpstr>
      <vt:lpstr>M_land</vt:lpstr>
      <vt:lpstr>M_Lev</vt:lpstr>
      <vt:lpstr>M_Mezz</vt:lpstr>
      <vt:lpstr>M_NetEquity</vt:lpstr>
      <vt:lpstr>M_NOI</vt:lpstr>
      <vt:lpstr>M_Outflow</vt:lpstr>
      <vt:lpstr>M_RentCash</vt:lpstr>
      <vt:lpstr>M_SalesCash</vt:lpstr>
      <vt:lpstr>M_SalesCost</vt:lpstr>
      <vt:lpstr>M_Senior</vt:lpstr>
      <vt:lpstr>M_soft</vt:lpstr>
      <vt:lpstr>M_Sold</vt:lpstr>
      <vt:lpstr>M_Sponsor</vt:lpstr>
      <vt:lpstr>M_UnitsIncome</vt:lpstr>
      <vt:lpstr>M_Unlev</vt:lpstr>
      <vt:lpstr>mix_name</vt:lpstr>
      <vt:lpstr>mix_prem</vt:lpstr>
      <vt:lpstr>mix_share</vt:lpstr>
      <vt:lpstr>mix_size</vt:lpstr>
      <vt:lpstr>mix_terrace</vt:lpstr>
      <vt:lpstr>P_Eff</vt:lpstr>
      <vt:lpstr>pp_end</vt:lpstr>
      <vt:lpstr>pp_pct</vt:lpstr>
      <vt:lpstr>pp_start</vt:lpstr>
      <vt:lpstr>R_Exit</vt:lpstr>
      <vt:lpstr>R_ExitValue</vt:lpstr>
      <vt:lpstr>R_FwdNOI</vt:lpstr>
      <vt:lpstr>R_q</vt:lpstr>
      <vt:lpstr>R_Rent</vt:lpstr>
      <vt:lpstr>R_StabNOI</vt:lpstr>
      <vt:lpstr>R_Start</vt:lpstr>
      <vt:lpstr>S_GDV</vt:lpstr>
      <vt:lpstr>S_Units</vt:lpstr>
      <vt:lpstr>Sales_BaseStart</vt:lpstr>
      <vt:lpstr>Sales_Last</vt:lpstr>
      <vt:lpstr>Sales_Start</vt:lpstr>
      <vt:lpstr>sp_end</vt:lpstr>
      <vt:lpstr>sp_rate</vt:lpstr>
      <vt:lpstr>sp_start</vt:lpstr>
      <vt:lpstr>T_Con</vt:lpstr>
      <vt:lpstr>T_ConStart</vt:lpstr>
      <vt:lpstr>T_Delivery</vt:lpstr>
      <vt:lpstr>T_End</vt:lpstr>
      <vt:lpstr>T_Predev</vt:lpstr>
      <vt:lpstr>TDC</vt:lpstr>
      <vt:lpstr>TotalCost</vt:lpstr>
      <vt:lpstr>W_promote</vt:lpstr>
      <vt:lpstr>W_rp</vt:lpstr>
      <vt:lpstr>W_s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Antonio Gutierrez</cp:lastModifiedBy>
  <dcterms:created xsi:type="dcterms:W3CDTF">2026-10-24T07:31:31Z</dcterms:created>
  <dcterms:modified xsi:type="dcterms:W3CDTF">2026-10-24T07:31:58Z</dcterms:modified>
</cp:coreProperties>
</file>