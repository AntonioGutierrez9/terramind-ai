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evelopment" sheetId="4" state="visible" r:id="rId4"/>
    <sheet xmlns:r="http://schemas.openxmlformats.org/officeDocument/2006/relationships" name="Construction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Rental" sheetId="7" state="hidden" r:id="rId7"/>
    <sheet xmlns:r="http://schemas.openxmlformats.org/officeDocument/2006/relationships" name="Cash Flow" sheetId="8" state="visible" r:id="rId8"/>
    <sheet xmlns:r="http://schemas.openxmlformats.org/officeDocument/2006/relationships" name="Waterfall" sheetId="9" state="visible" r:id="rId9"/>
    <sheet xmlns:r="http://schemas.openxmlformats.org/officeDocument/2006/relationships" name="Budget" sheetId="10" state="visible" r:id="rId10"/>
    <sheet xmlns:r="http://schemas.openxmlformats.org/officeDocument/2006/relationships" name="Sensitivity" sheetId="11" state="visible" r:id="rId11"/>
  </sheets>
  <definedNames>
    <definedName name="in_mode_sale">Assumptions!$B$8</definedName>
    <definedName name="in_ground_up">Assumptions!$B$9</definedName>
    <definedName name="in_circ_switch">Assumptions!$B$10</definedName>
    <definedName name="in_site_land_area">Assumptions!$B$12</definedName>
    <definedName name="in_site_land_price">Assumptions!$B$13</definedName>
    <definedName name="in_site_transfer_tax_pct">Assumptions!$B$14</definedName>
    <definedName name="in_site_legal_notary_pct">Assumptions!$B$15</definedName>
    <definedName name="in_site_brokerage_pct">Assumptions!$B$16</definedName>
    <definedName name="in_site_due_diligence">Assumptions!$B$17</definedName>
    <definedName name="in_reg_max_stories">Assumptions!$B$19</definedName>
    <definedName name="in_reg_min_open_area_pct">Assumptions!$B$20</definedName>
    <definedName name="in_reg_max_far">Assumptions!$B$21</definedName>
    <definedName name="in_reg_max_height_m">Assumptions!$B$22</definedName>
    <definedName name="in_reg_min_land_per_unit">Assumptions!$B$23</definedName>
    <definedName name="in_reg_max_units">Assumptions!$B$24</definedName>
    <definedName name="in_reg_max_underground_levels">Assumptions!$B$25</definedName>
    <definedName name="in_reg_parking_min_per_unit">Assumptions!$B$26</definedName>
    <definedName name="in_reg_parking_max_per_unit">Assumptions!$B$27</definedName>
    <definedName name="in_dev_buildings">Assumptions!$B$29</definedName>
    <definedName name="in_dev_stories">Assumptions!$B$30</definedName>
    <definedName name="in_dev_levels_below">Assumptions!$B$31</definedName>
    <definedName name="in_dev_footprint">Assumptions!$B$32</definedName>
    <definedName name="in_dev_efficiency_pct">Assumptions!$B$33</definedName>
    <definedName name="in_dev_parking_spaces">Assumptions!$B$34</definedName>
    <definedName name="in_dev_parking_area_per_space">Assumptions!$B$35</definedName>
    <definedName name="in_dev_amenity_area">Assumptions!$B$36</definedName>
    <definedName name="in_dev_quality">Assumptions!$B$37</definedName>
    <definedName name="in_dev_existing_rentable_area">Assumptions!$B$38</definedName>
    <definedName name="in_rev_price_per_area">Assumptions!$B$40</definedName>
    <definedName name="in_rev_floor_view_premium_pct">Assumptions!$B$41</definedName>
    <definedName name="in_rev_terrace_value_pct">Assumptions!$B$42</definedName>
    <definedName name="in_rev_discount_pct">Assumptions!$B$43</definedName>
    <definedName name="in_rev_escalation_pct">Assumptions!$B$44</definedName>
    <definedName name="in_rev_absorption_per_month">Assumptions!$B$45</definedName>
    <definedName name="in_rev_cancellation_pct">Assumptions!$B$46</definedName>
    <definedName name="in_rev_sales_start_offset">Assumptions!$B$47</definedName>
    <definedName name="in_rev_deposit_pct">Assumptions!$B$48</definedName>
    <definedName name="in_rev_installments_pct">Assumptions!$B$49</definedName>
    <definedName name="in_rev_closing_pct">Assumptions!$B$50</definedName>
    <definedName name="in_rev_commission_pct">Assumptions!$B$51</definedName>
    <definedName name="in_rev_marketing_pct">Assumptions!$B$52</definedName>
    <definedName name="in_rent_rent_per_area_month">Assumptions!$B$54</definedName>
    <definedName name="in_rent_vacancy_pct">Assumptions!$B$55</definedName>
    <definedName name="in_rent_concessions_pct">Assumptions!$B$56</definedName>
    <definedName name="in_rent_opex_pct_egi">Assumptions!$B$57</definedName>
    <definedName name="in_rent_growth_pct">Assumptions!$B$58</definedName>
    <definedName name="in_rent_lease_up_months">Assumptions!$B$59</definedName>
    <definedName name="in_rent_exit_cap_pct">Assumptions!$B$60</definedName>
    <definedName name="in_rent_selling_costs_pct">Assumptions!$B$61</definedName>
    <definedName name="in_rent_hold_years">Assumptions!$B$62</definedName>
    <definedName name="in_cost_hard_per_area">Assumptions!$B$64</definedName>
    <definedName name="in_cost_below_grade_per_area">Assumptions!$B$65</definedName>
    <definedName name="in_cost_demolition">Assumptions!$B$66</definedName>
    <definedName name="in_cost_infrastructure_fees">Assumptions!$B$67</definedName>
    <definedName name="in_cost_renovation_budget">Assumptions!$B$68</definedName>
    <definedName name="in_cost_design_pct">Assumptions!$B$69</definedName>
    <definedName name="in_cost_permits_pct">Assumptions!$B$70</definedName>
    <definedName name="in_cost_pm_supervision_pct">Assumptions!$B$71</definedName>
    <definedName name="in_cost_insurance_other_pct">Assumptions!$B$72</definedName>
    <definedName name="in_cost_contingency_pct">Assumptions!$B$73</definedName>
    <definedName name="in_cost_curve">Assumptions!$B$74</definedName>
    <definedName name="in_cost_escalation_pct">Assumptions!$B$75</definedName>
    <definedName name="in_cost_developer_fee_pct">Assumptions!$B$76</definedName>
    <definedName name="in_sch_predev_months">Assumptions!$B$78</definedName>
    <definedName name="in_sch_construction_months">Assumptions!$B$79</definedName>
    <definedName name="in_fin_senior_ltc_pct">Assumptions!$B$81</definedName>
    <definedName name="in_fin_senior_rate_type">Assumptions!$B$82</definedName>
    <definedName name="in_fin_reference_rate_pct">Assumptions!$B$83</definedName>
    <definedName name="in_fin_senior_spread_pct">Assumptions!$B$84</definedName>
    <definedName name="in_fin_senior_fixed_rate_pct">Assumptions!$B$85</definedName>
    <definedName name="in_fin_origination_fee_pct">Assumptions!$B$86</definedName>
    <definedName name="in_fin_commitment_fee_pct">Assumptions!$B$87</definedName>
    <definedName name="in_fin_interest_capitalized">Assumptions!$B$88</definedName>
    <definedName name="in_fin_senior_term_months">Assumptions!$B$89</definedName>
    <definedName name="in_fin_sweep_pct">Assumptions!$B$90</definedName>
    <definedName name="in_fin_amortization_years">Assumptions!$B$91</definedName>
    <definedName name="in_fin_mezz_ltc_pct">Assumptions!$B$92</definedName>
    <definedName name="in_fin_mezz_rate_pct">Assumptions!$B$93</definedName>
    <definedName name="in_fin_sponsor_equity_share_pct">Assumptions!$B$94</definedName>
    <definedName name="in_fin_pref_return_pct">Assumptions!$B$95</definedName>
    <definedName name="in_fin_promote_pct">Assumptions!$B$96</definedName>
    <definedName name="in_fin_max_ltc_covenant_pct">Assumptions!$B$97</definedName>
    <definedName name="in_fin_max_ltv_covenant_pct">Assumptions!$B$98</definedName>
    <definedName name="in_fin_min_presales_pct">Assumptions!$B$99</definedName>
    <definedName name="in_fin_min_dscr">Assumptions!$B$100</definedName>
    <definedName name="in_val_discount_rate_pct">Assumptions!$B$102</definedName>
    <definedName name="in_val_equity_discount_rate_pct">Assumptions!$B$103</definedName>
    <definedName name="in_green_capex">Assumptions!$B$105</definedName>
    <definedName name="in_green_sale_prem">Assumptions!$B$106</definedName>
    <definedName name="in_green_rent_prem">Assumptions!$B$107</definedName>
    <definedName name="in_green_savings">Assumptions!$B$108</definedName>
    <definedName name="mix_name">Assumptions!$A$112:$A$119</definedName>
    <definedName name="mix_size">Assumptions!$B$112:$B$119</definedName>
    <definedName name="mix_share">Assumptions!$C$112:$C$119</definedName>
    <definedName name="mix_terrace">Assumptions!$D$112:$D$119</definedName>
    <definedName name="mix_prem">Assumptions!$E$112:$E$119</definedName>
    <definedName name="anchor_names">Assumptions!$A$135:$A$138</definedName>
    <definedName name="anchor_months">Assumptions!$B$135:$B$138</definedName>
    <definedName name="sp_start">Assumptions!$F$142:$F$149</definedName>
    <definedName name="sp_end">Assumptions!$G$142:$G$149</definedName>
    <definedName name="sp_rate">Assumptions!$E$142:$E$149</definedName>
    <definedName name="pp_start">Assumptions!$F$153:$F$158</definedName>
    <definedName name="pp_end">Assumptions!$G$153:$G$158</definedName>
    <definedName name="pp_pct">Assumptions!$E$153:$E$158</definedName>
    <definedName name="lp_month">Assumptions!$A$162:$A$169</definedName>
    <definedName name="lp_pct">Assumptions!$B$162:$B$169</definedName>
    <definedName name="cf_type">Assumptions!$B$173:$B$182</definedName>
    <definedName name="cf_amount">Assumptions!$C$173:$C$182</definedName>
    <definedName name="cf_month">Assumptions!$F$173:$F$182</definedName>
    <definedName name="cv_effect">Assumptions!$B$186:$B$197</definedName>
    <definedName name="cv_value">Assumptions!$C$186:$C$197</definedName>
    <definedName name="cv_timing">Assumptions!$D$186:$D$197</definedName>
    <definedName name="cv_start">Assumptions!$H$186:$H$197</definedName>
    <definedName name="cv_end">Assumptions!$I$186:$I$197</definedName>
    <definedName name="D_Land">'Development'!$B$4</definedName>
    <definedName name="D_MaxCov">'Development'!$B$5</definedName>
    <definedName name="D_MaxFAR">'Development'!$B$6</definedName>
    <definedName name="D_Capacity">'Development'!$B$7</definedName>
    <definedName name="D_Footprint">'Development'!$B$8</definedName>
    <definedName name="D_GBA">'Development'!$B$9</definedName>
    <definedName name="D_Saleable">'Development'!$B$10</definedName>
    <definedName name="D_Units">Development!$B$22</definedName>
    <definedName name="D_SoldArea">Development!$C$22</definedName>
    <definedName name="D_UnitsRange">Development!$B$14:$B$21</definedName>
    <definedName name="D_PriceRange">Development!$D$14:$D$21</definedName>
    <definedName name="P_Eff">'Development'!$B$24</definedName>
    <definedName name="CV_PriceMult">'Development'!$B$25</definedName>
    <definedName name="D_AvgPrice">'Development'!$B$26</definedName>
    <definedName name="D_Parking">'Development'!$B$28</definedName>
    <definedName name="D_Below">'Development'!$B$29</definedName>
    <definedName name="D_MaxUnits">'Development'!$B$31</definedName>
    <definedName name="T_Predev">'Construction'!$B$5</definedName>
    <definedName name="T_Con">'Construction'!$B$6</definedName>
    <definedName name="T_ConStart">'Construction'!$B$7</definedName>
    <definedName name="T_Delivery">'Construction'!$B$8</definedName>
    <definedName name="C_HardAbove">'Construction'!$B$9</definedName>
    <definedName name="C_HardBelow">'Construction'!$B$10</definedName>
    <definedName name="C_FixedSite">'Construction'!$B$11</definedName>
    <definedName name="C_HardBase">'Construction'!$B$12</definedName>
    <definedName name="C_Soft">'Construction'!$B$13</definedName>
    <definedName name="C_Contingency">'Construction'!$B$14</definedName>
    <definedName name="C_DevFee">'Construction'!$B$15</definedName>
    <definedName name="C_CVSpread">'Construction'!$B$16</definedName>
    <definedName name="M_ConCost">'Construction'!$D$32:$CU$32</definedName>
    <definedName name="M_land">Construction!$D$24:$CU$24</definedName>
    <definedName name="M_acq">Construction!$D$25:$CU$25</definedName>
    <definedName name="M_hard">Construction!$D$26:$CU$26</definedName>
    <definedName name="M_soft">Construction!$D$27:$CU$27</definedName>
    <definedName name="M_cont">Construction!$D$28:$CU$28</definedName>
    <definedName name="M_fee">Construction!$D$29:$CU$29</definedName>
    <definedName name="M_cv">Construction!$D$30:$CU$30</definedName>
    <definedName name="M_cflow">Construction!$D$31:$CU$31</definedName>
    <definedName name="Sales_BaseStart">'Sales'!$B$5</definedName>
    <definedName name="Sales_Start">'Sales'!$B$6</definedName>
    <definedName name="S_Units">'Sales'!$B$7</definedName>
    <definedName name="Sales_Last">'Sales'!$B$8</definedName>
    <definedName name="S_GDV">'Sales'!$B$9</definedName>
    <definedName name="M_Sold">'Sales'!$D$13:$CU$13</definedName>
    <definedName name="M_CumSold">'Sales'!$D$15:$CU$15</definedName>
    <definedName name="M_Contract">'Sales'!$D$17:$CU$17</definedName>
    <definedName name="M_SalesCash">'Sales'!$D$25:$CU$25</definedName>
    <definedName name="M_SalesCost">'Sales'!$D$30:$CU$30</definedName>
    <definedName name="M_UnitsIncome">Sales!$D$24:$CU$24</definedName>
    <definedName name="R_Start">'Rental'!$B$5</definedName>
    <definedName name="R_Exit">'Rental'!$B$6</definedName>
    <definedName name="R_Rent">'Rental'!$B$7</definedName>
    <definedName name="R_q">'Rental'!$B$8</definedName>
    <definedName name="R_FwdNOI">'Rental'!$B$9</definedName>
    <definedName name="R_ExitValue">'Rental'!$B$10</definedName>
    <definedName name="R_StabNOI">'Rental'!$B$11</definedName>
    <definedName name="M_NOI">'Rental'!$D$18:$CU$18</definedName>
    <definedName name="M_RentCash">'Rental'!$D$20:$CU$20</definedName>
    <definedName name="T_End">'Cash Flow'!$B$5</definedName>
    <definedName name="TDC">'Cash Flow'!$B$6</definedName>
    <definedName name="FinCost">'Cash Flow'!$B$7</definedName>
    <definedName name="TotalCost">'Cash Flow'!$B$8</definedName>
    <definedName name="F_SeniorRate">'Cash Flow'!$B$9</definedName>
    <definedName name="F_SeniorCommit">'Cash Flow'!$B$10</definedName>
    <definedName name="F_MezzCommit">'Cash Flow'!$B$11</definedName>
    <definedName name="F_EquityCap">'Cash Flow'!$B$12</definedName>
    <definedName name="F_AmortPrincipal">'Cash Flow'!$B$13</definedName>
    <definedName name="FinCostSizing">'Cash Flow'!$B$14</definedName>
    <definedName name="M_Outflow">'Cash Flow'!$D$22:$CU$22</definedName>
    <definedName name="M_Inflow">'Cash Flow'!$D$25:$CU$25</definedName>
    <definedName name="M_Unlev">'Cash Flow'!$D$26:$CU$26</definedName>
    <definedName name="M_CumUnlev">'Cash Flow'!$D$27:$CU$27</definedName>
    <definedName name="M_Senior">'Cash Flow'!$D$56:$CU$56</definedName>
    <definedName name="M_Mezz">'Cash Flow'!$D$57:$CU$57</definedName>
    <definedName name="M_Contrib">'Cash Flow'!$D$60:$CU$60</definedName>
    <definedName name="M_Dist">'Cash Flow'!$D$61:$CU$61</definedName>
    <definedName name="M_Lev">'Cash Flow'!$D$62:$CU$62</definedName>
    <definedName name="M_NetEquity">'Cash Flow'!$D$63:$CU$63</definedName>
    <definedName name="W_s">'Waterfall'!$B$5</definedName>
    <definedName name="W_rp">'Waterfall'!$B$6</definedName>
    <definedName name="W_promote">'Waterfall'!$B$7</definedName>
    <definedName name="M_Investor">'Waterfall'!$D$20:$CU$20</definedName>
    <definedName name="M_Sponsor">'Waterfall'!$D$21:$CU$21</definedName>
  </definedNames>
  <calcPr calcId="124519" fullCalcOnLoad="1" iterate="1" iterateCount="200" iterateDelta="0.01"/>
</workbook>
</file>

<file path=xl/styles.xml><?xml version="1.0" encoding="utf-8"?>
<styleSheet xmlns="http://schemas.openxmlformats.org/spreadsheetml/2006/main">
  <numFmts count="10">
    <numFmt numFmtId="164" formatCode="#,##0.##"/>
    <numFmt numFmtId="165" formatCode="#,##0;(#,##0);&quot;-&quot;"/>
    <numFmt numFmtId="166" formatCode="0.00%;(0.00%);&quot;-&quot;"/>
    <numFmt numFmtId="167" formatCode="0.0%;(0.0%);&quot;-&quot;"/>
    <numFmt numFmtId="168" formatCode="0.00&quot;x&quot;"/>
    <numFmt numFmtId="169" formatCode="0.0000"/>
    <numFmt numFmtId="170" formatCode="#,##0.0;(#,##0.0);&quot;-&quot;"/>
    <numFmt numFmtId="171" formatCode="0.000000"/>
    <numFmt numFmtId="172" formatCode="0.0000%"/>
    <numFmt numFmtId="173" formatCode="#,##0.0,,&quot;M&quot;;(#,##0.0,,&quot;M&quot;);&quot;-&quot;"/>
  </numFmts>
  <fonts count="12">
    <font>
      <name val="Calibri"/>
      <family val="2"/>
      <color theme="1"/>
      <sz val="11"/>
      <scheme val="minor"/>
    </font>
    <font>
      <name val="Arial"/>
      <b val="1"/>
      <color rgb="002A78D6"/>
      <sz val="11"/>
    </font>
    <font>
      <name val="Arial"/>
      <b val="1"/>
      <color rgb="0017345E"/>
      <sz val="20"/>
    </font>
    <font>
      <name val="Arial"/>
      <b val="1"/>
      <sz val="10"/>
    </font>
    <font>
      <name val="Arial"/>
      <color rgb="00000000"/>
      <sz val="10"/>
    </font>
    <font>
      <name val="Arial"/>
      <color rgb="002A78D6"/>
      <sz val="10"/>
      <u val="single"/>
    </font>
    <font>
      <name val="Arial"/>
      <color rgb="000000FF"/>
      <sz val="10"/>
    </font>
    <font>
      <name val="Arial"/>
      <b val="1"/>
      <color rgb="0017345E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7A8699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7345E"/>
      </patternFill>
    </fill>
    <fill>
      <patternFill patternType="solid">
        <fgColor rgb="00E6EDF7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3" fillId="4" borderId="0" pivotButton="0" quotePrefix="0" xfId="0"/>
    <xf numFmtId="0" fontId="11" fillId="4" borderId="0" pivotButton="0" quotePrefix="0" xfId="0"/>
    <xf numFmtId="167" fontId="3" fillId="0" borderId="0" pivotButton="0" quotePrefix="0" xfId="0"/>
    <xf numFmtId="167" fontId="10" fillId="0" borderId="0" pivotButton="0" quotePrefix="0" xfId="0"/>
    <xf numFmtId="167" fontId="11" fillId="0" borderId="0" pivotButton="0" quotePrefix="0" xfId="0"/>
    <xf numFmtId="168" fontId="3" fillId="0" borderId="0" pivotButton="0" quotePrefix="0" xfId="0"/>
    <xf numFmtId="168" fontId="10" fillId="0" borderId="0" pivotButton="0" quotePrefix="0" xfId="0"/>
    <xf numFmtId="168" fontId="11" fillId="0" borderId="0" pivotButton="0" quotePrefix="0" xfId="0"/>
    <xf numFmtId="165" fontId="3" fillId="0" borderId="0" pivotButton="0" quotePrefix="0" xfId="0"/>
    <xf numFmtId="165" fontId="10" fillId="0" borderId="0" pivotButton="0" quotePrefix="0" xfId="0"/>
    <xf numFmtId="165" fontId="11" fillId="0" borderId="0" pivotButton="0" quotePrefix="0" xfId="0"/>
    <xf numFmtId="0" fontId="9" fillId="3" borderId="0" applyAlignment="1" pivotButton="0" quotePrefix="0" xfId="0">
      <alignment horizontal="center"/>
    </xf>
    <xf numFmtId="170" fontId="11" fillId="0" borderId="0" pivotButton="0" quotePrefix="0" xfId="0"/>
    <xf numFmtId="173" fontId="11" fillId="0" borderId="0" pivotButton="0" quotePrefix="0" xfId="0"/>
    <xf numFmtId="164" fontId="6" fillId="0" borderId="0" pivotButton="0" quotePrefix="0" xfId="0"/>
    <xf numFmtId="165" fontId="6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4" fontId="6" fillId="2" borderId="0" pivotButton="0" quotePrefix="0" xfId="0"/>
    <xf numFmtId="166" fontId="6" fillId="2" borderId="0" pivotButton="0" quotePrefix="0" xfId="0"/>
    <xf numFmtId="167" fontId="6" fillId="0" borderId="0" pivotButton="0" quotePrefix="0" xfId="0"/>
    <xf numFmtId="165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9" fontId="3" fillId="0" borderId="0" pivotButton="0" quotePrefix="0" xfId="0"/>
    <xf numFmtId="0" fontId="3" fillId="5" borderId="0" pivotButton="0" quotePrefix="0" xfId="0"/>
    <xf numFmtId="165" fontId="3" fillId="5" borderId="0" pivotButton="0" quotePrefix="0" xfId="0"/>
    <xf numFmtId="0" fontId="8" fillId="5" borderId="0" pivotButton="0" quotePrefix="0" xfId="0"/>
    <xf numFmtId="170" fontId="4" fillId="0" borderId="0" pivotButton="0" quotePrefix="0" xfId="0"/>
    <xf numFmtId="170" fontId="3" fillId="0" borderId="0" pivotButton="0" quotePrefix="0" xfId="0"/>
    <xf numFmtId="171" fontId="4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172" fontId="4" fillId="0" borderId="0" pivotButton="0" quotePrefix="0" xfId="0"/>
    <xf numFmtId="0" fontId="11" fillId="5" borderId="0" pivotButton="0" quotePrefix="0" xfId="0"/>
    <xf numFmtId="165" fontId="11" fillId="5" borderId="0" pivotButton="0" quotePrefix="0" xfId="0"/>
    <xf numFmtId="167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outflows vs inflows (MXN)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'Outputs'!A40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'Outputs'!$B$38:$E$38</f>
            </numRef>
          </cat>
          <val>
            <numRef>
              <f>'Outputs'!$B$40:$E$40</f>
            </numRef>
          </val>
        </ser>
        <ser>
          <idx val="1"/>
          <order val="1"/>
          <tx>
            <strRef>
              <f>'Outputs'!A41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'Outputs'!$B$38:$E$38</f>
            </numRef>
          </cat>
          <val>
            <numRef>
              <f>'Outputs'!$B$41:$E$41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;(#,##0,,&quot;M&quot;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Unlevered vs levered cash flow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'Outputs'!A42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'Outputs'!$B$38:$E$38</f>
            </numRef>
          </cat>
          <val>
            <numRef>
              <f>'Outputs'!$B$42:$E$42</f>
            </numRef>
          </val>
        </ser>
        <ser>
          <idx val="1"/>
          <order val="1"/>
          <tx>
            <strRef>
              <f>'Outputs'!A45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cat>
            <numRef>
              <f>'Outputs'!$B$38:$E$38</f>
            </numRef>
          </cat>
          <val>
            <numRef>
              <f>'Outputs'!$B$45:$E$45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;(#,##0,,&quot;M&quot;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flow, net equity and senior debt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Flow'!$A$27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Flow'!$D$4:$AM$4</f>
            </numRef>
          </cat>
          <val>
            <numRef>
              <f>'Cash Flow'!$D$27:$AM$27</f>
            </numRef>
          </val>
        </ser>
        <ser>
          <idx val="1"/>
          <order val="1"/>
          <tx>
            <strRef>
              <f>'Cash Flow'!$A$63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Flow'!$D$4:$AM$4</f>
            </numRef>
          </cat>
          <val>
            <numRef>
              <f>'Cash Flow'!$D$63:$AM$63</f>
            </numRef>
          </val>
        </ser>
        <ser>
          <idx val="2"/>
          <order val="2"/>
          <tx>
            <strRef>
              <f>'Cash Flow'!$A$56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Flow'!$D$4:$AM$4</f>
            </numRef>
          </cat>
          <val>
            <numRef>
              <f>'Cash Flow'!$D$56:$AM$56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#,##0,,&quot;M&quot;;(#,##0,,&quot;M&quot;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per month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'Sales'!$A$13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'Sales'!$D$4:$AM$4</f>
            </numRef>
          </cat>
          <val>
            <numRef>
              <f>'Sales'!$D$13:$AM$13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cost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7345E"/>
            </a:solidFill>
            <a:ln xmlns:a="http://schemas.openxmlformats.org/drawingml/2006/main">
              <a:prstDash val="solid"/>
            </a:ln>
          </spPr>
          <cat>
            <numRef>
              <f>'Outputs'!$A$48:$A$54</f>
            </numRef>
          </cat>
          <val>
            <numRef>
              <f>'Outputs'!$B$48:$B$54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TerraMind</author>
  </authors>
  <commentList>
    <comment ref="B14" authorId="0" shapeId="0">
      <text>
        <t>CDMX ISAI is progressive; ~4.5% is a common upper-bracket planning figure.</t>
      </text>
    </comment>
    <comment ref="B20" authorId="0" shapeId="0">
      <text>
        <t>CDMX zoning code H/4/20 means 4 stories and 20% open area.</t>
      </text>
    </comment>
    <comment ref="B21" authorId="0" shapeId="0">
      <text>
        <t>Leave empty to derive as stories × (1 − open area %).</t>
      </text>
    </comment>
    <comment ref="B23" authorId="0" shapeId="0">
      <text>
        <t>e.g. CDMX density letter M = one dwelling per 50 m² of land.</t>
      </text>
    </comment>
    <comment ref="B32" authorId="0" shapeId="0">
      <text>
        <t>Leave empty to use the maximum allowed coverage.</t>
      </text>
    </comment>
    <comment ref="B47" authorId="0" shapeId="0">
      <text>
        <t>Negative = presales before construction starts.</t>
      </text>
    </comment>
    <comment ref="B74" authorId="0" shapeId="0">
      <text>
        <t>How hard costs are spread over the construction months.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56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56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72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utputs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Development'!A1" TargetMode="External" Id="rId3"/><Relationship Type="http://schemas.openxmlformats.org/officeDocument/2006/relationships/hyperlink" Target="#'Construction'!A1" TargetMode="External" Id="rId4"/><Relationship Type="http://schemas.openxmlformats.org/officeDocument/2006/relationships/hyperlink" Target="#'Sales'!A1" TargetMode="External" Id="rId5"/><Relationship Type="http://schemas.openxmlformats.org/officeDocument/2006/relationships/hyperlink" Target="#'Cash Flow'!A1" TargetMode="External" Id="rId6"/><Relationship Type="http://schemas.openxmlformats.org/officeDocument/2006/relationships/hyperlink" Target="#'Waterfall'!A1" TargetMode="External" Id="rId7"/><Relationship Type="http://schemas.openxmlformats.org/officeDocument/2006/relationships/hyperlink" Target="#'Budget'!A1" TargetMode="External" Id="rId8"/><Relationship Type="http://schemas.openxmlformats.org/officeDocument/2006/relationships/hyperlink" Target="#'Sensitivity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B1A33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0" customWidth="1" min="3" max="3"/>
  </cols>
  <sheetData>
    <row r="1">
      <c r="A1" s="1" t="n"/>
      <c r="B1" s="1" t="n"/>
      <c r="C1" s="1" t="n"/>
    </row>
    <row r="2">
      <c r="A2" s="1" t="n"/>
      <c r="B2" s="2" t="inlineStr">
        <is>
          <t>TerraMind AI · Financial model</t>
        </is>
      </c>
      <c r="C2" s="1" t="n"/>
    </row>
    <row r="3">
      <c r="A3" s="1" t="n"/>
      <c r="B3" s="3" t="inlineStr">
        <is>
          <t>Polanco Residences (fictional)</t>
        </is>
      </c>
      <c r="C3" s="1" t="n"/>
    </row>
    <row r="4">
      <c r="A4" s="1" t="n"/>
      <c r="B4" s="1" t="n"/>
      <c r="C4" s="1" t="n"/>
    </row>
    <row r="5">
      <c r="A5" s="1" t="n"/>
      <c r="B5" s="4" t="inlineStr">
        <is>
          <t>Location</t>
        </is>
      </c>
      <c r="C5" s="5" t="inlineStr">
        <is>
          <t>Fictional lot near Calle Lope de Vega, Polanco, Miguel Hidalgo, Polanco V Sección, Mexico City</t>
        </is>
      </c>
    </row>
    <row r="6">
      <c r="A6" s="1" t="n"/>
      <c r="B6" s="4" t="inlineStr">
        <is>
          <t>Strategy / business model</t>
        </is>
      </c>
      <c r="C6" s="5" t="inlineStr">
        <is>
          <t>ground_up · build_to_sell</t>
        </is>
      </c>
    </row>
    <row r="7">
      <c r="A7" s="1" t="n"/>
      <c r="B7" s="4" t="inlineStr">
        <is>
          <t>Currency</t>
        </is>
      </c>
      <c r="C7" s="5" t="inlineStr">
        <is>
          <t>MXN</t>
        </is>
      </c>
    </row>
    <row r="8">
      <c r="A8" s="1" t="n"/>
      <c r="B8" s="4" t="inlineStr">
        <is>
          <t>Exported</t>
        </is>
      </c>
      <c r="C8" s="5" t="inlineStr">
        <is>
          <t>2026-10-24</t>
        </is>
      </c>
    </row>
    <row r="9">
      <c r="A9" s="1" t="n"/>
      <c r="B9" s="4" t="inlineStr">
        <is>
          <t>How it works</t>
        </is>
      </c>
      <c r="C9" s="5" t="inlineStr">
        <is>
          <t>Change any blue cell on the Assumptions tab. Every other number is a formula, so the development program, schedules, cash flow, financing, waterfall, budget, outputs and charts all update.</t>
        </is>
      </c>
    </row>
    <row r="10">
      <c r="A10" s="1" t="n"/>
      <c r="B10" s="4" t="inlineStr">
        <is>
          <t>Circularity</t>
        </is>
      </c>
      <c r="C10" s="5" t="inlineStr">
        <is>
          <t>Debt is sized on total cost including financing, which is circular. Iterative calculation is enabled in this file (File → Options → Formulas → Enable iterative calculation).</t>
        </is>
      </c>
    </row>
    <row r="11">
      <c r="A11" s="1" t="n"/>
      <c r="B11" s="4" t="inlineStr">
        <is>
          <t>Reconciliation</t>
        </is>
      </c>
      <c r="C11" s="5" t="inlineStr">
        <is>
          <t>The Outputs tab compares the Excel results with TerraMind's engine at the time of export.</t>
        </is>
      </c>
    </row>
    <row r="12">
      <c r="A12" s="1" t="n"/>
      <c r="B12" s="4" t="inlineStr">
        <is>
          <t>Disclaimer</t>
        </is>
      </c>
      <c r="C12" s="5" t="inlineStr">
        <is>
          <t>FICTIONAL DEMO PROJECT: all inputs are illustrative. Decision support only, not investment advice. Verify assumptions before relying on them.</t>
        </is>
      </c>
    </row>
    <row r="13">
      <c r="A13" s="1" t="n"/>
      <c r="B13" s="1" t="n"/>
      <c r="C13" s="1" t="n"/>
    </row>
    <row r="14">
      <c r="A14" s="1" t="n"/>
      <c r="B14" s="4" t="inlineStr">
        <is>
          <t>Tabs</t>
        </is>
      </c>
      <c r="C14" s="1" t="n"/>
    </row>
    <row r="15">
      <c r="A15" s="1" t="n"/>
      <c r="B15" s="6" t="inlineStr">
        <is>
          <t>Outputs</t>
        </is>
      </c>
      <c r="C15" s="7" t="inlineStr">
        <is>
          <t>Returns, profit, capital, reconciliation, annual summary and charts for investors</t>
        </is>
      </c>
    </row>
    <row r="16">
      <c r="A16" s="1" t="n"/>
      <c r="B16" s="6" t="inlineStr">
        <is>
          <t>Assumptions</t>
        </is>
      </c>
      <c r="C16" s="7" t="inlineStr">
        <is>
          <t>Every input (blue), unit mix, schedules, custom cash flows, user-defined variables</t>
        </is>
      </c>
    </row>
    <row r="17">
      <c r="A17" s="1" t="n"/>
      <c r="B17" s="6" t="inlineStr">
        <is>
          <t>Development</t>
        </is>
      </c>
      <c r="C17" s="7" t="inlineStr">
        <is>
          <t>Areas, units, legal capacity and compliance checks</t>
        </is>
      </c>
    </row>
    <row r="18">
      <c r="A18" s="1" t="n"/>
      <c r="B18" s="6" t="inlineStr">
        <is>
          <t>Construction</t>
        </is>
      </c>
      <c r="C18" s="7" t="inlineStr">
        <is>
          <t>Monthly development cost schedule (S-curve, escalation, land payments)</t>
        </is>
      </c>
    </row>
    <row r="19">
      <c r="A19" s="1" t="n"/>
      <c r="B19" s="6" t="inlineStr">
        <is>
          <t>Sales</t>
        </is>
      </c>
      <c r="C19" s="7" t="inlineStr">
        <is>
          <t>Monthly sales and buyer payments</t>
        </is>
      </c>
    </row>
    <row r="20">
      <c r="A20" s="1" t="n"/>
      <c r="B20" s="6" t="inlineStr">
        <is>
          <t>Cash Flow</t>
        </is>
      </c>
      <c r="C20" s="7" t="inlineStr">
        <is>
          <t>Unlevered cash flow, debt draws and repayments, interest, equity</t>
        </is>
      </c>
    </row>
    <row r="21">
      <c r="A21" s="1" t="n"/>
      <c r="B21" s="6" t="inlineStr">
        <is>
          <t>Waterfall</t>
        </is>
      </c>
      <c r="C21" s="7" t="inlineStr">
        <is>
          <t>Investor vs sponsor distributions</t>
        </is>
      </c>
    </row>
    <row r="22">
      <c r="A22" s="1" t="n"/>
      <c r="B22" s="6" t="inlineStr">
        <is>
          <t>Budget</t>
        </is>
      </c>
      <c r="C22" s="7" t="inlineStr">
        <is>
          <t>Development budget by line item</t>
        </is>
      </c>
    </row>
    <row r="23">
      <c r="A23" s="1" t="n"/>
      <c r="B23" s="6" t="inlineStr">
        <is>
          <t>Sensitivity</t>
        </is>
      </c>
      <c r="C23" s="7" t="inlineStr">
        <is>
          <t>Scenario, tornado and heatmap results from TerraMind's engine (snapshot)</t>
        </is>
      </c>
    </row>
    <row r="24">
      <c r="A24" s="1" t="n"/>
      <c r="B24" s="1" t="n"/>
      <c r="C24" s="1" t="n"/>
    </row>
    <row r="25">
      <c r="A25" s="1" t="n"/>
      <c r="B25" s="4" t="inlineStr">
        <is>
          <t>Legend</t>
        </is>
      </c>
      <c r="C25" s="1" t="n"/>
    </row>
    <row r="26">
      <c r="A26" s="1" t="n"/>
      <c r="B26" s="8" t="inlineStr">
        <is>
          <t>1,234</t>
        </is>
      </c>
      <c r="C26" s="7" t="inlineStr">
        <is>
          <t>Input (edit these)</t>
        </is>
      </c>
    </row>
    <row r="27">
      <c r="A27" s="1" t="n"/>
      <c r="B27" s="7" t="inlineStr">
        <is>
          <t>1,234</t>
        </is>
      </c>
      <c r="C27" s="7" t="inlineStr">
        <is>
          <t>Formula (do not overwrite)</t>
        </is>
      </c>
    </row>
    <row r="28">
      <c r="A28" s="1" t="n"/>
      <c r="B28" s="9" t="inlineStr">
        <is>
          <t>Key driver</t>
        </is>
      </c>
      <c r="C28" s="7" t="inlineStr">
        <is>
          <t>Most important inputs</t>
        </is>
      </c>
    </row>
  </sheetData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  <hyperlink xmlns:r="http://schemas.openxmlformats.org/officeDocument/2006/relationships" ref="B21" r:id="rId7"/>
    <hyperlink xmlns:r="http://schemas.openxmlformats.org/officeDocument/2006/relationships" ref="B22" r:id="rId8"/>
    <hyperlink xmlns:r="http://schemas.openxmlformats.org/officeDocument/2006/relationships" ref="B2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B6834"/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Polanco Residences (fictional): investment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1" t="inlineStr">
        <is>
          <t>MXN. Every figure is a formula linked to the Assumptions tab.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2" t="inlineStr">
        <is>
          <t>Metric</t>
        </is>
      </c>
      <c r="B4" s="12" t="inlineStr">
        <is>
          <t>Excel model</t>
        </is>
      </c>
      <c r="C4" s="12" t="inlineStr">
        <is>
          <t>TerraMind engine at export</t>
        </is>
      </c>
      <c r="D4" s="12" t="inlineStr">
        <is>
          <t>Difference</t>
        </is>
      </c>
      <c r="E4" s="12" t="inlineStr">
        <is>
          <t>Status</t>
        </is>
      </c>
      <c r="F4" s="1" t="n"/>
      <c r="G4" s="1" t="n"/>
      <c r="H4" s="1" t="n"/>
      <c r="I4" s="1" t="n"/>
      <c r="J4" s="1" t="n"/>
      <c r="K4" s="1" t="n"/>
      <c r="L4" s="1" t="n"/>
    </row>
    <row r="5">
      <c r="A5" s="13" t="inlineStr">
        <is>
          <t>Returns</t>
        </is>
      </c>
      <c r="B5" s="14" t="n"/>
      <c r="C5" s="14" t="n"/>
      <c r="D5" s="14" t="n"/>
      <c r="E5" s="14" t="n"/>
      <c r="F5" s="1" t="n"/>
      <c r="G5" s="1" t="n"/>
      <c r="H5" s="1" t="n"/>
      <c r="I5" s="1" t="n"/>
      <c r="J5" s="1" t="n"/>
      <c r="K5" s="1" t="n"/>
      <c r="L5" s="1" t="n"/>
    </row>
    <row r="6">
      <c r="A6" s="7" t="inlineStr">
        <is>
          <t>Project IRR (unlevered, annualized)</t>
        </is>
      </c>
      <c r="B6" s="15">
        <f>IFERROR((1+IRR(M_Unlev,0.01))^12-1,"n/a")</f>
        <v/>
      </c>
      <c r="C6" s="16" t="n">
        <v>0.2517323599047114</v>
      </c>
      <c r="D6" s="17">
        <f>IFERROR(B6-C6,"")</f>
        <v/>
      </c>
      <c r="E6" s="11">
        <f>IFERROR(IF(IF(ABS(C6)&lt;10,ABS(B6-C6)&lt;=0.0005,ABS(B6-C6)&lt;=MAX(1,ABS(C6)*0.002)),"✓ matches","changed"),"")</f>
        <v/>
      </c>
      <c r="F6" s="1" t="n"/>
      <c r="G6" s="1" t="n"/>
      <c r="H6" s="1" t="n"/>
      <c r="I6" s="1" t="n"/>
      <c r="J6" s="1" t="n"/>
      <c r="K6" s="1" t="n"/>
      <c r="L6" s="1" t="n"/>
    </row>
    <row r="7">
      <c r="A7" s="7" t="inlineStr">
        <is>
          <t>Equity IRR (levered, annualized)</t>
        </is>
      </c>
      <c r="B7" s="15">
        <f>IFERROR((1+IRR(M_Lev,0.01))^12-1,"n/a")</f>
        <v/>
      </c>
      <c r="C7" s="16" t="n">
        <v>0.2491376521768638</v>
      </c>
      <c r="D7" s="17">
        <f>IFERROR(B7-C7,"")</f>
        <v/>
      </c>
      <c r="E7" s="11">
        <f>IFERROR(IF(IF(ABS(C7)&lt;10,ABS(B7-C7)&lt;=0.0005,ABS(B7-C7)&lt;=MAX(1,ABS(C7)*0.002)),"✓ matches","changed"),"")</f>
        <v/>
      </c>
      <c r="F7" s="1" t="n"/>
      <c r="G7" s="1" t="n"/>
      <c r="H7" s="1" t="n"/>
      <c r="I7" s="1" t="n"/>
      <c r="J7" s="1" t="n"/>
      <c r="K7" s="1" t="n"/>
      <c r="L7" s="1" t="n"/>
    </row>
    <row r="8">
      <c r="A8" s="7" t="inlineStr">
        <is>
          <t>Equity multiple (MOIC)</t>
        </is>
      </c>
      <c r="B8" s="18">
        <f>IF(SUM(M_Contrib)&gt;0,SUM(M_Dist)/SUM(M_Contrib),0)</f>
        <v/>
      </c>
      <c r="C8" s="19" t="n">
        <v>1.677059326146157</v>
      </c>
      <c r="D8" s="20">
        <f>IFERROR(B8-C8,"")</f>
        <v/>
      </c>
      <c r="E8" s="11">
        <f>IFERROR(IF(IF(ABS(C8)&lt;10,ABS(B8-C8)&lt;=0.0005,ABS(B8-C8)&lt;=MAX(1,ABS(C8)*0.002)),"✓ matches","changed"),"")</f>
        <v/>
      </c>
      <c r="F8" s="1" t="n"/>
      <c r="G8" s="1" t="n"/>
      <c r="H8" s="1" t="n"/>
      <c r="I8" s="1" t="n"/>
      <c r="J8" s="1" t="n"/>
      <c r="K8" s="1" t="n"/>
      <c r="L8" s="1" t="n"/>
    </row>
    <row r="9">
      <c r="A9" s="7" t="inlineStr">
        <is>
          <t>NPV at discount rate (unlevered)</t>
        </is>
      </c>
      <c r="B9" s="21">
        <f>INDEX(M_Unlev,1,1)+NPV((1+in_val_discount_rate_pct)^(1/12)-1,'Cash Flow'!$E$26:$CU$26)</f>
        <v/>
      </c>
      <c r="C9" s="22" t="n">
        <v>122451850.8505725</v>
      </c>
      <c r="D9" s="23">
        <f>IFERROR(B9-C9,"")</f>
        <v/>
      </c>
      <c r="E9" s="11">
        <f>IFERROR(IF(IF(ABS(C9)&lt;10,ABS(B9-C9)&lt;=0.0005,ABS(B9-C9)&lt;=MAX(1,ABS(C9)*0.002)),"✓ matches","changed"),"")</f>
        <v/>
      </c>
      <c r="F9" s="1" t="n"/>
      <c r="G9" s="1" t="n"/>
      <c r="H9" s="1" t="n"/>
      <c r="I9" s="1" t="n"/>
      <c r="J9" s="1" t="n"/>
      <c r="K9" s="1" t="n"/>
      <c r="L9" s="1" t="n"/>
    </row>
    <row r="10">
      <c r="A10" s="7" t="inlineStr">
        <is>
          <t>Investor IRR</t>
        </is>
      </c>
      <c r="B10" s="15">
        <f>IFERROR((1+IRR(M_Investor,0.01))^12-1,"n/a")</f>
        <v/>
      </c>
      <c r="C10" s="16" t="n">
        <v>0.2214382202136191</v>
      </c>
      <c r="D10" s="17">
        <f>IFERROR(B10-C10,"")</f>
        <v/>
      </c>
      <c r="E10" s="11">
        <f>IFERROR(IF(IF(ABS(C10)&lt;10,ABS(B10-C10)&lt;=0.0005,ABS(B10-C10)&lt;=MAX(1,ABS(C10)*0.002)),"✓ matches","changed"),"")</f>
        <v/>
      </c>
      <c r="F10" s="1" t="n"/>
      <c r="G10" s="1" t="n"/>
      <c r="H10" s="1" t="n"/>
      <c r="I10" s="1" t="n"/>
      <c r="J10" s="1" t="n"/>
      <c r="K10" s="1" t="n"/>
      <c r="L10" s="1" t="n"/>
    </row>
    <row r="11">
      <c r="A11" s="7" t="inlineStr">
        <is>
          <t>Sponsor IRR</t>
        </is>
      </c>
      <c r="B11" s="15">
        <f>IFERROR((1+IRR(M_Sponsor,0.01))^12-1,"n/a")</f>
        <v/>
      </c>
      <c r="C11" s="16" t="n">
        <v>0.351744597982129</v>
      </c>
      <c r="D11" s="17">
        <f>IFERROR(B11-C11,"")</f>
        <v/>
      </c>
      <c r="E11" s="11">
        <f>IFERROR(IF(IF(ABS(C11)&lt;10,ABS(B11-C11)&lt;=0.0005,ABS(B11-C11)&lt;=MAX(1,ABS(C11)*0.002)),"✓ matches","changed"),"")</f>
        <v/>
      </c>
      <c r="F11" s="1" t="n"/>
      <c r="G11" s="1" t="n"/>
      <c r="H11" s="1" t="n"/>
      <c r="I11" s="1" t="n"/>
      <c r="J11" s="1" t="n"/>
      <c r="K11" s="1" t="n"/>
      <c r="L11" s="1" t="n"/>
    </row>
    <row r="12">
      <c r="A12" s="13" t="inlineStr">
        <is>
          <t>Profitability</t>
        </is>
      </c>
      <c r="B12" s="14" t="n"/>
      <c r="C12" s="14" t="n"/>
      <c r="D12" s="14" t="n"/>
      <c r="E12" s="14" t="n"/>
      <c r="F12" s="1" t="n"/>
      <c r="G12" s="1" t="n"/>
      <c r="H12" s="1" t="n"/>
      <c r="I12" s="1" t="n"/>
      <c r="J12" s="1" t="n"/>
      <c r="K12" s="1" t="n"/>
      <c r="L12" s="1" t="n"/>
    </row>
    <row r="13">
      <c r="A13" s="7" t="inlineStr">
        <is>
          <t>Gross development value / exit value</t>
        </is>
      </c>
      <c r="B13" s="21">
        <f>IF(in_mode_sale=1,S_GDV,R_ExitValue)</f>
        <v/>
      </c>
      <c r="C13" s="22" t="n">
        <v>1036481351.813428</v>
      </c>
      <c r="D13" s="23">
        <f>IFERROR(B13-C13,"")</f>
        <v/>
      </c>
      <c r="E13" s="11">
        <f>IFERROR(IF(IF(ABS(C13)&lt;10,ABS(B13-C13)&lt;=0.0005,ABS(B13-C13)&lt;=MAX(1,ABS(C13)*0.002)),"✓ matches","changed"),"")</f>
        <v/>
      </c>
      <c r="F13" s="1" t="n"/>
      <c r="G13" s="1" t="n"/>
      <c r="H13" s="1" t="n"/>
      <c r="I13" s="1" t="n"/>
      <c r="J13" s="1" t="n"/>
      <c r="K13" s="1" t="n"/>
      <c r="L13" s="1" t="n"/>
    </row>
    <row r="14">
      <c r="A14" s="7" t="inlineStr">
        <is>
          <t>Total revenue (cash inflows)</t>
        </is>
      </c>
      <c r="B14" s="21">
        <f>SUM(M_Inflow)</f>
        <v/>
      </c>
      <c r="C14" s="22" t="n">
        <v>1036481351.813428</v>
      </c>
      <c r="D14" s="23">
        <f>IFERROR(B14-C14,"")</f>
        <v/>
      </c>
      <c r="E14" s="11">
        <f>IFERROR(IF(IF(ABS(C14)&lt;10,ABS(B14-C14)&lt;=0.0005,ABS(B14-C14)&lt;=MAX(1,ABS(C14)*0.002)),"✓ matches","changed"),"")</f>
        <v/>
      </c>
      <c r="F14" s="1" t="n"/>
      <c r="G14" s="1" t="n"/>
      <c r="H14" s="1" t="n"/>
      <c r="I14" s="1" t="n"/>
      <c r="J14" s="1" t="n"/>
      <c r="K14" s="1" t="n"/>
      <c r="L14" s="1" t="n"/>
    </row>
    <row r="15">
      <c r="A15" s="7" t="inlineStr">
        <is>
          <t>Total development cost (excl. financing)</t>
        </is>
      </c>
      <c r="B15" s="21">
        <f>TDC</f>
        <v/>
      </c>
      <c r="C15" s="22" t="n">
        <v>741893851.7083638</v>
      </c>
      <c r="D15" s="23">
        <f>IFERROR(B15-C15,"")</f>
        <v/>
      </c>
      <c r="E15" s="11">
        <f>IFERROR(IF(IF(ABS(C15)&lt;10,ABS(B15-C15)&lt;=0.0005,ABS(B15-C15)&lt;=MAX(1,ABS(C15)*0.002)),"✓ matches","changed"),"")</f>
        <v/>
      </c>
      <c r="F15" s="1" t="n"/>
      <c r="G15" s="1" t="n"/>
      <c r="H15" s="1" t="n"/>
      <c r="I15" s="1" t="n"/>
      <c r="J15" s="1" t="n"/>
      <c r="K15" s="1" t="n"/>
      <c r="L15" s="1" t="n"/>
    </row>
    <row r="16">
      <c r="A16" s="7" t="inlineStr">
        <is>
          <t>Financing cost</t>
        </is>
      </c>
      <c r="B16" s="21">
        <f>FinCost</f>
        <v/>
      </c>
      <c r="C16" s="22" t="n">
        <v>13348403.40393347</v>
      </c>
      <c r="D16" s="23">
        <f>IFERROR(B16-C16,"")</f>
        <v/>
      </c>
      <c r="E16" s="11">
        <f>IFERROR(IF(IF(ABS(C16)&lt;10,ABS(B16-C16)&lt;=0.0005,ABS(B16-C16)&lt;=MAX(1,ABS(C16)*0.002)),"✓ matches","changed"),"")</f>
        <v/>
      </c>
      <c r="F16" s="1" t="n"/>
      <c r="G16" s="1" t="n"/>
      <c r="H16" s="1" t="n"/>
      <c r="I16" s="1" t="n"/>
      <c r="J16" s="1" t="n"/>
      <c r="K16" s="1" t="n"/>
      <c r="L16" s="1" t="n"/>
    </row>
    <row r="17">
      <c r="A17" s="7" t="inlineStr">
        <is>
          <t>Total cost incl. financing</t>
        </is>
      </c>
      <c r="B17" s="21">
        <f>TotalCost</f>
        <v/>
      </c>
      <c r="C17" s="22" t="n">
        <v>755242255.1122973</v>
      </c>
      <c r="D17" s="23">
        <f>IFERROR(B17-C17,"")</f>
        <v/>
      </c>
      <c r="E17" s="11">
        <f>IFERROR(IF(IF(ABS(C17)&lt;10,ABS(B17-C17)&lt;=0.0005,ABS(B17-C17)&lt;=MAX(1,ABS(C17)*0.002)),"✓ matches","changed"),"")</f>
        <v/>
      </c>
      <c r="F17" s="1" t="n"/>
      <c r="G17" s="1" t="n"/>
      <c r="H17" s="1" t="n"/>
      <c r="I17" s="1" t="n"/>
      <c r="J17" s="1" t="n"/>
      <c r="K17" s="1" t="n"/>
      <c r="L17" s="1" t="n"/>
    </row>
    <row r="18">
      <c r="A18" s="7" t="inlineStr">
        <is>
          <t>Development profit</t>
        </is>
      </c>
      <c r="B18" s="21">
        <f>SUM(M_Inflow)-TotalCost</f>
        <v/>
      </c>
      <c r="C18" s="22" t="n">
        <v>281239096.7011305</v>
      </c>
      <c r="D18" s="23">
        <f>IFERROR(B18-C18,"")</f>
        <v/>
      </c>
      <c r="E18" s="11">
        <f>IFERROR(IF(IF(ABS(C18)&lt;10,ABS(B18-C18)&lt;=0.0005,ABS(B18-C18)&lt;=MAX(1,ABS(C18)*0.002)),"✓ matches","changed"),"")</f>
        <v/>
      </c>
      <c r="F18" s="1" t="n"/>
      <c r="G18" s="1" t="n"/>
      <c r="H18" s="1" t="n"/>
      <c r="I18" s="1" t="n"/>
      <c r="J18" s="1" t="n"/>
      <c r="K18" s="1" t="n"/>
      <c r="L18" s="1" t="n"/>
    </row>
    <row r="19">
      <c r="A19" s="7" t="inlineStr">
        <is>
          <t>Net margin (profit / revenue)</t>
        </is>
      </c>
      <c r="B19" s="15">
        <f>IF(SUM(M_Inflow)&lt;&gt;0,(SUM(M_Inflow)-TotalCost)/SUM(M_Inflow),0)</f>
        <v/>
      </c>
      <c r="C19" s="16" t="n">
        <v>0.2713402380168969</v>
      </c>
      <c r="D19" s="17">
        <f>IFERROR(B19-C19,"")</f>
        <v/>
      </c>
      <c r="E19" s="11">
        <f>IFERROR(IF(IF(ABS(C19)&lt;10,ABS(B19-C19)&lt;=0.0005,ABS(B19-C19)&lt;=MAX(1,ABS(C19)*0.002)),"✓ matches","changed"),"")</f>
        <v/>
      </c>
      <c r="F19" s="1" t="n"/>
      <c r="G19" s="1" t="n"/>
      <c r="H19" s="1" t="n"/>
      <c r="I19" s="1" t="n"/>
      <c r="J19" s="1" t="n"/>
      <c r="K19" s="1" t="n"/>
      <c r="L19" s="1" t="n"/>
    </row>
    <row r="20">
      <c r="A20" s="7" t="inlineStr">
        <is>
          <t>Profit on cost</t>
        </is>
      </c>
      <c r="B20" s="15">
        <f>IF(TotalCost&lt;&gt;0,(SUM(M_Inflow)-TotalCost)/TotalCost,0)</f>
        <v/>
      </c>
      <c r="C20" s="16" t="n">
        <v>0.372382629278751</v>
      </c>
      <c r="D20" s="17">
        <f>IFERROR(B20-C20,"")</f>
        <v/>
      </c>
      <c r="E20" s="11">
        <f>IFERROR(IF(IF(ABS(C20)&lt;10,ABS(B20-C20)&lt;=0.0005,ABS(B20-C20)&lt;=MAX(1,ABS(C20)*0.002)),"✓ matches","changed"),"")</f>
        <v/>
      </c>
      <c r="F20" s="1" t="n"/>
      <c r="G20" s="1" t="n"/>
      <c r="H20" s="1" t="n"/>
      <c r="I20" s="1" t="n"/>
      <c r="J20" s="1" t="n"/>
      <c r="K20" s="1" t="n"/>
      <c r="L20" s="1" t="n"/>
    </row>
    <row r="21">
      <c r="A21" s="13" t="inlineStr">
        <is>
          <t>Capital</t>
        </is>
      </c>
      <c r="B21" s="14" t="n"/>
      <c r="C21" s="14" t="n"/>
      <c r="D21" s="14" t="n"/>
      <c r="E21" s="14" t="n"/>
      <c r="F21" s="1" t="n"/>
      <c r="G21" s="1" t="n"/>
      <c r="H21" s="1" t="n"/>
      <c r="I21" s="1" t="n"/>
      <c r="J21" s="1" t="n"/>
      <c r="K21" s="1" t="n"/>
      <c r="L21" s="1" t="n"/>
    </row>
    <row r="22">
      <c r="A22" s="7" t="inlineStr">
        <is>
          <t>Peak funding requirement (unlevered)</t>
        </is>
      </c>
      <c r="B22" s="21">
        <f>MAX(0,-MIN(M_CumUnlev))</f>
        <v/>
      </c>
      <c r="C22" s="22" t="n">
        <v>485181390.49304</v>
      </c>
      <c r="D22" s="23">
        <f>IFERROR(B22-C22,"")</f>
        <v/>
      </c>
      <c r="E22" s="11">
        <f>IFERROR(IF(IF(ABS(C22)&lt;10,ABS(B22-C22)&lt;=0.0005,ABS(B22-C22)&lt;=MAX(1,ABS(C22)*0.002)),"✓ matches","changed"),"")</f>
        <v/>
      </c>
      <c r="F22" s="1" t="n"/>
      <c r="G22" s="1" t="n"/>
      <c r="H22" s="1" t="n"/>
      <c r="I22" s="1" t="n"/>
      <c r="J22" s="1" t="n"/>
      <c r="K22" s="1" t="n"/>
      <c r="L22" s="1" t="n"/>
    </row>
    <row r="23">
      <c r="A23" s="7" t="inlineStr">
        <is>
          <t>Peak equity</t>
        </is>
      </c>
      <c r="B23" s="21">
        <f>MAX(0,MAX(M_NetEquity))</f>
        <v/>
      </c>
      <c r="C23" s="22" t="n">
        <v>415383240.1983919</v>
      </c>
      <c r="D23" s="23">
        <f>IFERROR(B23-C23,"")</f>
        <v/>
      </c>
      <c r="E23" s="11">
        <f>IFERROR(IF(IF(ABS(C23)&lt;10,ABS(B23-C23)&lt;=0.0005,ABS(B23-C23)&lt;=MAX(1,ABS(C23)*0.002)),"✓ matches","changed"),"")</f>
        <v/>
      </c>
      <c r="F23" s="1" t="n"/>
      <c r="G23" s="1" t="n"/>
      <c r="H23" s="1" t="n"/>
      <c r="I23" s="1" t="n"/>
      <c r="J23" s="1" t="n"/>
      <c r="K23" s="1" t="n"/>
      <c r="L23" s="1" t="n"/>
    </row>
    <row r="24">
      <c r="A24" s="7" t="inlineStr">
        <is>
          <t>Equity contributed</t>
        </is>
      </c>
      <c r="B24" s="21">
        <f>SUM(M_Contrib)</f>
        <v/>
      </c>
      <c r="C24" s="22" t="n">
        <v>415383240.1983919</v>
      </c>
      <c r="D24" s="23">
        <f>IFERROR(B24-C24,"")</f>
        <v/>
      </c>
      <c r="E24" s="11">
        <f>IFERROR(IF(IF(ABS(C24)&lt;10,ABS(B24-C24)&lt;=0.0005,ABS(B24-C24)&lt;=MAX(1,ABS(C24)*0.002)),"✓ matches","changed"),"")</f>
        <v/>
      </c>
      <c r="F24" s="1" t="n"/>
      <c r="G24" s="1" t="n"/>
      <c r="H24" s="1" t="n"/>
      <c r="I24" s="1" t="n"/>
      <c r="J24" s="1" t="n"/>
      <c r="K24" s="1" t="n"/>
      <c r="L24" s="1" t="n"/>
    </row>
    <row r="25">
      <c r="A25" s="7" t="inlineStr">
        <is>
          <t>Senior commitment</t>
        </is>
      </c>
      <c r="B25" s="21">
        <f>F_SeniorCommit</f>
        <v/>
      </c>
      <c r="C25" s="22" t="n">
        <v>339859014.7077752</v>
      </c>
      <c r="D25" s="23">
        <f>IFERROR(B25-C25,"")</f>
        <v/>
      </c>
      <c r="E25" s="11">
        <f>IFERROR(IF(IF(ABS(C25)&lt;10,ABS(B25-C25)&lt;=0.0005,ABS(B25-C25)&lt;=MAX(1,ABS(C25)*0.002)),"✓ matches","changed"),"")</f>
        <v/>
      </c>
      <c r="F25" s="1" t="n"/>
      <c r="G25" s="1" t="n"/>
      <c r="H25" s="1" t="n"/>
      <c r="I25" s="1" t="n"/>
      <c r="J25" s="1" t="n"/>
      <c r="K25" s="1" t="n"/>
      <c r="L25" s="1" t="n"/>
    </row>
    <row r="26">
      <c r="A26" s="7" t="inlineStr">
        <is>
          <t>Peak senior debt</t>
        </is>
      </c>
      <c r="B26" s="21">
        <f>MAX(0,MAX(M_Senior))</f>
        <v/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7" t="inlineStr">
        <is>
          <t>Loan-to-cost (LTC)</t>
        </is>
      </c>
      <c r="B27" s="15">
        <f>IF(TotalCost&lt;&gt;0,F_SeniorCommit/TotalCost,0)</f>
        <v/>
      </c>
      <c r="C27" s="16" t="n">
        <v>0.4499999998771803</v>
      </c>
      <c r="D27" s="17">
        <f>IFERROR(B27-C27,"")</f>
        <v/>
      </c>
      <c r="E27" s="11">
        <f>IFERROR(IF(IF(ABS(C27)&lt;10,ABS(B27-C27)&lt;=0.0005,ABS(B27-C27)&lt;=MAX(1,ABS(C27)*0.002)),"✓ matches","changed"),"")</f>
        <v/>
      </c>
      <c r="F27" s="1" t="n"/>
      <c r="G27" s="1" t="n"/>
      <c r="H27" s="1" t="n"/>
      <c r="I27" s="1" t="n"/>
      <c r="J27" s="1" t="n"/>
      <c r="K27" s="1" t="n"/>
      <c r="L27" s="1" t="n"/>
    </row>
    <row r="28">
      <c r="A28" s="7" t="inlineStr">
        <is>
          <t>Funding gap (additional equity)</t>
        </is>
      </c>
      <c r="B28" s="21">
        <f>'Cash Flow'!B45</f>
        <v/>
      </c>
      <c r="C28" s="22" t="n">
        <v>0</v>
      </c>
      <c r="D28" s="23">
        <f>IFERROR(B28-C28,"")</f>
        <v/>
      </c>
      <c r="E28" s="11">
        <f>IFERROR(IF(IF(ABS(C28)&lt;10,ABS(B28-C28)&lt;=0.0005,ABS(B28-C28)&lt;=MAX(1,ABS(C28)*0.002)),"✓ matches","changed"),"")</f>
        <v/>
      </c>
      <c r="F28" s="1" t="n"/>
      <c r="G28" s="1" t="n"/>
      <c r="H28" s="1" t="n"/>
      <c r="I28" s="1" t="n"/>
      <c r="J28" s="1" t="n"/>
      <c r="K28" s="1" t="n"/>
      <c r="L28" s="1" t="n"/>
    </row>
    <row r="29">
      <c r="A29" s="13" t="inlineStr">
        <is>
          <t>Program &amp; timing</t>
        </is>
      </c>
      <c r="B29" s="14" t="n"/>
      <c r="C29" s="14" t="n"/>
      <c r="D29" s="14" t="n"/>
      <c r="E29" s="14" t="n"/>
      <c r="F29" s="1" t="n"/>
      <c r="G29" s="1" t="n"/>
      <c r="H29" s="1" t="n"/>
      <c r="I29" s="1" t="n"/>
      <c r="J29" s="1" t="n"/>
      <c r="K29" s="1" t="n"/>
      <c r="L29" s="1" t="n"/>
    </row>
    <row r="30">
      <c r="A30" s="7" t="inlineStr">
        <is>
          <t>Units</t>
        </is>
      </c>
      <c r="B30" s="21">
        <f>D_Units</f>
        <v/>
      </c>
      <c r="C30" s="22" t="n">
        <v>75</v>
      </c>
      <c r="D30" s="23">
        <f>IFERROR(B30-C30,"")</f>
        <v/>
      </c>
      <c r="E30" s="11">
        <f>IFERROR(IF(IF(ABS(C30)&lt;10,ABS(B30-C30)&lt;=0.0005,ABS(B30-C30)&lt;=MAX(1,ABS(C30)*0.002)),"✓ matches","changed"),"")</f>
        <v/>
      </c>
      <c r="F30" s="1" t="n"/>
      <c r="G30" s="1" t="n"/>
      <c r="H30" s="1" t="n"/>
      <c r="I30" s="1" t="n"/>
      <c r="J30" s="1" t="n"/>
      <c r="K30" s="1" t="n"/>
      <c r="L30" s="1" t="n"/>
    </row>
    <row r="31">
      <c r="A31" s="7" t="inlineStr">
        <is>
          <t>Saleable / leasable area (m²)</t>
        </is>
      </c>
      <c r="B31" s="21">
        <f>D_Saleable</f>
        <v/>
      </c>
      <c r="C31" s="22" t="n">
        <v>8651</v>
      </c>
      <c r="D31" s="23">
        <f>IFERROR(B31-C31,"")</f>
        <v/>
      </c>
      <c r="E31" s="11">
        <f>IFERROR(IF(IF(ABS(C31)&lt;10,ABS(B31-C31)&lt;=0.0005,ABS(B31-C31)&lt;=MAX(1,ABS(C31)*0.002)),"✓ matches","changed"),"")</f>
        <v/>
      </c>
      <c r="F31" s="1" t="n"/>
      <c r="G31" s="1" t="n"/>
      <c r="H31" s="1" t="n"/>
      <c r="I31" s="1" t="n"/>
      <c r="J31" s="1" t="n"/>
      <c r="K31" s="1" t="n"/>
      <c r="L31" s="1" t="n"/>
    </row>
    <row r="32">
      <c r="A32" s="7" t="inlineStr">
        <is>
          <t>Delivery month</t>
        </is>
      </c>
      <c r="B32" s="21">
        <f>T_Delivery</f>
        <v/>
      </c>
      <c r="C32" s="22" t="n">
        <v>32</v>
      </c>
      <c r="D32" s="23">
        <f>IFERROR(B32-C32,"")</f>
        <v/>
      </c>
      <c r="E32" s="11">
        <f>IFERROR(IF(IF(ABS(C32)&lt;10,ABS(B32-C32)&lt;=0.0005,ABS(B32-C32)&lt;=MAX(1,ABS(C32)*0.002)),"✓ matches","changed"),"")</f>
        <v/>
      </c>
      <c r="F32" s="1" t="n"/>
      <c r="G32" s="1" t="n"/>
      <c r="H32" s="1" t="n"/>
      <c r="I32" s="1" t="n"/>
      <c r="J32" s="1" t="n"/>
      <c r="K32" s="1" t="n"/>
      <c r="L32" s="1" t="n"/>
    </row>
    <row r="33">
      <c r="A33" s="7" t="inlineStr">
        <is>
          <t>Project duration (months)</t>
        </is>
      </c>
      <c r="B33" s="21">
        <f>T_End</f>
        <v/>
      </c>
      <c r="C33" s="22" t="n">
        <v>32</v>
      </c>
      <c r="D33" s="23">
        <f>IFERROR(B33-C33,"")</f>
        <v/>
      </c>
      <c r="E33" s="11">
        <f>IFERROR(IF(IF(ABS(C33)&lt;10,ABS(B33-C33)&lt;=0.0005,ABS(B33-C33)&lt;=MAX(1,ABS(C33)*0.002)),"✓ matches","changed"),"")</f>
        <v/>
      </c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1" t="inlineStr">
        <is>
          <t>Column C is a snapshot of TerraMind's engine when the file was exported. After you edit assumptions in Excel, column B updates and Status shows 'changed'.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3" t="inlineStr">
        <is>
          <t>Annual summary (Y0 = closing month, Y1 = months 1–12…)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2" t="inlineStr">
        <is>
          <t>Year</t>
        </is>
      </c>
      <c r="B38" s="24" t="inlineStr">
        <is>
          <t>Y0</t>
        </is>
      </c>
      <c r="C38" s="24" t="inlineStr">
        <is>
          <t>Y1</t>
        </is>
      </c>
      <c r="D38" s="24" t="inlineStr">
        <is>
          <t>Y2</t>
        </is>
      </c>
      <c r="E38" s="24" t="inlineStr">
        <is>
          <t>Y3</t>
        </is>
      </c>
      <c r="F38" s="24" t="inlineStr">
        <is>
          <t>Y4</t>
        </is>
      </c>
      <c r="G38" s="24" t="inlineStr">
        <is>
          <t>Y5</t>
        </is>
      </c>
      <c r="H38" s="24" t="inlineStr">
        <is>
          <t>Y6</t>
        </is>
      </c>
      <c r="I38" s="24" t="inlineStr">
        <is>
          <t>Y7</t>
        </is>
      </c>
      <c r="J38" s="24" t="inlineStr">
        <is>
          <t>Y8</t>
        </is>
      </c>
      <c r="K38" s="1" t="n"/>
      <c r="L38" s="1" t="n"/>
    </row>
    <row r="39">
      <c r="A39" s="7" t="inlineStr">
        <is>
          <t>Units sold</t>
        </is>
      </c>
      <c r="B39" s="25">
        <f>SUMPRODUCT(('Cash Flow'!$D$4:$CU$4=0)*M_Sold)</f>
        <v/>
      </c>
      <c r="C39" s="25">
        <f>SUMPRODUCT(('Cash Flow'!$D$4:$CU$4&gt;=1)*('Cash Flow'!$D$4:$CU$4&lt;=12)*M_Sold)</f>
        <v/>
      </c>
      <c r="D39" s="25">
        <f>SUMPRODUCT(('Cash Flow'!$D$4:$CU$4&gt;=13)*('Cash Flow'!$D$4:$CU$4&lt;=24)*M_Sold)</f>
        <v/>
      </c>
      <c r="E39" s="25">
        <f>SUMPRODUCT(('Cash Flow'!$D$4:$CU$4&gt;=25)*('Cash Flow'!$D$4:$CU$4&lt;=36)*M_Sold)</f>
        <v/>
      </c>
      <c r="F39" s="25">
        <f>SUMPRODUCT(('Cash Flow'!$D$4:$CU$4&gt;=37)*('Cash Flow'!$D$4:$CU$4&lt;=48)*M_Sold)</f>
        <v/>
      </c>
      <c r="G39" s="25">
        <f>SUMPRODUCT(('Cash Flow'!$D$4:$CU$4&gt;=49)*('Cash Flow'!$D$4:$CU$4&lt;=60)*M_Sold)</f>
        <v/>
      </c>
      <c r="H39" s="25">
        <f>SUMPRODUCT(('Cash Flow'!$D$4:$CU$4&gt;=61)*('Cash Flow'!$D$4:$CU$4&lt;=72)*M_Sold)</f>
        <v/>
      </c>
      <c r="I39" s="25">
        <f>SUMPRODUCT(('Cash Flow'!$D$4:$CU$4&gt;=73)*('Cash Flow'!$D$4:$CU$4&lt;=84)*M_Sold)</f>
        <v/>
      </c>
      <c r="J39" s="25">
        <f>SUMPRODUCT(('Cash Flow'!$D$4:$CU$4&gt;=85)*('Cash Flow'!$D$4:$CU$4&lt;=96)*M_Sold)</f>
        <v/>
      </c>
      <c r="K39" s="1" t="n"/>
      <c r="L39" s="1" t="n"/>
    </row>
    <row r="40">
      <c r="A40" s="7" t="inlineStr">
        <is>
          <t>Total outflows</t>
        </is>
      </c>
      <c r="B40" s="26">
        <f>SUMPRODUCT(('Cash Flow'!$D$4:$CU$4=0)*M_Outflow)</f>
        <v/>
      </c>
      <c r="C40" s="26">
        <f>SUMPRODUCT(('Cash Flow'!$D$4:$CU$4&gt;=1)*('Cash Flow'!$D$4:$CU$4&lt;=12)*M_Outflow)</f>
        <v/>
      </c>
      <c r="D40" s="26">
        <f>SUMPRODUCT(('Cash Flow'!$D$4:$CU$4&gt;=13)*('Cash Flow'!$D$4:$CU$4&lt;=24)*M_Outflow)</f>
        <v/>
      </c>
      <c r="E40" s="26">
        <f>SUMPRODUCT(('Cash Flow'!$D$4:$CU$4&gt;=25)*('Cash Flow'!$D$4:$CU$4&lt;=36)*M_Outflow)</f>
        <v/>
      </c>
      <c r="F40" s="26">
        <f>SUMPRODUCT(('Cash Flow'!$D$4:$CU$4&gt;=37)*('Cash Flow'!$D$4:$CU$4&lt;=48)*M_Outflow)</f>
        <v/>
      </c>
      <c r="G40" s="26">
        <f>SUMPRODUCT(('Cash Flow'!$D$4:$CU$4&gt;=49)*('Cash Flow'!$D$4:$CU$4&lt;=60)*M_Outflow)</f>
        <v/>
      </c>
      <c r="H40" s="26">
        <f>SUMPRODUCT(('Cash Flow'!$D$4:$CU$4&gt;=61)*('Cash Flow'!$D$4:$CU$4&lt;=72)*M_Outflow)</f>
        <v/>
      </c>
      <c r="I40" s="26">
        <f>SUMPRODUCT(('Cash Flow'!$D$4:$CU$4&gt;=73)*('Cash Flow'!$D$4:$CU$4&lt;=84)*M_Outflow)</f>
        <v/>
      </c>
      <c r="J40" s="26">
        <f>SUMPRODUCT(('Cash Flow'!$D$4:$CU$4&gt;=85)*('Cash Flow'!$D$4:$CU$4&lt;=96)*M_Outflow)</f>
        <v/>
      </c>
      <c r="K40" s="1" t="n"/>
      <c r="L40" s="1" t="n"/>
    </row>
    <row r="41">
      <c r="A41" s="7" t="inlineStr">
        <is>
          <t>Total inflows</t>
        </is>
      </c>
      <c r="B41" s="26">
        <f>SUMPRODUCT(('Cash Flow'!$D$4:$CU$4=0)*M_Inflow)</f>
        <v/>
      </c>
      <c r="C41" s="26">
        <f>SUMPRODUCT(('Cash Flow'!$D$4:$CU$4&gt;=1)*('Cash Flow'!$D$4:$CU$4&lt;=12)*M_Inflow)</f>
        <v/>
      </c>
      <c r="D41" s="26">
        <f>SUMPRODUCT(('Cash Flow'!$D$4:$CU$4&gt;=13)*('Cash Flow'!$D$4:$CU$4&lt;=24)*M_Inflow)</f>
        <v/>
      </c>
      <c r="E41" s="26">
        <f>SUMPRODUCT(('Cash Flow'!$D$4:$CU$4&gt;=25)*('Cash Flow'!$D$4:$CU$4&lt;=36)*M_Inflow)</f>
        <v/>
      </c>
      <c r="F41" s="26">
        <f>SUMPRODUCT(('Cash Flow'!$D$4:$CU$4&gt;=37)*('Cash Flow'!$D$4:$CU$4&lt;=48)*M_Inflow)</f>
        <v/>
      </c>
      <c r="G41" s="26">
        <f>SUMPRODUCT(('Cash Flow'!$D$4:$CU$4&gt;=49)*('Cash Flow'!$D$4:$CU$4&lt;=60)*M_Inflow)</f>
        <v/>
      </c>
      <c r="H41" s="26">
        <f>SUMPRODUCT(('Cash Flow'!$D$4:$CU$4&gt;=61)*('Cash Flow'!$D$4:$CU$4&lt;=72)*M_Inflow)</f>
        <v/>
      </c>
      <c r="I41" s="26">
        <f>SUMPRODUCT(('Cash Flow'!$D$4:$CU$4&gt;=73)*('Cash Flow'!$D$4:$CU$4&lt;=84)*M_Inflow)</f>
        <v/>
      </c>
      <c r="J41" s="26">
        <f>SUMPRODUCT(('Cash Flow'!$D$4:$CU$4&gt;=85)*('Cash Flow'!$D$4:$CU$4&lt;=96)*M_Inflow)</f>
        <v/>
      </c>
      <c r="K41" s="1" t="n"/>
      <c r="L41" s="1" t="n"/>
    </row>
    <row r="42">
      <c r="A42" s="7" t="inlineStr">
        <is>
          <t>Unlevered cash flow</t>
        </is>
      </c>
      <c r="B42" s="26">
        <f>SUMPRODUCT(('Cash Flow'!$D$4:$CU$4=0)*M_Unlev)</f>
        <v/>
      </c>
      <c r="C42" s="26">
        <f>SUMPRODUCT(('Cash Flow'!$D$4:$CU$4&gt;=1)*('Cash Flow'!$D$4:$CU$4&lt;=12)*M_Unlev)</f>
        <v/>
      </c>
      <c r="D42" s="26">
        <f>SUMPRODUCT(('Cash Flow'!$D$4:$CU$4&gt;=13)*('Cash Flow'!$D$4:$CU$4&lt;=24)*M_Unlev)</f>
        <v/>
      </c>
      <c r="E42" s="26">
        <f>SUMPRODUCT(('Cash Flow'!$D$4:$CU$4&gt;=25)*('Cash Flow'!$D$4:$CU$4&lt;=36)*M_Unlev)</f>
        <v/>
      </c>
      <c r="F42" s="26">
        <f>SUMPRODUCT(('Cash Flow'!$D$4:$CU$4&gt;=37)*('Cash Flow'!$D$4:$CU$4&lt;=48)*M_Unlev)</f>
        <v/>
      </c>
      <c r="G42" s="26">
        <f>SUMPRODUCT(('Cash Flow'!$D$4:$CU$4&gt;=49)*('Cash Flow'!$D$4:$CU$4&lt;=60)*M_Unlev)</f>
        <v/>
      </c>
      <c r="H42" s="26">
        <f>SUMPRODUCT(('Cash Flow'!$D$4:$CU$4&gt;=61)*('Cash Flow'!$D$4:$CU$4&lt;=72)*M_Unlev)</f>
        <v/>
      </c>
      <c r="I42" s="26">
        <f>SUMPRODUCT(('Cash Flow'!$D$4:$CU$4&gt;=73)*('Cash Flow'!$D$4:$CU$4&lt;=84)*M_Unlev)</f>
        <v/>
      </c>
      <c r="J42" s="26">
        <f>SUMPRODUCT(('Cash Flow'!$D$4:$CU$4&gt;=85)*('Cash Flow'!$D$4:$CU$4&lt;=96)*M_Unlev)</f>
        <v/>
      </c>
      <c r="K42" s="1" t="n"/>
      <c r="L42" s="1" t="n"/>
    </row>
    <row r="43">
      <c r="A43" s="7" t="inlineStr">
        <is>
          <t>Equity contributions</t>
        </is>
      </c>
      <c r="B43" s="26">
        <f>SUMPRODUCT(('Cash Flow'!$D$4:$CU$4=0)*M_Contrib)</f>
        <v/>
      </c>
      <c r="C43" s="26">
        <f>SUMPRODUCT(('Cash Flow'!$D$4:$CU$4&gt;=1)*('Cash Flow'!$D$4:$CU$4&lt;=12)*M_Contrib)</f>
        <v/>
      </c>
      <c r="D43" s="26">
        <f>SUMPRODUCT(('Cash Flow'!$D$4:$CU$4&gt;=13)*('Cash Flow'!$D$4:$CU$4&lt;=24)*M_Contrib)</f>
        <v/>
      </c>
      <c r="E43" s="26">
        <f>SUMPRODUCT(('Cash Flow'!$D$4:$CU$4&gt;=25)*('Cash Flow'!$D$4:$CU$4&lt;=36)*M_Contrib)</f>
        <v/>
      </c>
      <c r="F43" s="26">
        <f>SUMPRODUCT(('Cash Flow'!$D$4:$CU$4&gt;=37)*('Cash Flow'!$D$4:$CU$4&lt;=48)*M_Contrib)</f>
        <v/>
      </c>
      <c r="G43" s="26">
        <f>SUMPRODUCT(('Cash Flow'!$D$4:$CU$4&gt;=49)*('Cash Flow'!$D$4:$CU$4&lt;=60)*M_Contrib)</f>
        <v/>
      </c>
      <c r="H43" s="26">
        <f>SUMPRODUCT(('Cash Flow'!$D$4:$CU$4&gt;=61)*('Cash Flow'!$D$4:$CU$4&lt;=72)*M_Contrib)</f>
        <v/>
      </c>
      <c r="I43" s="26">
        <f>SUMPRODUCT(('Cash Flow'!$D$4:$CU$4&gt;=73)*('Cash Flow'!$D$4:$CU$4&lt;=84)*M_Contrib)</f>
        <v/>
      </c>
      <c r="J43" s="26">
        <f>SUMPRODUCT(('Cash Flow'!$D$4:$CU$4&gt;=85)*('Cash Flow'!$D$4:$CU$4&lt;=96)*M_Contrib)</f>
        <v/>
      </c>
      <c r="K43" s="1" t="n"/>
      <c r="L43" s="1" t="n"/>
    </row>
    <row r="44">
      <c r="A44" s="7" t="inlineStr">
        <is>
          <t>Equity distributions</t>
        </is>
      </c>
      <c r="B44" s="26">
        <f>SUMPRODUCT(('Cash Flow'!$D$4:$CU$4=0)*M_Dist)</f>
        <v/>
      </c>
      <c r="C44" s="26">
        <f>SUMPRODUCT(('Cash Flow'!$D$4:$CU$4&gt;=1)*('Cash Flow'!$D$4:$CU$4&lt;=12)*M_Dist)</f>
        <v/>
      </c>
      <c r="D44" s="26">
        <f>SUMPRODUCT(('Cash Flow'!$D$4:$CU$4&gt;=13)*('Cash Flow'!$D$4:$CU$4&lt;=24)*M_Dist)</f>
        <v/>
      </c>
      <c r="E44" s="26">
        <f>SUMPRODUCT(('Cash Flow'!$D$4:$CU$4&gt;=25)*('Cash Flow'!$D$4:$CU$4&lt;=36)*M_Dist)</f>
        <v/>
      </c>
      <c r="F44" s="26">
        <f>SUMPRODUCT(('Cash Flow'!$D$4:$CU$4&gt;=37)*('Cash Flow'!$D$4:$CU$4&lt;=48)*M_Dist)</f>
        <v/>
      </c>
      <c r="G44" s="26">
        <f>SUMPRODUCT(('Cash Flow'!$D$4:$CU$4&gt;=49)*('Cash Flow'!$D$4:$CU$4&lt;=60)*M_Dist)</f>
        <v/>
      </c>
      <c r="H44" s="26">
        <f>SUMPRODUCT(('Cash Flow'!$D$4:$CU$4&gt;=61)*('Cash Flow'!$D$4:$CU$4&lt;=72)*M_Dist)</f>
        <v/>
      </c>
      <c r="I44" s="26">
        <f>SUMPRODUCT(('Cash Flow'!$D$4:$CU$4&gt;=73)*('Cash Flow'!$D$4:$CU$4&lt;=84)*M_Dist)</f>
        <v/>
      </c>
      <c r="J44" s="26">
        <f>SUMPRODUCT(('Cash Flow'!$D$4:$CU$4&gt;=85)*('Cash Flow'!$D$4:$CU$4&lt;=96)*M_Dist)</f>
        <v/>
      </c>
      <c r="K44" s="1" t="n"/>
      <c r="L44" s="1" t="n"/>
    </row>
    <row r="45">
      <c r="A45" s="7" t="inlineStr">
        <is>
          <t>Levered cash flow</t>
        </is>
      </c>
      <c r="B45" s="26">
        <f>SUMPRODUCT(('Cash Flow'!$D$4:$CU$4=0)*M_Lev)</f>
        <v/>
      </c>
      <c r="C45" s="26">
        <f>SUMPRODUCT(('Cash Flow'!$D$4:$CU$4&gt;=1)*('Cash Flow'!$D$4:$CU$4&lt;=12)*M_Lev)</f>
        <v/>
      </c>
      <c r="D45" s="26">
        <f>SUMPRODUCT(('Cash Flow'!$D$4:$CU$4&gt;=13)*('Cash Flow'!$D$4:$CU$4&lt;=24)*M_Lev)</f>
        <v/>
      </c>
      <c r="E45" s="26">
        <f>SUMPRODUCT(('Cash Flow'!$D$4:$CU$4&gt;=25)*('Cash Flow'!$D$4:$CU$4&lt;=36)*M_Lev)</f>
        <v/>
      </c>
      <c r="F45" s="26">
        <f>SUMPRODUCT(('Cash Flow'!$D$4:$CU$4&gt;=37)*('Cash Flow'!$D$4:$CU$4&lt;=48)*M_Lev)</f>
        <v/>
      </c>
      <c r="G45" s="26">
        <f>SUMPRODUCT(('Cash Flow'!$D$4:$CU$4&gt;=49)*('Cash Flow'!$D$4:$CU$4&lt;=60)*M_Lev)</f>
        <v/>
      </c>
      <c r="H45" s="26">
        <f>SUMPRODUCT(('Cash Flow'!$D$4:$CU$4&gt;=61)*('Cash Flow'!$D$4:$CU$4&lt;=72)*M_Lev)</f>
        <v/>
      </c>
      <c r="I45" s="26">
        <f>SUMPRODUCT(('Cash Flow'!$D$4:$CU$4&gt;=73)*('Cash Flow'!$D$4:$CU$4&lt;=84)*M_Lev)</f>
        <v/>
      </c>
      <c r="J45" s="26">
        <f>SUMPRODUCT(('Cash Flow'!$D$4:$CU$4&gt;=85)*('Cash Flow'!$D$4:$CU$4&lt;=96)*M_Lev)</f>
        <v/>
      </c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3" t="inlineStr">
        <is>
          <t>Cost by category</t>
        </is>
      </c>
      <c r="B47" s="14" t="n"/>
      <c r="C47" s="14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7" t="inlineStr">
        <is>
          <t>Land &amp; acquisition</t>
        </is>
      </c>
      <c r="B48" s="23">
        <f>SUM(M_land)+SUM(M_acq)</f>
        <v/>
      </c>
      <c r="C48" s="17">
        <f>IF(TotalCost&lt;&gt;0,B48/TotalCost,0)</f>
        <v/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7" t="inlineStr">
        <is>
          <t>Hard costs</t>
        </is>
      </c>
      <c r="B49" s="23">
        <f>SUM(M_hard)</f>
        <v/>
      </c>
      <c r="C49" s="17">
        <f>IF(TotalCost&lt;&gt;0,B49/TotalCost,0)</f>
        <v/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7" t="inlineStr">
        <is>
          <t>Soft costs</t>
        </is>
      </c>
      <c r="B50" s="23">
        <f>SUM(M_soft)</f>
        <v/>
      </c>
      <c r="C50" s="17">
        <f>IF(TotalCost&lt;&gt;0,B50/TotalCost,0)</f>
        <v/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7" t="inlineStr">
        <is>
          <t>Contingency &amp; developer fee</t>
        </is>
      </c>
      <c r="B51" s="23">
        <f>SUM(M_cont)+SUM(M_fee)</f>
        <v/>
      </c>
      <c r="C51" s="17">
        <f>IF(TotalCost&lt;&gt;0,B51/TotalCost,0)</f>
        <v/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7" t="inlineStr">
        <is>
          <t>Sales &amp; marketing</t>
        </is>
      </c>
      <c r="B52" s="23">
        <f>IF(in_mode_sale=1,SUM(M_SalesCost),0)</f>
        <v/>
      </c>
      <c r="C52" s="17">
        <f>IF(TotalCost&lt;&gt;0,B52/TotalCost,0)</f>
        <v/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7" t="inlineStr">
        <is>
          <t>User-defined &amp; custom costs</t>
        </is>
      </c>
      <c r="B53" s="23">
        <f>SUM(M_cv)+SUM(M_cflow)</f>
        <v/>
      </c>
      <c r="C53" s="17">
        <f>IF(TotalCost&lt;&gt;0,B53/TotalCost,0)</f>
        <v/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7" t="inlineStr">
        <is>
          <t>Financing</t>
        </is>
      </c>
      <c r="B54" s="23">
        <f>FinCost</f>
        <v/>
      </c>
      <c r="C54" s="17">
        <f>IF(TotalCost&lt;&gt;0,B54/TotalCost,0)</f>
        <v/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00FF"/>
    <outlinePr summaryBelow="1" summaryRight="1"/>
    <pageSetUpPr/>
  </sheetPr>
  <dimension ref="A1:I20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60" customWidth="1" min="4" max="4"/>
  </cols>
  <sheetData>
    <row r="1">
      <c r="A1" s="10" t="inlineStr">
        <is>
          <t>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1" t="inlineStr">
        <is>
          <t>All inputs of the model. Blue cells are inputs: change any of them and the whole workbook recalculates.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2" t="inlineStr">
        <is>
          <t>Assumption</t>
        </is>
      </c>
      <c r="B4" s="12" t="inlineStr">
        <is>
          <t>Value</t>
        </is>
      </c>
      <c r="C4" s="12" t="inlineStr">
        <is>
          <t>Unit</t>
        </is>
      </c>
      <c r="D4" s="12" t="inlineStr">
        <is>
          <t>Source / note</t>
        </is>
      </c>
      <c r="E4" s="1" t="n"/>
      <c r="F4" s="1" t="n"/>
      <c r="G4" s="1" t="n"/>
      <c r="H4" s="1" t="n"/>
      <c r="I4" s="1" t="n"/>
    </row>
    <row r="5">
      <c r="A5" s="13" t="inlineStr">
        <is>
          <t>Project</t>
        </is>
      </c>
      <c r="B5" s="14" t="n"/>
      <c r="C5" s="14" t="n"/>
      <c r="D5" s="14" t="n"/>
      <c r="E5" s="1" t="n"/>
      <c r="F5" s="1" t="n"/>
      <c r="G5" s="1" t="n"/>
      <c r="H5" s="1" t="n"/>
      <c r="I5" s="1" t="n"/>
    </row>
    <row r="6">
      <c r="A6" s="7" t="inlineStr">
        <is>
          <t>Project</t>
        </is>
      </c>
      <c r="B6" s="8" t="inlineStr">
        <is>
          <t>Polanco Residences (fictional)</t>
        </is>
      </c>
      <c r="C6" s="1" t="n"/>
      <c r="D6" s="1" t="n"/>
      <c r="E6" s="1" t="n"/>
      <c r="F6" s="1" t="n"/>
      <c r="G6" s="1" t="n"/>
      <c r="H6" s="1" t="n"/>
      <c r="I6" s="1" t="n"/>
    </row>
    <row r="7">
      <c r="A7" s="7" t="inlineStr">
        <is>
          <t>Currency</t>
        </is>
      </c>
      <c r="B7" s="8" t="inlineStr">
        <is>
          <t>MXN</t>
        </is>
      </c>
      <c r="C7" s="1" t="n"/>
      <c r="D7" s="1" t="n"/>
      <c r="E7" s="1" t="n"/>
      <c r="F7" s="1" t="n"/>
      <c r="G7" s="1" t="n"/>
      <c r="H7" s="1" t="n"/>
      <c r="I7" s="1" t="n"/>
    </row>
    <row r="8">
      <c r="A8" s="7" t="inlineStr">
        <is>
          <t>For-sale model (1) or rental model (0)</t>
        </is>
      </c>
      <c r="B8" s="8" t="n">
        <v>1</v>
      </c>
      <c r="C8" s="1" t="n"/>
      <c r="D8" s="11" t="inlineStr">
        <is>
          <t>Switches the revenue logic; set by the project's business model</t>
        </is>
      </c>
      <c r="E8" s="1" t="n"/>
      <c r="F8" s="1" t="n"/>
      <c r="G8" s="1" t="n"/>
      <c r="H8" s="1" t="n"/>
      <c r="I8" s="1" t="n"/>
    </row>
    <row r="9">
      <c r="A9" s="7" t="inlineStr">
        <is>
          <t>Ground-up development (1) or acquisition (0)</t>
        </is>
      </c>
      <c r="B9" s="8" t="n">
        <v>1</v>
      </c>
      <c r="C9" s="1" t="n"/>
      <c r="D9" s="11" t="inlineStr">
        <is>
          <t>Switches the revenue logic; set by the project's business model</t>
        </is>
      </c>
      <c r="E9" s="1" t="n"/>
      <c r="F9" s="1" t="n"/>
      <c r="G9" s="1" t="n"/>
      <c r="H9" s="1" t="n"/>
      <c r="I9" s="1" t="n"/>
    </row>
    <row r="10">
      <c r="A10" s="7" t="inlineStr">
        <is>
          <t>Circuit breaker: size debt on cost incl. financing (1 = on, 0 = break the circular loop)</t>
        </is>
      </c>
      <c r="B10" s="8" t="n">
        <v>1</v>
      </c>
      <c r="C10" s="1" t="n"/>
      <c r="D10" s="11" t="inlineStr">
        <is>
          <t>Switches the revenue logic; set by the project's business model</t>
        </is>
      </c>
      <c r="E10" s="1" t="n"/>
      <c r="F10" s="1" t="n"/>
      <c r="G10" s="1" t="n"/>
      <c r="H10" s="1" t="n"/>
      <c r="I10" s="1" t="n"/>
    </row>
    <row r="11">
      <c r="A11" s="13" t="inlineStr">
        <is>
          <t>Site &amp; acquisition</t>
        </is>
      </c>
      <c r="B11" s="14" t="n"/>
      <c r="C11" s="14" t="n"/>
      <c r="D11" s="14" t="n"/>
      <c r="E11" s="1" t="n"/>
      <c r="F11" s="1" t="n"/>
      <c r="G11" s="1" t="n"/>
      <c r="H11" s="1" t="n"/>
      <c r="I11" s="1" t="n"/>
    </row>
    <row r="12">
      <c r="A12" s="7" t="inlineStr">
        <is>
          <t>Land area</t>
        </is>
      </c>
      <c r="B12" s="27" t="n">
        <v>1800</v>
      </c>
      <c r="C12" s="11" t="inlineStr">
        <is>
          <t>m²</t>
        </is>
      </c>
      <c r="D12" s="11" t="inlineStr">
        <is>
          <t>Source: demo</t>
        </is>
      </c>
      <c r="E12" s="1" t="n"/>
      <c r="F12" s="1" t="n"/>
      <c r="G12" s="1" t="n"/>
      <c r="H12" s="1" t="n"/>
      <c r="I12" s="1" t="n"/>
    </row>
    <row r="13">
      <c r="A13" s="7" t="inlineStr">
        <is>
          <t>Land / property acquisition price</t>
        </is>
      </c>
      <c r="B13" s="28" t="n">
        <v>265000000</v>
      </c>
      <c r="C13" s="11" t="inlineStr">
        <is>
          <t>MXN</t>
        </is>
      </c>
      <c r="D13" s="11" t="inlineStr">
        <is>
          <t>Source: demo</t>
        </is>
      </c>
      <c r="E13" s="1" t="n"/>
      <c r="F13" s="1" t="n"/>
      <c r="G13" s="1" t="n"/>
      <c r="H13" s="1" t="n"/>
      <c r="I13" s="1" t="n"/>
    </row>
    <row r="14">
      <c r="A14" s="7" t="inlineStr">
        <is>
          <t>Transfer tax (ISAI)</t>
        </is>
      </c>
      <c r="B14" s="29" t="n">
        <v>0.045</v>
      </c>
      <c r="C14" s="11" t="inlineStr">
        <is>
          <t>%</t>
        </is>
      </c>
      <c r="D14" s="11" t="inlineStr">
        <is>
          <t>Source: demo</t>
        </is>
      </c>
      <c r="E14" s="1" t="n"/>
      <c r="F14" s="1" t="n"/>
      <c r="G14" s="1" t="n"/>
      <c r="H14" s="1" t="n"/>
      <c r="I14" s="1" t="n"/>
    </row>
    <row r="15">
      <c r="A15" s="7" t="inlineStr">
        <is>
          <t>Notary &amp; legal fees</t>
        </is>
      </c>
      <c r="B15" s="29" t="n">
        <v>0.015</v>
      </c>
      <c r="C15" s="11" t="inlineStr">
        <is>
          <t>%</t>
        </is>
      </c>
      <c r="D15" s="11" t="inlineStr">
        <is>
          <t>Source: demo</t>
        </is>
      </c>
      <c r="E15" s="1" t="n"/>
      <c r="F15" s="1" t="n"/>
      <c r="G15" s="1" t="n"/>
      <c r="H15" s="1" t="n"/>
      <c r="I15" s="1" t="n"/>
    </row>
    <row r="16">
      <c r="A16" s="7" t="inlineStr">
        <is>
          <t>Brokerage on acquisition</t>
        </is>
      </c>
      <c r="B16" s="29" t="n">
        <v>0.01</v>
      </c>
      <c r="C16" s="11" t="inlineStr">
        <is>
          <t>%</t>
        </is>
      </c>
      <c r="D16" s="11" t="inlineStr">
        <is>
          <t>Source: demo</t>
        </is>
      </c>
      <c r="E16" s="1" t="n"/>
      <c r="F16" s="1" t="n"/>
      <c r="G16" s="1" t="n"/>
      <c r="H16" s="1" t="n"/>
      <c r="I16" s="1" t="n"/>
    </row>
    <row r="17">
      <c r="A17" s="7" t="inlineStr">
        <is>
          <t>Due diligence &amp; closing (fixed)</t>
        </is>
      </c>
      <c r="B17" s="30" t="n">
        <v>1500000</v>
      </c>
      <c r="C17" s="11" t="inlineStr">
        <is>
          <t>MXN</t>
        </is>
      </c>
      <c r="D17" s="11" t="inlineStr">
        <is>
          <t>Source: demo</t>
        </is>
      </c>
      <c r="E17" s="1" t="n"/>
      <c r="F17" s="1" t="n"/>
      <c r="G17" s="1" t="n"/>
      <c r="H17" s="1" t="n"/>
      <c r="I17" s="1" t="n"/>
    </row>
    <row r="18">
      <c r="A18" s="13" t="inlineStr">
        <is>
          <t>Regulation &amp; zoning (legal limits)</t>
        </is>
      </c>
      <c r="B18" s="14" t="n"/>
      <c r="C18" s="14" t="n"/>
      <c r="D18" s="14" t="n"/>
      <c r="E18" s="1" t="n"/>
      <c r="F18" s="1" t="n"/>
      <c r="G18" s="1" t="n"/>
      <c r="H18" s="1" t="n"/>
      <c r="I18" s="1" t="n"/>
    </row>
    <row r="19">
      <c r="A19" s="7" t="inlineStr">
        <is>
          <t>Maximum stories above ground</t>
        </is>
      </c>
      <c r="B19" s="27" t="n">
        <v>8</v>
      </c>
      <c r="C19" s="11" t="inlineStr">
        <is>
          <t>stories</t>
        </is>
      </c>
      <c r="D19" s="11" t="inlineStr">
        <is>
          <t>Source: demo</t>
        </is>
      </c>
      <c r="E19" s="1" t="n"/>
      <c r="F19" s="1" t="n"/>
      <c r="G19" s="1" t="n"/>
      <c r="H19" s="1" t="n"/>
      <c r="I19" s="1" t="n"/>
    </row>
    <row r="20">
      <c r="A20" s="7" t="inlineStr">
        <is>
          <t>Minimum open (unbuilt) area</t>
        </is>
      </c>
      <c r="B20" s="29" t="n">
        <v>0.25</v>
      </c>
      <c r="C20" s="11" t="inlineStr">
        <is>
          <t>%</t>
        </is>
      </c>
      <c r="D20" s="11" t="inlineStr">
        <is>
          <t>Source: demo</t>
        </is>
      </c>
      <c r="E20" s="1" t="n"/>
      <c r="F20" s="1" t="n"/>
      <c r="G20" s="1" t="n"/>
      <c r="H20" s="1" t="n"/>
      <c r="I20" s="1" t="n"/>
    </row>
    <row r="21">
      <c r="A21" s="7" t="inlineStr">
        <is>
          <t>Maximum FAR (CUS)</t>
        </is>
      </c>
      <c r="B21" s="27" t="n"/>
      <c r="C21" s="11" t="inlineStr">
        <is>
          <t>x land</t>
        </is>
      </c>
      <c r="D21" s="11" t="inlineStr">
        <is>
          <t>Not set</t>
        </is>
      </c>
      <c r="E21" s="1" t="n"/>
      <c r="F21" s="1" t="n"/>
      <c r="G21" s="1" t="n"/>
      <c r="H21" s="1" t="n"/>
      <c r="I21" s="1" t="n"/>
    </row>
    <row r="22">
      <c r="A22" s="7" t="inlineStr">
        <is>
          <t>Maximum height</t>
        </is>
      </c>
      <c r="B22" s="27" t="n"/>
      <c r="C22" s="11" t="inlineStr">
        <is>
          <t>m</t>
        </is>
      </c>
      <c r="D22" s="11" t="inlineStr">
        <is>
          <t>Not set</t>
        </is>
      </c>
      <c r="E22" s="1" t="n"/>
      <c r="F22" s="1" t="n"/>
      <c r="G22" s="1" t="n"/>
      <c r="H22" s="1" t="n"/>
      <c r="I22" s="1" t="n"/>
    </row>
    <row r="23">
      <c r="A23" s="7" t="inlineStr">
        <is>
          <t>Density: land area per dwelling</t>
        </is>
      </c>
      <c r="B23" s="27" t="n"/>
      <c r="C23" s="11" t="inlineStr">
        <is>
          <t>m²/unit</t>
        </is>
      </c>
      <c r="D23" s="11" t="inlineStr">
        <is>
          <t>Not set</t>
        </is>
      </c>
      <c r="E23" s="1" t="n"/>
      <c r="F23" s="1" t="n"/>
      <c r="G23" s="1" t="n"/>
      <c r="H23" s="1" t="n"/>
      <c r="I23" s="1" t="n"/>
    </row>
    <row r="24">
      <c r="A24" s="7" t="inlineStr">
        <is>
          <t>Maximum dwellings</t>
        </is>
      </c>
      <c r="B24" s="27" t="n"/>
      <c r="C24" s="11" t="inlineStr">
        <is>
          <t>units</t>
        </is>
      </c>
      <c r="D24" s="11" t="inlineStr">
        <is>
          <t>Not set</t>
        </is>
      </c>
      <c r="E24" s="1" t="n"/>
      <c r="F24" s="1" t="n"/>
      <c r="G24" s="1" t="n"/>
      <c r="H24" s="1" t="n"/>
      <c r="I24" s="1" t="n"/>
    </row>
    <row r="25">
      <c r="A25" s="7" t="inlineStr">
        <is>
          <t>Maximum underground levels</t>
        </is>
      </c>
      <c r="B25" s="27" t="n">
        <v>4</v>
      </c>
      <c r="C25" s="11" t="inlineStr">
        <is>
          <t>levels</t>
        </is>
      </c>
      <c r="D25" s="11" t="inlineStr">
        <is>
          <t>Source: demo</t>
        </is>
      </c>
      <c r="E25" s="1" t="n"/>
      <c r="F25" s="1" t="n"/>
      <c r="G25" s="1" t="n"/>
      <c r="H25" s="1" t="n"/>
      <c r="I25" s="1" t="n"/>
    </row>
    <row r="26">
      <c r="A26" s="7" t="inlineStr">
        <is>
          <t>Minimum parking per unit</t>
        </is>
      </c>
      <c r="B26" s="27" t="n"/>
      <c r="C26" s="11" t="inlineStr">
        <is>
          <t>spaces/unit</t>
        </is>
      </c>
      <c r="D26" s="11" t="inlineStr">
        <is>
          <t>Not set</t>
        </is>
      </c>
      <c r="E26" s="1" t="n"/>
      <c r="F26" s="1" t="n"/>
      <c r="G26" s="1" t="n"/>
      <c r="H26" s="1" t="n"/>
      <c r="I26" s="1" t="n"/>
    </row>
    <row r="27">
      <c r="A27" s="7" t="inlineStr">
        <is>
          <t>Maximum parking per unit</t>
        </is>
      </c>
      <c r="B27" s="27" t="n">
        <v>3</v>
      </c>
      <c r="C27" s="11" t="inlineStr">
        <is>
          <t>spaces/unit</t>
        </is>
      </c>
      <c r="D27" s="11" t="inlineStr">
        <is>
          <t>Source: demo</t>
        </is>
      </c>
      <c r="E27" s="1" t="n"/>
      <c r="F27" s="1" t="n"/>
      <c r="G27" s="1" t="n"/>
      <c r="H27" s="1" t="n"/>
      <c r="I27" s="1" t="n"/>
    </row>
    <row r="28">
      <c r="A28" s="13" t="inlineStr">
        <is>
          <t>Development configuration</t>
        </is>
      </c>
      <c r="B28" s="14" t="n"/>
      <c r="C28" s="14" t="n"/>
      <c r="D28" s="14" t="n"/>
      <c r="E28" s="1" t="n"/>
      <c r="F28" s="1" t="n"/>
      <c r="G28" s="1" t="n"/>
      <c r="H28" s="1" t="n"/>
      <c r="I28" s="1" t="n"/>
    </row>
    <row r="29">
      <c r="A29" s="7" t="inlineStr">
        <is>
          <t>Number of buildings</t>
        </is>
      </c>
      <c r="B29" s="27" t="n">
        <v>1</v>
      </c>
      <c r="C29" s="11" t="inlineStr">
        <is>
          <t>count</t>
        </is>
      </c>
      <c r="D29" s="11" t="inlineStr">
        <is>
          <t>Source: demo</t>
        </is>
      </c>
      <c r="E29" s="1" t="n"/>
      <c r="F29" s="1" t="n"/>
      <c r="G29" s="1" t="n"/>
      <c r="H29" s="1" t="n"/>
      <c r="I29" s="1" t="n"/>
    </row>
    <row r="30">
      <c r="A30" s="7" t="inlineStr">
        <is>
          <t>Stories above ground</t>
        </is>
      </c>
      <c r="B30" s="27" t="n">
        <v>8</v>
      </c>
      <c r="C30" s="11" t="inlineStr">
        <is>
          <t>stories</t>
        </is>
      </c>
      <c r="D30" s="11" t="inlineStr">
        <is>
          <t>Source: demo</t>
        </is>
      </c>
      <c r="E30" s="1" t="n"/>
      <c r="F30" s="1" t="n"/>
      <c r="G30" s="1" t="n"/>
      <c r="H30" s="1" t="n"/>
      <c r="I30" s="1" t="n"/>
    </row>
    <row r="31">
      <c r="A31" s="7" t="inlineStr">
        <is>
          <t>Underground levels</t>
        </is>
      </c>
      <c r="B31" s="27" t="n">
        <v>3</v>
      </c>
      <c r="C31" s="11" t="inlineStr">
        <is>
          <t>levels</t>
        </is>
      </c>
      <c r="D31" s="11" t="inlineStr">
        <is>
          <t>Source: demo</t>
        </is>
      </c>
      <c r="E31" s="1" t="n"/>
      <c r="F31" s="1" t="n"/>
      <c r="G31" s="1" t="n"/>
      <c r="H31" s="1" t="n"/>
      <c r="I31" s="1" t="n"/>
    </row>
    <row r="32">
      <c r="A32" s="7" t="inlineStr">
        <is>
          <t>Building footprint</t>
        </is>
      </c>
      <c r="B32" s="27" t="n"/>
      <c r="C32" s="11" t="inlineStr">
        <is>
          <t>m²</t>
        </is>
      </c>
      <c r="D32" s="11" t="inlineStr">
        <is>
          <t>Not set</t>
        </is>
      </c>
      <c r="E32" s="1" t="n"/>
      <c r="F32" s="1" t="n"/>
      <c r="G32" s="1" t="n"/>
      <c r="H32" s="1" t="n"/>
      <c r="I32" s="1" t="n"/>
    </row>
    <row r="33">
      <c r="A33" s="7" t="inlineStr">
        <is>
          <t>Saleable / gross efficiency</t>
        </is>
      </c>
      <c r="B33" s="29" t="n">
        <v>0.82</v>
      </c>
      <c r="C33" s="11" t="inlineStr">
        <is>
          <t>%</t>
        </is>
      </c>
      <c r="D33" s="11" t="inlineStr">
        <is>
          <t>Source: demo</t>
        </is>
      </c>
      <c r="E33" s="1" t="n"/>
      <c r="F33" s="1" t="n"/>
      <c r="G33" s="1" t="n"/>
      <c r="H33" s="1" t="n"/>
      <c r="I33" s="1" t="n"/>
    </row>
    <row r="34">
      <c r="A34" s="7" t="inlineStr">
        <is>
          <t>Parking spaces</t>
        </is>
      </c>
      <c r="B34" s="27" t="n">
        <v>112</v>
      </c>
      <c r="C34" s="11" t="inlineStr">
        <is>
          <t>spaces</t>
        </is>
      </c>
      <c r="D34" s="11" t="inlineStr">
        <is>
          <t>Source: demo</t>
        </is>
      </c>
      <c r="E34" s="1" t="n"/>
      <c r="F34" s="1" t="n"/>
      <c r="G34" s="1" t="n"/>
      <c r="H34" s="1" t="n"/>
      <c r="I34" s="1" t="n"/>
    </row>
    <row r="35">
      <c r="A35" s="7" t="inlineStr">
        <is>
          <t>Gross area per parking space</t>
        </is>
      </c>
      <c r="B35" s="27" t="n">
        <v>28</v>
      </c>
      <c r="C35" s="11" t="inlineStr">
        <is>
          <t>m²/space</t>
        </is>
      </c>
      <c r="D35" s="11" t="inlineStr">
        <is>
          <t>Source: demo</t>
        </is>
      </c>
      <c r="E35" s="1" t="n"/>
      <c r="F35" s="1" t="n"/>
      <c r="G35" s="1" t="n"/>
      <c r="H35" s="1" t="n"/>
      <c r="I35" s="1" t="n"/>
    </row>
    <row r="36">
      <c r="A36" s="7" t="inlineStr">
        <is>
          <t>Amenity area (inside GBA)</t>
        </is>
      </c>
      <c r="B36" s="27" t="n">
        <v>250</v>
      </c>
      <c r="C36" s="11" t="inlineStr">
        <is>
          <t>m²</t>
        </is>
      </c>
      <c r="D36" s="11" t="inlineStr">
        <is>
          <t>Source: demo</t>
        </is>
      </c>
      <c r="E36" s="1" t="n"/>
      <c r="F36" s="1" t="n"/>
      <c r="G36" s="1" t="n"/>
      <c r="H36" s="1" t="n"/>
      <c r="I36" s="1" t="n"/>
    </row>
    <row r="37">
      <c r="A37" s="7" t="inlineStr">
        <is>
          <t>Construction quality</t>
        </is>
      </c>
      <c r="B37" s="8" t="inlineStr">
        <is>
          <t>high</t>
        </is>
      </c>
      <c r="C37" s="11" t="inlineStr"/>
      <c r="D37" s="11" t="inlineStr">
        <is>
          <t>Source: demo</t>
        </is>
      </c>
      <c r="E37" s="1" t="n"/>
      <c r="F37" s="1" t="n"/>
      <c r="G37" s="1" t="n"/>
      <c r="H37" s="1" t="n"/>
      <c r="I37" s="1" t="n"/>
    </row>
    <row r="38">
      <c r="A38" s="7" t="inlineStr">
        <is>
          <t>Existing rentable area (acquisitions)</t>
        </is>
      </c>
      <c r="B38" s="27" t="n"/>
      <c r="C38" s="11" t="inlineStr">
        <is>
          <t>m²</t>
        </is>
      </c>
      <c r="D38" s="11" t="inlineStr">
        <is>
          <t>Not set</t>
        </is>
      </c>
      <c r="E38" s="1" t="n"/>
      <c r="F38" s="1" t="n"/>
      <c r="G38" s="1" t="n"/>
      <c r="H38" s="1" t="n"/>
      <c r="I38" s="1" t="n"/>
    </row>
    <row r="39">
      <c r="A39" s="13" t="inlineStr">
        <is>
          <t>Sales revenue</t>
        </is>
      </c>
      <c r="B39" s="14" t="n"/>
      <c r="C39" s="14" t="n"/>
      <c r="D39" s="14" t="n"/>
      <c r="E39" s="1" t="n"/>
      <c r="F39" s="1" t="n"/>
      <c r="G39" s="1" t="n"/>
      <c r="H39" s="1" t="n"/>
      <c r="I39" s="1" t="n"/>
    </row>
    <row r="40">
      <c r="A40" s="7" t="inlineStr">
        <is>
          <t>Base sale price</t>
        </is>
      </c>
      <c r="B40" s="28" t="n">
        <v>108000</v>
      </c>
      <c r="C40" s="11" t="inlineStr">
        <is>
          <t>MXN/m²</t>
        </is>
      </c>
      <c r="D40" s="11" t="inlineStr">
        <is>
          <t>Source: demo</t>
        </is>
      </c>
      <c r="E40" s="1" t="n"/>
      <c r="F40" s="1" t="n"/>
      <c r="G40" s="1" t="n"/>
      <c r="H40" s="1" t="n"/>
      <c r="I40" s="1" t="n"/>
    </row>
    <row r="41">
      <c r="A41" s="7" t="inlineStr">
        <is>
          <t>Average floor / view premium</t>
        </is>
      </c>
      <c r="B41" s="29" t="n">
        <v>0.03</v>
      </c>
      <c r="C41" s="11" t="inlineStr">
        <is>
          <t>%</t>
        </is>
      </c>
      <c r="D41" s="11" t="inlineStr">
        <is>
          <t>Source: demo</t>
        </is>
      </c>
      <c r="E41" s="1" t="n"/>
      <c r="F41" s="1" t="n"/>
      <c r="G41" s="1" t="n"/>
      <c r="H41" s="1" t="n"/>
      <c r="I41" s="1" t="n"/>
    </row>
    <row r="42">
      <c r="A42" s="7" t="inlineStr">
        <is>
          <t>Terrace value vs interior m²</t>
        </is>
      </c>
      <c r="B42" s="29" t="n">
        <v>0.4</v>
      </c>
      <c r="C42" s="11" t="inlineStr">
        <is>
          <t>%</t>
        </is>
      </c>
      <c r="D42" s="11" t="inlineStr">
        <is>
          <t>Source: demo</t>
        </is>
      </c>
      <c r="E42" s="1" t="n"/>
      <c r="F42" s="1" t="n"/>
      <c r="G42" s="1" t="n"/>
      <c r="H42" s="1" t="n"/>
      <c r="I42" s="1" t="n"/>
    </row>
    <row r="43">
      <c r="A43" s="7" t="inlineStr">
        <is>
          <t>Average discount</t>
        </is>
      </c>
      <c r="B43" s="29" t="n">
        <v>0.02</v>
      </c>
      <c r="C43" s="11" t="inlineStr">
        <is>
          <t>%</t>
        </is>
      </c>
      <c r="D43" s="11" t="inlineStr">
        <is>
          <t>Source: demo</t>
        </is>
      </c>
      <c r="E43" s="1" t="n"/>
      <c r="F43" s="1" t="n"/>
      <c r="G43" s="1" t="n"/>
      <c r="H43" s="1" t="n"/>
      <c r="I43" s="1" t="n"/>
    </row>
    <row r="44">
      <c r="A44" s="7" t="inlineStr">
        <is>
          <t>Annual price escalation</t>
        </is>
      </c>
      <c r="B44" s="29" t="n">
        <v>0.05</v>
      </c>
      <c r="C44" s="11" t="inlineStr">
        <is>
          <t>%</t>
        </is>
      </c>
      <c r="D44" s="11" t="inlineStr">
        <is>
          <t>Source: demo</t>
        </is>
      </c>
      <c r="E44" s="1" t="n"/>
      <c r="F44" s="1" t="n"/>
      <c r="G44" s="1" t="n"/>
      <c r="H44" s="1" t="n"/>
      <c r="I44" s="1" t="n"/>
    </row>
    <row r="45">
      <c r="A45" s="7" t="inlineStr">
        <is>
          <t>Sales absorption (gross)</t>
        </is>
      </c>
      <c r="B45" s="31" t="n">
        <v>3</v>
      </c>
      <c r="C45" s="11" t="inlineStr">
        <is>
          <t>units/month</t>
        </is>
      </c>
      <c r="D45" s="11" t="inlineStr">
        <is>
          <t>Source: demo</t>
        </is>
      </c>
      <c r="E45" s="1" t="n"/>
      <c r="F45" s="1" t="n"/>
      <c r="G45" s="1" t="n"/>
      <c r="H45" s="1" t="n"/>
      <c r="I45" s="1" t="n"/>
    </row>
    <row r="46">
      <c r="A46" s="7" t="inlineStr">
        <is>
          <t>Cancellations</t>
        </is>
      </c>
      <c r="B46" s="29" t="n">
        <v>0.05</v>
      </c>
      <c r="C46" s="11" t="inlineStr">
        <is>
          <t>%</t>
        </is>
      </c>
      <c r="D46" s="11" t="inlineStr">
        <is>
          <t>Source: demo</t>
        </is>
      </c>
      <c r="E46" s="1" t="n"/>
      <c r="F46" s="1" t="n"/>
      <c r="G46" s="1" t="n"/>
      <c r="H46" s="1" t="n"/>
      <c r="I46" s="1" t="n"/>
    </row>
    <row r="47">
      <c r="A47" s="7" t="inlineStr">
        <is>
          <t>Presales start vs construction start</t>
        </is>
      </c>
      <c r="B47" s="27" t="n">
        <v>-3</v>
      </c>
      <c r="C47" s="11" t="inlineStr">
        <is>
          <t>months</t>
        </is>
      </c>
      <c r="D47" s="11" t="inlineStr">
        <is>
          <t>Source: demo</t>
        </is>
      </c>
      <c r="E47" s="1" t="n"/>
      <c r="F47" s="1" t="n"/>
      <c r="G47" s="1" t="n"/>
      <c r="H47" s="1" t="n"/>
      <c r="I47" s="1" t="n"/>
    </row>
    <row r="48">
      <c r="A48" s="7" t="inlineStr">
        <is>
          <t>Deposit at contract</t>
        </is>
      </c>
      <c r="B48" s="29" t="n">
        <v>0.1</v>
      </c>
      <c r="C48" s="11" t="inlineStr">
        <is>
          <t>%</t>
        </is>
      </c>
      <c r="D48" s="11" t="inlineStr">
        <is>
          <t>Source: demo</t>
        </is>
      </c>
      <c r="E48" s="1" t="n"/>
      <c r="F48" s="1" t="n"/>
      <c r="G48" s="1" t="n"/>
      <c r="H48" s="1" t="n"/>
      <c r="I48" s="1" t="n"/>
    </row>
    <row r="49">
      <c r="A49" s="7" t="inlineStr">
        <is>
          <t>Installments during construction</t>
        </is>
      </c>
      <c r="B49" s="29" t="n">
        <v>0.2</v>
      </c>
      <c r="C49" s="11" t="inlineStr">
        <is>
          <t>%</t>
        </is>
      </c>
      <c r="D49" s="11" t="inlineStr">
        <is>
          <t>Source: demo</t>
        </is>
      </c>
      <c r="E49" s="1" t="n"/>
      <c r="F49" s="1" t="n"/>
      <c r="G49" s="1" t="n"/>
      <c r="H49" s="1" t="n"/>
      <c r="I49" s="1" t="n"/>
    </row>
    <row r="50">
      <c r="A50" s="7" t="inlineStr">
        <is>
          <t>Balance at delivery / closing</t>
        </is>
      </c>
      <c r="B50" s="29" t="n">
        <v>0.7</v>
      </c>
      <c r="C50" s="11" t="inlineStr">
        <is>
          <t>%</t>
        </is>
      </c>
      <c r="D50" s="11" t="inlineStr">
        <is>
          <t>Source: demo</t>
        </is>
      </c>
      <c r="E50" s="1" t="n"/>
      <c r="F50" s="1" t="n"/>
      <c r="G50" s="1" t="n"/>
      <c r="H50" s="1" t="n"/>
      <c r="I50" s="1" t="n"/>
    </row>
    <row r="51">
      <c r="A51" s="7" t="inlineStr">
        <is>
          <t>Sales commissions</t>
        </is>
      </c>
      <c r="B51" s="29" t="n">
        <v>0.03</v>
      </c>
      <c r="C51" s="11" t="inlineStr">
        <is>
          <t>%</t>
        </is>
      </c>
      <c r="D51" s="11" t="inlineStr">
        <is>
          <t>Source: demo</t>
        </is>
      </c>
      <c r="E51" s="1" t="n"/>
      <c r="F51" s="1" t="n"/>
      <c r="G51" s="1" t="n"/>
      <c r="H51" s="1" t="n"/>
      <c r="I51" s="1" t="n"/>
    </row>
    <row r="52">
      <c r="A52" s="7" t="inlineStr">
        <is>
          <t>Marketing &amp; sales office</t>
        </is>
      </c>
      <c r="B52" s="29" t="n">
        <v>0.02</v>
      </c>
      <c r="C52" s="11" t="inlineStr">
        <is>
          <t>% of revenue</t>
        </is>
      </c>
      <c r="D52" s="11" t="inlineStr">
        <is>
          <t>Source: demo</t>
        </is>
      </c>
      <c r="E52" s="1" t="n"/>
      <c r="F52" s="1" t="n"/>
      <c r="G52" s="1" t="n"/>
      <c r="H52" s="1" t="n"/>
      <c r="I52" s="1" t="n"/>
    </row>
    <row r="53">
      <c r="A53" s="13" t="inlineStr">
        <is>
          <t>Rental income</t>
        </is>
      </c>
      <c r="B53" s="14" t="n"/>
      <c r="C53" s="14" t="n"/>
      <c r="D53" s="14" t="n"/>
      <c r="E53" s="1" t="n"/>
      <c r="F53" s="1" t="n"/>
      <c r="G53" s="1" t="n"/>
      <c r="H53" s="1" t="n"/>
      <c r="I53" s="1" t="n"/>
    </row>
    <row r="54">
      <c r="A54" s="7" t="inlineStr">
        <is>
          <t>Market rent</t>
        </is>
      </c>
      <c r="B54" s="28" t="n"/>
      <c r="C54" s="11" t="inlineStr">
        <is>
          <t>MXN/m²/month</t>
        </is>
      </c>
      <c r="D54" s="11" t="inlineStr">
        <is>
          <t>Not set</t>
        </is>
      </c>
      <c r="E54" s="1" t="n"/>
      <c r="F54" s="1" t="n"/>
      <c r="G54" s="1" t="n"/>
      <c r="H54" s="1" t="n"/>
      <c r="I54" s="1" t="n"/>
    </row>
    <row r="55">
      <c r="A55" s="7" t="inlineStr">
        <is>
          <t>Stabilized vacancy</t>
        </is>
      </c>
      <c r="B55" s="29" t="n">
        <v>0.05</v>
      </c>
      <c r="C55" s="11" t="inlineStr">
        <is>
          <t>%</t>
        </is>
      </c>
      <c r="D55" s="11" t="inlineStr">
        <is>
          <t>Source: default (unverified)</t>
        </is>
      </c>
      <c r="E55" s="1" t="n"/>
      <c r="F55" s="1" t="n"/>
      <c r="G55" s="1" t="n"/>
      <c r="H55" s="1" t="n"/>
      <c r="I55" s="1" t="n"/>
    </row>
    <row r="56">
      <c r="A56" s="7" t="inlineStr">
        <is>
          <t>Rent concessions</t>
        </is>
      </c>
      <c r="B56" s="29" t="n">
        <v>0.01</v>
      </c>
      <c r="C56" s="11" t="inlineStr">
        <is>
          <t>%</t>
        </is>
      </c>
      <c r="D56" s="11" t="inlineStr">
        <is>
          <t>Source: default (unverified)</t>
        </is>
      </c>
      <c r="E56" s="1" t="n"/>
      <c r="F56" s="1" t="n"/>
      <c r="G56" s="1" t="n"/>
      <c r="H56" s="1" t="n"/>
      <c r="I56" s="1" t="n"/>
    </row>
    <row r="57">
      <c r="A57" s="7" t="inlineStr">
        <is>
          <t>Operating expenses</t>
        </is>
      </c>
      <c r="B57" s="29" t="n">
        <v>0.3</v>
      </c>
      <c r="C57" s="11" t="inlineStr">
        <is>
          <t>% of EGI</t>
        </is>
      </c>
      <c r="D57" s="11" t="inlineStr">
        <is>
          <t>Source: default (unverified)</t>
        </is>
      </c>
      <c r="E57" s="1" t="n"/>
      <c r="F57" s="1" t="n"/>
      <c r="G57" s="1" t="n"/>
      <c r="H57" s="1" t="n"/>
      <c r="I57" s="1" t="n"/>
    </row>
    <row r="58">
      <c r="A58" s="7" t="inlineStr">
        <is>
          <t>Annual rent growth</t>
        </is>
      </c>
      <c r="B58" s="29" t="n">
        <v>0.04</v>
      </c>
      <c r="C58" s="11" t="inlineStr">
        <is>
          <t>%</t>
        </is>
      </c>
      <c r="D58" s="11" t="inlineStr">
        <is>
          <t>Source: default (unverified)</t>
        </is>
      </c>
      <c r="E58" s="1" t="n"/>
      <c r="F58" s="1" t="n"/>
      <c r="G58" s="1" t="n"/>
      <c r="H58" s="1" t="n"/>
      <c r="I58" s="1" t="n"/>
    </row>
    <row r="59">
      <c r="A59" s="7" t="inlineStr">
        <is>
          <t>Lease-up period</t>
        </is>
      </c>
      <c r="B59" s="27" t="n">
        <v>12</v>
      </c>
      <c r="C59" s="11" t="inlineStr">
        <is>
          <t>months</t>
        </is>
      </c>
      <c r="D59" s="11" t="inlineStr">
        <is>
          <t>Source: default (unverified)</t>
        </is>
      </c>
      <c r="E59" s="1" t="n"/>
      <c r="F59" s="1" t="n"/>
      <c r="G59" s="1" t="n"/>
      <c r="H59" s="1" t="n"/>
      <c r="I59" s="1" t="n"/>
    </row>
    <row r="60">
      <c r="A60" s="7" t="inlineStr">
        <is>
          <t>Exit cap rate</t>
        </is>
      </c>
      <c r="B60" s="32" t="n"/>
      <c r="C60" s="11" t="inlineStr">
        <is>
          <t>%</t>
        </is>
      </c>
      <c r="D60" s="11" t="inlineStr">
        <is>
          <t>Not set</t>
        </is>
      </c>
      <c r="E60" s="1" t="n"/>
      <c r="F60" s="1" t="n"/>
      <c r="G60" s="1" t="n"/>
      <c r="H60" s="1" t="n"/>
      <c r="I60" s="1" t="n"/>
    </row>
    <row r="61">
      <c r="A61" s="7" t="inlineStr">
        <is>
          <t>Exit selling costs</t>
        </is>
      </c>
      <c r="B61" s="29" t="n">
        <v>0.02</v>
      </c>
      <c r="C61" s="11" t="inlineStr">
        <is>
          <t>%</t>
        </is>
      </c>
      <c r="D61" s="11" t="inlineStr">
        <is>
          <t>Source: default (unverified)</t>
        </is>
      </c>
      <c r="E61" s="1" t="n"/>
      <c r="F61" s="1" t="n"/>
      <c r="G61" s="1" t="n"/>
      <c r="H61" s="1" t="n"/>
      <c r="I61" s="1" t="n"/>
    </row>
    <row r="62">
      <c r="A62" s="7" t="inlineStr">
        <is>
          <t>Hold period after delivery</t>
        </is>
      </c>
      <c r="B62" s="27" t="n">
        <v>5</v>
      </c>
      <c r="C62" s="11" t="inlineStr">
        <is>
          <t>years</t>
        </is>
      </c>
      <c r="D62" s="11" t="inlineStr">
        <is>
          <t>Source: default (unverified)</t>
        </is>
      </c>
      <c r="E62" s="1" t="n"/>
      <c r="F62" s="1" t="n"/>
      <c r="G62" s="1" t="n"/>
      <c r="H62" s="1" t="n"/>
      <c r="I62" s="1" t="n"/>
    </row>
    <row r="63">
      <c r="A63" s="13" t="inlineStr">
        <is>
          <t>Development budget</t>
        </is>
      </c>
      <c r="B63" s="14" t="n"/>
      <c r="C63" s="14" t="n"/>
      <c r="D63" s="14" t="n"/>
      <c r="E63" s="1" t="n"/>
      <c r="F63" s="1" t="n"/>
      <c r="G63" s="1" t="n"/>
      <c r="H63" s="1" t="n"/>
      <c r="I63" s="1" t="n"/>
    </row>
    <row r="64">
      <c r="A64" s="7" t="inlineStr">
        <is>
          <t>Hard cost above ground</t>
        </is>
      </c>
      <c r="B64" s="28" t="n">
        <v>24000</v>
      </c>
      <c r="C64" s="11" t="inlineStr">
        <is>
          <t>MXN/m² GBA</t>
        </is>
      </c>
      <c r="D64" s="11" t="inlineStr">
        <is>
          <t>Source: demo</t>
        </is>
      </c>
      <c r="E64" s="1" t="n"/>
      <c r="F64" s="1" t="n"/>
      <c r="G64" s="1" t="n"/>
      <c r="H64" s="1" t="n"/>
      <c r="I64" s="1" t="n"/>
    </row>
    <row r="65">
      <c r="A65" s="7" t="inlineStr">
        <is>
          <t>Hard cost below ground (parking)</t>
        </is>
      </c>
      <c r="B65" s="30" t="n">
        <v>14000</v>
      </c>
      <c r="C65" s="11" t="inlineStr">
        <is>
          <t>MXN/m²</t>
        </is>
      </c>
      <c r="D65" s="11" t="inlineStr">
        <is>
          <t>Source: demo</t>
        </is>
      </c>
      <c r="E65" s="1" t="n"/>
      <c r="F65" s="1" t="n"/>
      <c r="G65" s="1" t="n"/>
      <c r="H65" s="1" t="n"/>
      <c r="I65" s="1" t="n"/>
    </row>
    <row r="66">
      <c r="A66" s="7" t="inlineStr">
        <is>
          <t>Demolition &amp; site preparation (fixed)</t>
        </is>
      </c>
      <c r="B66" s="30" t="n">
        <v>2500000</v>
      </c>
      <c r="C66" s="11" t="inlineStr">
        <is>
          <t>MXN</t>
        </is>
      </c>
      <c r="D66" s="11" t="inlineStr">
        <is>
          <t>Source: demo</t>
        </is>
      </c>
      <c r="E66" s="1" t="n"/>
      <c r="F66" s="1" t="n"/>
      <c r="G66" s="1" t="n"/>
      <c r="H66" s="1" t="n"/>
      <c r="I66" s="1" t="n"/>
    </row>
    <row r="67">
      <c r="A67" s="7" t="inlineStr">
        <is>
          <t>Infrastructure / impact fees (fixed)</t>
        </is>
      </c>
      <c r="B67" s="30" t="n">
        <v>6000000</v>
      </c>
      <c r="C67" s="11" t="inlineStr">
        <is>
          <t>MXN</t>
        </is>
      </c>
      <c r="D67" s="11" t="inlineStr">
        <is>
          <t>Source: demo</t>
        </is>
      </c>
      <c r="E67" s="1" t="n"/>
      <c r="F67" s="1" t="n"/>
      <c r="G67" s="1" t="n"/>
      <c r="H67" s="1" t="n"/>
      <c r="I67" s="1" t="n"/>
    </row>
    <row r="68">
      <c r="A68" s="7" t="inlineStr">
        <is>
          <t>Renovation / CAPEX budget (acquisitions)</t>
        </is>
      </c>
      <c r="B68" s="30" t="n"/>
      <c r="C68" s="11" t="inlineStr">
        <is>
          <t>MXN</t>
        </is>
      </c>
      <c r="D68" s="11" t="inlineStr">
        <is>
          <t>Not set</t>
        </is>
      </c>
      <c r="E68" s="1" t="n"/>
      <c r="F68" s="1" t="n"/>
      <c r="G68" s="1" t="n"/>
      <c r="H68" s="1" t="n"/>
      <c r="I68" s="1" t="n"/>
    </row>
    <row r="69">
      <c r="A69" s="7" t="inlineStr">
        <is>
          <t>Architecture &amp; engineering</t>
        </is>
      </c>
      <c r="B69" s="29" t="n">
        <v>0.05</v>
      </c>
      <c r="C69" s="11" t="inlineStr">
        <is>
          <t>% of hard</t>
        </is>
      </c>
      <c r="D69" s="11" t="inlineStr">
        <is>
          <t>Source: demo</t>
        </is>
      </c>
      <c r="E69" s="1" t="n"/>
      <c r="F69" s="1" t="n"/>
      <c r="G69" s="1" t="n"/>
      <c r="H69" s="1" t="n"/>
      <c r="I69" s="1" t="n"/>
    </row>
    <row r="70">
      <c r="A70" s="7" t="inlineStr">
        <is>
          <t>Permits &amp; licenses</t>
        </is>
      </c>
      <c r="B70" s="29" t="n">
        <v>0.025</v>
      </c>
      <c r="C70" s="11" t="inlineStr">
        <is>
          <t>% of hard</t>
        </is>
      </c>
      <c r="D70" s="11" t="inlineStr">
        <is>
          <t>Source: demo</t>
        </is>
      </c>
      <c r="E70" s="1" t="n"/>
      <c r="F70" s="1" t="n"/>
      <c r="G70" s="1" t="n"/>
      <c r="H70" s="1" t="n"/>
      <c r="I70" s="1" t="n"/>
    </row>
    <row r="71">
      <c r="A71" s="7" t="inlineStr">
        <is>
          <t>Project management &amp; supervision</t>
        </is>
      </c>
      <c r="B71" s="29" t="n">
        <v>0.035</v>
      </c>
      <c r="C71" s="11" t="inlineStr">
        <is>
          <t>% of hard</t>
        </is>
      </c>
      <c r="D71" s="11" t="inlineStr">
        <is>
          <t>Source: demo</t>
        </is>
      </c>
      <c r="E71" s="1" t="n"/>
      <c r="F71" s="1" t="n"/>
      <c r="G71" s="1" t="n"/>
      <c r="H71" s="1" t="n"/>
      <c r="I71" s="1" t="n"/>
    </row>
    <row r="72">
      <c r="A72" s="7" t="inlineStr">
        <is>
          <t>Insurance, consultants &amp; other soft</t>
        </is>
      </c>
      <c r="B72" s="29" t="n">
        <v>0.015</v>
      </c>
      <c r="C72" s="11" t="inlineStr">
        <is>
          <t>% of hard</t>
        </is>
      </c>
      <c r="D72" s="11" t="inlineStr">
        <is>
          <t>Source: demo</t>
        </is>
      </c>
      <c r="E72" s="1" t="n"/>
      <c r="F72" s="1" t="n"/>
      <c r="G72" s="1" t="n"/>
      <c r="H72" s="1" t="n"/>
      <c r="I72" s="1" t="n"/>
    </row>
    <row r="73">
      <c r="A73" s="7" t="inlineStr">
        <is>
          <t>Contingency</t>
        </is>
      </c>
      <c r="B73" s="29" t="n">
        <v>0.05</v>
      </c>
      <c r="C73" s="11" t="inlineStr">
        <is>
          <t>% of hard + soft</t>
        </is>
      </c>
      <c r="D73" s="11" t="inlineStr">
        <is>
          <t>Source: demo</t>
        </is>
      </c>
      <c r="E73" s="1" t="n"/>
      <c r="F73" s="1" t="n"/>
      <c r="G73" s="1" t="n"/>
      <c r="H73" s="1" t="n"/>
      <c r="I73" s="1" t="n"/>
    </row>
    <row r="74">
      <c r="A74" s="7" t="inlineStr">
        <is>
          <t>Construction spending curve</t>
        </is>
      </c>
      <c r="B74" s="8" t="inlineStr">
        <is>
          <t>s_curve</t>
        </is>
      </c>
      <c r="C74" s="11" t="inlineStr"/>
      <c r="D74" s="11" t="inlineStr">
        <is>
          <t>Source: default (unverified)</t>
        </is>
      </c>
      <c r="E74" s="1" t="n"/>
      <c r="F74" s="1" t="n"/>
      <c r="G74" s="1" t="n"/>
      <c r="H74" s="1" t="n"/>
      <c r="I74" s="1" t="n"/>
    </row>
    <row r="75">
      <c r="A75" s="7" t="inlineStr">
        <is>
          <t>Annual construction cost escalation</t>
        </is>
      </c>
      <c r="B75" s="29" t="n">
        <v>0.05</v>
      </c>
      <c r="C75" s="11" t="inlineStr">
        <is>
          <t>%</t>
        </is>
      </c>
      <c r="D75" s="11" t="inlineStr">
        <is>
          <t>Source: demo</t>
        </is>
      </c>
      <c r="E75" s="1" t="n"/>
      <c r="F75" s="1" t="n"/>
      <c r="G75" s="1" t="n"/>
      <c r="H75" s="1" t="n"/>
      <c r="I75" s="1" t="n"/>
    </row>
    <row r="76">
      <c r="A76" s="7" t="inlineStr">
        <is>
          <t>Developer fee</t>
        </is>
      </c>
      <c r="B76" s="29" t="n">
        <v>0.03</v>
      </c>
      <c r="C76" s="11" t="inlineStr">
        <is>
          <t>% of hard + soft</t>
        </is>
      </c>
      <c r="D76" s="11" t="inlineStr">
        <is>
          <t>Source: demo</t>
        </is>
      </c>
      <c r="E76" s="1" t="n"/>
      <c r="F76" s="1" t="n"/>
      <c r="G76" s="1" t="n"/>
      <c r="H76" s="1" t="n"/>
      <c r="I76" s="1" t="n"/>
    </row>
    <row r="77">
      <c r="A77" s="13" t="inlineStr">
        <is>
          <t>Schedule</t>
        </is>
      </c>
      <c r="B77" s="14" t="n"/>
      <c r="C77" s="14" t="n"/>
      <c r="D77" s="14" t="n"/>
      <c r="E77" s="1" t="n"/>
      <c r="F77" s="1" t="n"/>
      <c r="G77" s="1" t="n"/>
      <c r="H77" s="1" t="n"/>
      <c r="I77" s="1" t="n"/>
    </row>
    <row r="78">
      <c r="A78" s="7" t="inlineStr">
        <is>
          <t>Design &amp; permits (pre-development)</t>
        </is>
      </c>
      <c r="B78" s="27" t="n">
        <v>8</v>
      </c>
      <c r="C78" s="11" t="inlineStr">
        <is>
          <t>months</t>
        </is>
      </c>
      <c r="D78" s="11" t="inlineStr">
        <is>
          <t>Source: demo</t>
        </is>
      </c>
      <c r="E78" s="1" t="n"/>
      <c r="F78" s="1" t="n"/>
      <c r="G78" s="1" t="n"/>
      <c r="H78" s="1" t="n"/>
      <c r="I78" s="1" t="n"/>
    </row>
    <row r="79">
      <c r="A79" s="7" t="inlineStr">
        <is>
          <t>Construction duration</t>
        </is>
      </c>
      <c r="B79" s="31" t="n">
        <v>24</v>
      </c>
      <c r="C79" s="11" t="inlineStr">
        <is>
          <t>months</t>
        </is>
      </c>
      <c r="D79" s="11" t="inlineStr">
        <is>
          <t>Source: demo</t>
        </is>
      </c>
      <c r="E79" s="1" t="n"/>
      <c r="F79" s="1" t="n"/>
      <c r="G79" s="1" t="n"/>
      <c r="H79" s="1" t="n"/>
      <c r="I79" s="1" t="n"/>
    </row>
    <row r="80">
      <c r="A80" s="13" t="inlineStr">
        <is>
          <t>Financing</t>
        </is>
      </c>
      <c r="B80" s="14" t="n"/>
      <c r="C80" s="14" t="n"/>
      <c r="D80" s="14" t="n"/>
      <c r="E80" s="1" t="n"/>
      <c r="F80" s="1" t="n"/>
      <c r="G80" s="1" t="n"/>
      <c r="H80" s="1" t="n"/>
      <c r="I80" s="1" t="n"/>
    </row>
    <row r="81">
      <c r="A81" s="7" t="inlineStr">
        <is>
          <t>Senior debt (loan-to-cost)</t>
        </is>
      </c>
      <c r="B81" s="32" t="n">
        <v>0.45</v>
      </c>
      <c r="C81" s="11" t="inlineStr">
        <is>
          <t>%</t>
        </is>
      </c>
      <c r="D81" s="11" t="inlineStr">
        <is>
          <t>Source: demo</t>
        </is>
      </c>
      <c r="E81" s="1" t="n"/>
      <c r="F81" s="1" t="n"/>
      <c r="G81" s="1" t="n"/>
      <c r="H81" s="1" t="n"/>
      <c r="I81" s="1" t="n"/>
    </row>
    <row r="82">
      <c r="A82" s="7" t="inlineStr">
        <is>
          <t>Senior rate type</t>
        </is>
      </c>
      <c r="B82" s="8" t="inlineStr">
        <is>
          <t>floating</t>
        </is>
      </c>
      <c r="C82" s="11" t="inlineStr"/>
      <c r="D82" s="11" t="inlineStr">
        <is>
          <t>Source: demo</t>
        </is>
      </c>
      <c r="E82" s="1" t="n"/>
      <c r="F82" s="1" t="n"/>
      <c r="G82" s="1" t="n"/>
      <c r="H82" s="1" t="n"/>
      <c r="I82" s="1" t="n"/>
    </row>
    <row r="83">
      <c r="A83" s="7" t="inlineStr">
        <is>
          <t>Reference rate (e.g. TIIE 28d)</t>
        </is>
      </c>
      <c r="B83" s="29" t="n">
        <v>0.0725</v>
      </c>
      <c r="C83" s="11" t="inlineStr">
        <is>
          <t>%</t>
        </is>
      </c>
      <c r="D83" s="11" t="inlineStr">
        <is>
          <t>Source: demo</t>
        </is>
      </c>
      <c r="E83" s="1" t="n"/>
      <c r="F83" s="1" t="n"/>
      <c r="G83" s="1" t="n"/>
      <c r="H83" s="1" t="n"/>
      <c r="I83" s="1" t="n"/>
    </row>
    <row r="84">
      <c r="A84" s="7" t="inlineStr">
        <is>
          <t>Senior spread over reference</t>
        </is>
      </c>
      <c r="B84" s="29" t="n">
        <v>0.035</v>
      </c>
      <c r="C84" s="11" t="inlineStr">
        <is>
          <t>%</t>
        </is>
      </c>
      <c r="D84" s="11" t="inlineStr">
        <is>
          <t>Source: demo</t>
        </is>
      </c>
      <c r="E84" s="1" t="n"/>
      <c r="F84" s="1" t="n"/>
      <c r="G84" s="1" t="n"/>
      <c r="H84" s="1" t="n"/>
      <c r="I84" s="1" t="n"/>
    </row>
    <row r="85">
      <c r="A85" s="7" t="inlineStr">
        <is>
          <t>Senior fixed rate</t>
        </is>
      </c>
      <c r="B85" s="29" t="n"/>
      <c r="C85" s="11" t="inlineStr">
        <is>
          <t>%</t>
        </is>
      </c>
      <c r="D85" s="11" t="inlineStr">
        <is>
          <t>Not set</t>
        </is>
      </c>
      <c r="E85" s="1" t="n"/>
      <c r="F85" s="1" t="n"/>
      <c r="G85" s="1" t="n"/>
      <c r="H85" s="1" t="n"/>
      <c r="I85" s="1" t="n"/>
    </row>
    <row r="86">
      <c r="A86" s="7" t="inlineStr">
        <is>
          <t>Origination fee</t>
        </is>
      </c>
      <c r="B86" s="29" t="n">
        <v>0.01</v>
      </c>
      <c r="C86" s="11" t="inlineStr">
        <is>
          <t>% of commitment</t>
        </is>
      </c>
      <c r="D86" s="11" t="inlineStr">
        <is>
          <t>Source: demo</t>
        </is>
      </c>
      <c r="E86" s="1" t="n"/>
      <c r="F86" s="1" t="n"/>
      <c r="G86" s="1" t="n"/>
      <c r="H86" s="1" t="n"/>
      <c r="I86" s="1" t="n"/>
    </row>
    <row r="87">
      <c r="A87" s="7" t="inlineStr">
        <is>
          <t>Commitment fee on undrawn</t>
        </is>
      </c>
      <c r="B87" s="29" t="n">
        <v>0.005</v>
      </c>
      <c r="C87" s="11" t="inlineStr">
        <is>
          <t>% p.a.</t>
        </is>
      </c>
      <c r="D87" s="11" t="inlineStr">
        <is>
          <t>Source: demo</t>
        </is>
      </c>
      <c r="E87" s="1" t="n"/>
      <c r="F87" s="1" t="n"/>
      <c r="G87" s="1" t="n"/>
      <c r="H87" s="1" t="n"/>
      <c r="I87" s="1" t="n"/>
    </row>
    <row r="88">
      <c r="A88" s="7" t="inlineStr">
        <is>
          <t>Capitalize interest during construction</t>
        </is>
      </c>
      <c r="B88" s="8" t="b">
        <v>1</v>
      </c>
      <c r="C88" s="11" t="inlineStr"/>
      <c r="D88" s="11" t="inlineStr">
        <is>
          <t>Source: demo</t>
        </is>
      </c>
      <c r="E88" s="1" t="n"/>
      <c r="F88" s="1" t="n"/>
      <c r="G88" s="1" t="n"/>
      <c r="H88" s="1" t="n"/>
      <c r="I88" s="1" t="n"/>
    </row>
    <row r="89">
      <c r="A89" s="7" t="inlineStr">
        <is>
          <t>Senior loan maturity (from first draw)</t>
        </is>
      </c>
      <c r="B89" s="27" t="n">
        <v>42</v>
      </c>
      <c r="C89" s="11" t="inlineStr">
        <is>
          <t>months</t>
        </is>
      </c>
      <c r="D89" s="11" t="inlineStr">
        <is>
          <t>Source: demo</t>
        </is>
      </c>
      <c r="E89" s="1" t="n"/>
      <c r="F89" s="1" t="n"/>
      <c r="G89" s="1" t="n"/>
      <c r="H89" s="1" t="n"/>
      <c r="I89" s="1" t="n"/>
    </row>
    <row r="90">
      <c r="A90" s="7" t="inlineStr">
        <is>
          <t>Cash sweep to debt after delivery</t>
        </is>
      </c>
      <c r="B90" s="29" t="n">
        <v>1</v>
      </c>
      <c r="C90" s="11" t="inlineStr">
        <is>
          <t>%</t>
        </is>
      </c>
      <c r="D90" s="11" t="inlineStr">
        <is>
          <t>Source: demo</t>
        </is>
      </c>
      <c r="E90" s="1" t="n"/>
      <c r="F90" s="1" t="n"/>
      <c r="G90" s="1" t="n"/>
      <c r="H90" s="1" t="n"/>
      <c r="I90" s="1" t="n"/>
    </row>
    <row r="91">
      <c r="A91" s="7" t="inlineStr">
        <is>
          <t>Amortization (term loans, rentals)</t>
        </is>
      </c>
      <c r="B91" s="27" t="n">
        <v>25</v>
      </c>
      <c r="C91" s="11" t="inlineStr">
        <is>
          <t>years</t>
        </is>
      </c>
      <c r="D91" s="11" t="inlineStr">
        <is>
          <t>Source: default (unverified)</t>
        </is>
      </c>
      <c r="E91" s="1" t="n"/>
      <c r="F91" s="1" t="n"/>
      <c r="G91" s="1" t="n"/>
      <c r="H91" s="1" t="n"/>
      <c r="I91" s="1" t="n"/>
    </row>
    <row r="92">
      <c r="A92" s="7" t="inlineStr">
        <is>
          <t>Mezzanine (loan-to-cost)</t>
        </is>
      </c>
      <c r="B92" s="29" t="n">
        <v>0</v>
      </c>
      <c r="C92" s="11" t="inlineStr">
        <is>
          <t>%</t>
        </is>
      </c>
      <c r="D92" s="11" t="inlineStr">
        <is>
          <t>Source: demo</t>
        </is>
      </c>
      <c r="E92" s="1" t="n"/>
      <c r="F92" s="1" t="n"/>
      <c r="G92" s="1" t="n"/>
      <c r="H92" s="1" t="n"/>
      <c r="I92" s="1" t="n"/>
    </row>
    <row r="93">
      <c r="A93" s="7" t="inlineStr">
        <is>
          <t>Mezzanine rate</t>
        </is>
      </c>
      <c r="B93" s="29" t="n"/>
      <c r="C93" s="11" t="inlineStr">
        <is>
          <t>%</t>
        </is>
      </c>
      <c r="D93" s="11" t="inlineStr">
        <is>
          <t>Not set</t>
        </is>
      </c>
      <c r="E93" s="1" t="n"/>
      <c r="F93" s="1" t="n"/>
      <c r="G93" s="1" t="n"/>
      <c r="H93" s="1" t="n"/>
      <c r="I93" s="1" t="n"/>
    </row>
    <row r="94">
      <c r="A94" s="7" t="inlineStr">
        <is>
          <t>Sponsor share of equity</t>
        </is>
      </c>
      <c r="B94" s="29" t="n">
        <v>0.2</v>
      </c>
      <c r="C94" s="11" t="inlineStr">
        <is>
          <t>%</t>
        </is>
      </c>
      <c r="D94" s="11" t="inlineStr">
        <is>
          <t>Source: demo</t>
        </is>
      </c>
      <c r="E94" s="1" t="n"/>
      <c r="F94" s="1" t="n"/>
      <c r="G94" s="1" t="n"/>
      <c r="H94" s="1" t="n"/>
      <c r="I94" s="1" t="n"/>
    </row>
    <row r="95">
      <c r="A95" s="7" t="inlineStr">
        <is>
          <t>Investor preferred return</t>
        </is>
      </c>
      <c r="B95" s="29" t="n">
        <v>0.1</v>
      </c>
      <c r="C95" s="11" t="inlineStr">
        <is>
          <t>% p.a.</t>
        </is>
      </c>
      <c r="D95" s="11" t="inlineStr">
        <is>
          <t>Source: demo</t>
        </is>
      </c>
      <c r="E95" s="1" t="n"/>
      <c r="F95" s="1" t="n"/>
      <c r="G95" s="1" t="n"/>
      <c r="H95" s="1" t="n"/>
      <c r="I95" s="1" t="n"/>
    </row>
    <row r="96">
      <c r="A96" s="7" t="inlineStr">
        <is>
          <t>Sponsor promote above pref</t>
        </is>
      </c>
      <c r="B96" s="29" t="n">
        <v>0.2</v>
      </c>
      <c r="C96" s="11" t="inlineStr">
        <is>
          <t>%</t>
        </is>
      </c>
      <c r="D96" s="11" t="inlineStr">
        <is>
          <t>Source: demo</t>
        </is>
      </c>
      <c r="E96" s="1" t="n"/>
      <c r="F96" s="1" t="n"/>
      <c r="G96" s="1" t="n"/>
      <c r="H96" s="1" t="n"/>
      <c r="I96" s="1" t="n"/>
    </row>
    <row r="97">
      <c r="A97" s="7" t="inlineStr">
        <is>
          <t>Covenant: max LTC</t>
        </is>
      </c>
      <c r="B97" s="29" t="n">
        <v>0.6</v>
      </c>
      <c r="C97" s="11" t="inlineStr">
        <is>
          <t>%</t>
        </is>
      </c>
      <c r="D97" s="11" t="inlineStr">
        <is>
          <t>Source: demo</t>
        </is>
      </c>
      <c r="E97" s="1" t="n"/>
      <c r="F97" s="1" t="n"/>
      <c r="G97" s="1" t="n"/>
      <c r="H97" s="1" t="n"/>
      <c r="I97" s="1" t="n"/>
    </row>
    <row r="98">
      <c r="A98" s="7" t="inlineStr">
        <is>
          <t>Covenant: max LTV (on GDV)</t>
        </is>
      </c>
      <c r="B98" s="29" t="n">
        <v>0.45</v>
      </c>
      <c r="C98" s="11" t="inlineStr">
        <is>
          <t>%</t>
        </is>
      </c>
      <c r="D98" s="11" t="inlineStr">
        <is>
          <t>Source: demo</t>
        </is>
      </c>
      <c r="E98" s="1" t="n"/>
      <c r="F98" s="1" t="n"/>
      <c r="G98" s="1" t="n"/>
      <c r="H98" s="1" t="n"/>
      <c r="I98" s="1" t="n"/>
    </row>
    <row r="99">
      <c r="A99" s="7" t="inlineStr">
        <is>
          <t>Covenant: presales before first draw</t>
        </is>
      </c>
      <c r="B99" s="29" t="n">
        <v>0.3</v>
      </c>
      <c r="C99" s="11" t="inlineStr">
        <is>
          <t>% of units</t>
        </is>
      </c>
      <c r="D99" s="11" t="inlineStr">
        <is>
          <t>Source: demo</t>
        </is>
      </c>
      <c r="E99" s="1" t="n"/>
      <c r="F99" s="1" t="n"/>
      <c r="G99" s="1" t="n"/>
      <c r="H99" s="1" t="n"/>
      <c r="I99" s="1" t="n"/>
    </row>
    <row r="100">
      <c r="A100" s="7" t="inlineStr">
        <is>
          <t>Covenant: minimum DSCR</t>
        </is>
      </c>
      <c r="B100" s="27" t="n">
        <v>1.25</v>
      </c>
      <c r="C100" s="11" t="inlineStr">
        <is>
          <t>x</t>
        </is>
      </c>
      <c r="D100" s="11" t="inlineStr">
        <is>
          <t>Source: demo</t>
        </is>
      </c>
      <c r="E100" s="1" t="n"/>
      <c r="F100" s="1" t="n"/>
      <c r="G100" s="1" t="n"/>
      <c r="H100" s="1" t="n"/>
      <c r="I100" s="1" t="n"/>
    </row>
    <row r="101">
      <c r="A101" s="13" t="inlineStr">
        <is>
          <t>Valuation</t>
        </is>
      </c>
      <c r="B101" s="14" t="n"/>
      <c r="C101" s="14" t="n"/>
      <c r="D101" s="14" t="n"/>
      <c r="E101" s="1" t="n"/>
      <c r="F101" s="1" t="n"/>
      <c r="G101" s="1" t="n"/>
      <c r="H101" s="1" t="n"/>
      <c r="I101" s="1" t="n"/>
    </row>
    <row r="102">
      <c r="A102" s="7" t="inlineStr">
        <is>
          <t>Discount rate (unlevered NPV)</t>
        </is>
      </c>
      <c r="B102" s="29" t="n">
        <v>0.12</v>
      </c>
      <c r="C102" s="11" t="inlineStr">
        <is>
          <t>% p.a.</t>
        </is>
      </c>
      <c r="D102" s="11" t="inlineStr">
        <is>
          <t>Source: demo</t>
        </is>
      </c>
      <c r="E102" s="1" t="n"/>
      <c r="F102" s="1" t="n"/>
      <c r="G102" s="1" t="n"/>
      <c r="H102" s="1" t="n"/>
      <c r="I102" s="1" t="n"/>
    </row>
    <row r="103">
      <c r="A103" s="7" t="inlineStr">
        <is>
          <t>Equity discount rate / hurdle</t>
        </is>
      </c>
      <c r="B103" s="29" t="n">
        <v>0.18</v>
      </c>
      <c r="C103" s="11" t="inlineStr">
        <is>
          <t>% p.a.</t>
        </is>
      </c>
      <c r="D103" s="11" t="inlineStr">
        <is>
          <t>Source: demo</t>
        </is>
      </c>
      <c r="E103" s="1" t="n"/>
      <c r="F103" s="1" t="n"/>
      <c r="G103" s="1" t="n"/>
      <c r="H103" s="1" t="n"/>
      <c r="I103" s="1" t="n"/>
    </row>
    <row r="104">
      <c r="A104" s="13" t="inlineStr">
        <is>
          <t>Sustainability (enabled measures)</t>
        </is>
      </c>
      <c r="B104" s="14" t="n"/>
      <c r="C104" s="14" t="n"/>
      <c r="D104" s="14" t="n"/>
      <c r="E104" s="1" t="n"/>
      <c r="F104" s="1" t="n"/>
      <c r="G104" s="1" t="n"/>
      <c r="H104" s="1" t="n"/>
      <c r="I104" s="1" t="n"/>
    </row>
    <row r="105">
      <c r="A105" s="7" t="inlineStr">
        <is>
          <t>Capex of enabled measures</t>
        </is>
      </c>
      <c r="B105" s="30" t="n">
        <v>0</v>
      </c>
      <c r="C105" s="1" t="n"/>
      <c r="D105" s="11" t="inlineStr">
        <is>
          <t>No measures enabled</t>
        </is>
      </c>
      <c r="E105" s="1" t="n"/>
      <c r="F105" s="1" t="n"/>
      <c r="G105" s="1" t="n"/>
      <c r="H105" s="1" t="n"/>
      <c r="I105" s="1" t="n"/>
    </row>
    <row r="106">
      <c r="A106" s="7" t="inlineStr">
        <is>
          <t>Sale price premium</t>
        </is>
      </c>
      <c r="B106" s="29" t="n">
        <v>0</v>
      </c>
      <c r="C106" s="1" t="n"/>
      <c r="D106" s="11" t="inlineStr">
        <is>
          <t>No measures enabled</t>
        </is>
      </c>
      <c r="E106" s="1" t="n"/>
      <c r="F106" s="1" t="n"/>
      <c r="G106" s="1" t="n"/>
      <c r="H106" s="1" t="n"/>
      <c r="I106" s="1" t="n"/>
    </row>
    <row r="107">
      <c r="A107" s="7" t="inlineStr">
        <is>
          <t>Rent premium</t>
        </is>
      </c>
      <c r="B107" s="29" t="n">
        <v>0</v>
      </c>
      <c r="C107" s="1" t="n"/>
      <c r="D107" s="11" t="inlineStr">
        <is>
          <t>No measures enabled</t>
        </is>
      </c>
      <c r="E107" s="1" t="n"/>
      <c r="F107" s="1" t="n"/>
      <c r="G107" s="1" t="n"/>
      <c r="H107" s="1" t="n"/>
      <c r="I107" s="1" t="n"/>
    </row>
    <row r="108">
      <c r="A108" s="7" t="inlineStr">
        <is>
          <t>Net annual savings to the owner (rentals)</t>
        </is>
      </c>
      <c r="B108" s="30" t="n">
        <v>0</v>
      </c>
      <c r="C108" s="1" t="n"/>
      <c r="D108" s="11" t="inlineStr">
        <is>
          <t>No measures enabled</t>
        </is>
      </c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3" t="inlineStr">
        <is>
          <t>Unit mix (shares of saleable area)</t>
        </is>
      </c>
      <c r="B110" s="14" t="n"/>
      <c r="C110" s="14" t="n"/>
      <c r="D110" s="14" t="n"/>
      <c r="E110" s="14" t="n"/>
      <c r="F110" s="14" t="n"/>
      <c r="G110" s="14" t="n"/>
      <c r="H110" s="14" t="n"/>
      <c r="I110" s="1" t="n"/>
    </row>
    <row r="111">
      <c r="A111" s="12" t="inlineStr">
        <is>
          <t>Type</t>
        </is>
      </c>
      <c r="B111" s="12" t="inlineStr">
        <is>
          <t>Size (m²)</t>
        </is>
      </c>
      <c r="C111" s="12" t="inlineStr">
        <is>
          <t>Share</t>
        </is>
      </c>
      <c r="D111" s="12" t="inlineStr">
        <is>
          <t>Terrace (m²)</t>
        </is>
      </c>
      <c r="E111" s="12" t="inlineStr">
        <is>
          <t>Price premium</t>
        </is>
      </c>
      <c r="F111" s="12" t="inlineStr">
        <is>
          <t>Bedrooms</t>
        </is>
      </c>
      <c r="G111" s="12" t="inlineStr">
        <is>
          <t>Bathrooms</t>
        </is>
      </c>
      <c r="H111" s="1" t="n"/>
      <c r="I111" s="1" t="n"/>
    </row>
    <row r="112">
      <c r="A112" s="27" t="inlineStr">
        <is>
          <t>1 BR</t>
        </is>
      </c>
      <c r="B112" s="27" t="n">
        <v>75</v>
      </c>
      <c r="C112" s="33" t="n">
        <v>0.2</v>
      </c>
      <c r="D112" s="27" t="n">
        <v>8</v>
      </c>
      <c r="E112" s="33" t="n">
        <v>0.06</v>
      </c>
      <c r="F112" s="27" t="n">
        <v>1</v>
      </c>
      <c r="G112" s="27" t="n">
        <v>1.5</v>
      </c>
      <c r="H112" s="1" t="n"/>
      <c r="I112" s="1" t="n"/>
    </row>
    <row r="113">
      <c r="A113" s="27" t="inlineStr">
        <is>
          <t>2 BR</t>
        </is>
      </c>
      <c r="B113" s="27" t="n">
        <v>115</v>
      </c>
      <c r="C113" s="33" t="n">
        <v>0.5</v>
      </c>
      <c r="D113" s="27" t="n">
        <v>12</v>
      </c>
      <c r="E113" s="33" t="n">
        <v>0</v>
      </c>
      <c r="F113" s="27" t="n">
        <v>2</v>
      </c>
      <c r="G113" s="27" t="n">
        <v>2</v>
      </c>
      <c r="H113" s="1" t="n"/>
      <c r="I113" s="1" t="n"/>
    </row>
    <row r="114">
      <c r="A114" s="27" t="inlineStr">
        <is>
          <t>3 BR</t>
        </is>
      </c>
      <c r="B114" s="27" t="n">
        <v>165</v>
      </c>
      <c r="C114" s="33" t="n">
        <v>0.3</v>
      </c>
      <c r="D114" s="27" t="n">
        <v>20</v>
      </c>
      <c r="E114" s="33" t="n">
        <v>-0.03</v>
      </c>
      <c r="F114" s="27" t="n">
        <v>3</v>
      </c>
      <c r="G114" s="27" t="n">
        <v>3.5</v>
      </c>
      <c r="H114" s="1" t="n"/>
      <c r="I114" s="1" t="n"/>
    </row>
    <row r="115">
      <c r="A115" s="27" t="inlineStr"/>
      <c r="B115" s="27" t="n">
        <v>0</v>
      </c>
      <c r="C115" s="33" t="n">
        <v>0</v>
      </c>
      <c r="D115" s="27" t="n">
        <v>0</v>
      </c>
      <c r="E115" s="33" t="n">
        <v>0</v>
      </c>
      <c r="F115" s="27" t="n"/>
      <c r="G115" s="27" t="n"/>
      <c r="H115" s="1" t="n"/>
      <c r="I115" s="1" t="n"/>
    </row>
    <row r="116">
      <c r="A116" s="27" t="inlineStr"/>
      <c r="B116" s="27" t="n">
        <v>0</v>
      </c>
      <c r="C116" s="33" t="n">
        <v>0</v>
      </c>
      <c r="D116" s="27" t="n">
        <v>0</v>
      </c>
      <c r="E116" s="33" t="n">
        <v>0</v>
      </c>
      <c r="F116" s="27" t="n"/>
      <c r="G116" s="27" t="n"/>
      <c r="H116" s="1" t="n"/>
      <c r="I116" s="1" t="n"/>
    </row>
    <row r="117">
      <c r="A117" s="27" t="inlineStr"/>
      <c r="B117" s="27" t="n">
        <v>0</v>
      </c>
      <c r="C117" s="33" t="n">
        <v>0</v>
      </c>
      <c r="D117" s="27" t="n">
        <v>0</v>
      </c>
      <c r="E117" s="33" t="n">
        <v>0</v>
      </c>
      <c r="F117" s="27" t="n"/>
      <c r="G117" s="27" t="n"/>
      <c r="H117" s="1" t="n"/>
      <c r="I117" s="1" t="n"/>
    </row>
    <row r="118">
      <c r="A118" s="27" t="inlineStr"/>
      <c r="B118" s="27" t="n">
        <v>0</v>
      </c>
      <c r="C118" s="33" t="n">
        <v>0</v>
      </c>
      <c r="D118" s="27" t="n">
        <v>0</v>
      </c>
      <c r="E118" s="33" t="n">
        <v>0</v>
      </c>
      <c r="F118" s="27" t="n"/>
      <c r="G118" s="27" t="n"/>
      <c r="H118" s="1" t="n"/>
      <c r="I118" s="1" t="n"/>
    </row>
    <row r="119">
      <c r="A119" s="27" t="inlineStr"/>
      <c r="B119" s="27" t="n">
        <v>0</v>
      </c>
      <c r="C119" s="33" t="n">
        <v>0</v>
      </c>
      <c r="D119" s="27" t="n">
        <v>0</v>
      </c>
      <c r="E119" s="33" t="n">
        <v>0</v>
      </c>
      <c r="F119" s="27" t="n"/>
      <c r="G119" s="27" t="n"/>
      <c r="H119" s="1" t="n"/>
      <c r="I119" s="1" t="n"/>
    </row>
    <row r="120">
      <c r="A120" s="4" t="inlineStr">
        <is>
          <t>Total share (must be 100%)</t>
        </is>
      </c>
      <c r="B120" s="1" t="n"/>
      <c r="C120" s="15">
        <f>SUM(C112:C119)</f>
        <v/>
      </c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3" t="inlineStr">
        <is>
          <t>Hard-cost category split (share of above-ground hard cost)</t>
        </is>
      </c>
      <c r="B122" s="14" t="n"/>
      <c r="C122" s="14" t="n"/>
      <c r="D122" s="14" t="n"/>
      <c r="E122" s="1" t="n"/>
      <c r="F122" s="1" t="n"/>
      <c r="G122" s="1" t="n"/>
      <c r="H122" s="1" t="n"/>
      <c r="I122" s="1" t="n"/>
    </row>
    <row r="123">
      <c r="A123" s="7" t="inlineStr">
        <is>
          <t>Demolition &amp; excavation</t>
        </is>
      </c>
      <c r="B123" s="33" t="n">
        <v>0.04</v>
      </c>
      <c r="C123" s="1" t="n"/>
      <c r="D123" s="1" t="n"/>
      <c r="E123" s="1" t="n"/>
      <c r="F123" s="1" t="n"/>
      <c r="G123" s="1" t="n"/>
      <c r="H123" s="1" t="n"/>
      <c r="I123" s="1" t="n"/>
    </row>
    <row r="124">
      <c r="A124" s="7" t="inlineStr">
        <is>
          <t>Foundations</t>
        </is>
      </c>
      <c r="B124" s="33" t="n">
        <v>0.08</v>
      </c>
      <c r="C124" s="1" t="n"/>
      <c r="D124" s="1" t="n"/>
      <c r="E124" s="1" t="n"/>
      <c r="F124" s="1" t="n"/>
      <c r="G124" s="1" t="n"/>
      <c r="H124" s="1" t="n"/>
      <c r="I124" s="1" t="n"/>
    </row>
    <row r="125">
      <c r="A125" s="7" t="inlineStr">
        <is>
          <t>Structure</t>
        </is>
      </c>
      <c r="B125" s="33" t="n">
        <v>0.27</v>
      </c>
      <c r="C125" s="1" t="n"/>
      <c r="D125" s="1" t="n"/>
      <c r="E125" s="1" t="n"/>
      <c r="F125" s="1" t="n"/>
      <c r="G125" s="1" t="n"/>
      <c r="H125" s="1" t="n"/>
      <c r="I125" s="1" t="n"/>
    </row>
    <row r="126">
      <c r="A126" s="7" t="inlineStr">
        <is>
          <t>Façade &amp; envelope</t>
        </is>
      </c>
      <c r="B126" s="33" t="n">
        <v>0.09</v>
      </c>
      <c r="C126" s="1" t="n"/>
      <c r="D126" s="1" t="n"/>
      <c r="E126" s="1" t="n"/>
      <c r="F126" s="1" t="n"/>
      <c r="G126" s="1" t="n"/>
      <c r="H126" s="1" t="n"/>
      <c r="I126" s="1" t="n"/>
    </row>
    <row r="127">
      <c r="A127" s="7" t="inlineStr">
        <is>
          <t>MEP systems</t>
        </is>
      </c>
      <c r="B127" s="33" t="n">
        <v>0.18</v>
      </c>
      <c r="C127" s="1" t="n"/>
      <c r="D127" s="1" t="n"/>
      <c r="E127" s="1" t="n"/>
      <c r="F127" s="1" t="n"/>
      <c r="G127" s="1" t="n"/>
      <c r="H127" s="1" t="n"/>
      <c r="I127" s="1" t="n"/>
    </row>
    <row r="128">
      <c r="A128" s="7" t="inlineStr">
        <is>
          <t>Elevators</t>
        </is>
      </c>
      <c r="B128" s="33" t="n">
        <v>0.04</v>
      </c>
      <c r="C128" s="1" t="n"/>
      <c r="D128" s="1" t="n"/>
      <c r="E128" s="1" t="n"/>
      <c r="F128" s="1" t="n"/>
      <c r="G128" s="1" t="n"/>
      <c r="H128" s="1" t="n"/>
      <c r="I128" s="1" t="n"/>
    </row>
    <row r="129">
      <c r="A129" s="7" t="inlineStr">
        <is>
          <t>Finishes</t>
        </is>
      </c>
      <c r="B129" s="33" t="n">
        <v>0.19</v>
      </c>
      <c r="C129" s="1" t="n"/>
      <c r="D129" s="1" t="n"/>
      <c r="E129" s="1" t="n"/>
      <c r="F129" s="1" t="n"/>
      <c r="G129" s="1" t="n"/>
      <c r="H129" s="1" t="n"/>
      <c r="I129" s="1" t="n"/>
    </row>
    <row r="130">
      <c r="A130" s="7" t="inlineStr">
        <is>
          <t>Amenities</t>
        </is>
      </c>
      <c r="B130" s="33" t="n">
        <v>0.04</v>
      </c>
      <c r="C130" s="1" t="n"/>
      <c r="D130" s="1" t="n"/>
      <c r="E130" s="1" t="n"/>
      <c r="F130" s="1" t="n"/>
      <c r="G130" s="1" t="n"/>
      <c r="H130" s="1" t="n"/>
      <c r="I130" s="1" t="n"/>
    </row>
    <row r="131">
      <c r="A131" s="7" t="inlineStr">
        <is>
          <t>Landscaping &amp; exterior</t>
        </is>
      </c>
      <c r="B131" s="33" t="n">
        <v>0.02</v>
      </c>
      <c r="C131" s="1" t="n"/>
      <c r="D131" s="1" t="n"/>
      <c r="E131" s="1" t="n"/>
      <c r="F131" s="1" t="n"/>
      <c r="G131" s="1" t="n"/>
      <c r="H131" s="1" t="n"/>
      <c r="I131" s="1" t="n"/>
    </row>
    <row r="132">
      <c r="A132" s="7" t="inlineStr">
        <is>
          <t>Infrastructure &amp; connections</t>
        </is>
      </c>
      <c r="B132" s="33" t="n">
        <v>0.05</v>
      </c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3" t="inlineStr">
        <is>
          <t>Milestones (calculated, used by the schedules below)</t>
        </is>
      </c>
      <c r="B134" s="14" t="n"/>
      <c r="C134" s="14" t="n"/>
      <c r="D134" s="14" t="n"/>
      <c r="E134" s="1" t="n"/>
      <c r="F134" s="1" t="n"/>
      <c r="G134" s="1" t="n"/>
      <c r="H134" s="1" t="n"/>
      <c r="I134" s="1" t="n"/>
    </row>
    <row r="135">
      <c r="A135" s="7" t="inlineStr">
        <is>
          <t>closing</t>
        </is>
      </c>
      <c r="B135" s="7">
        <f>0</f>
        <v/>
      </c>
      <c r="C135" s="1" t="n"/>
      <c r="D135" s="1" t="n"/>
      <c r="E135" s="1" t="n"/>
      <c r="F135" s="1" t="n"/>
      <c r="G135" s="1" t="n"/>
      <c r="H135" s="1" t="n"/>
      <c r="I135" s="1" t="n"/>
    </row>
    <row r="136">
      <c r="A136" s="7" t="inlineStr">
        <is>
          <t>sales_start</t>
        </is>
      </c>
      <c r="B136" s="7">
        <f>Sales_Start</f>
        <v/>
      </c>
      <c r="C136" s="1" t="n"/>
      <c r="D136" s="1" t="n"/>
      <c r="E136" s="1" t="n"/>
      <c r="F136" s="1" t="n"/>
      <c r="G136" s="1" t="n"/>
      <c r="H136" s="1" t="n"/>
      <c r="I136" s="1" t="n"/>
    </row>
    <row r="137">
      <c r="A137" s="7" t="inlineStr">
        <is>
          <t>construction_start</t>
        </is>
      </c>
      <c r="B137" s="7">
        <f>T_ConStart</f>
        <v/>
      </c>
      <c r="C137" s="1" t="n"/>
      <c r="D137" s="1" t="n"/>
      <c r="E137" s="1" t="n"/>
      <c r="F137" s="1" t="n"/>
      <c r="G137" s="1" t="n"/>
      <c r="H137" s="1" t="n"/>
      <c r="I137" s="1" t="n"/>
    </row>
    <row r="138">
      <c r="A138" s="7" t="inlineStr">
        <is>
          <t>delivery</t>
        </is>
      </c>
      <c r="B138" s="7">
        <f>T_Delivery</f>
        <v/>
      </c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3" t="inlineStr">
        <is>
          <t>Sales phases (units/month during a period; outside phases the base absorption applies)</t>
        </is>
      </c>
      <c r="B140" s="14" t="n"/>
      <c r="C140" s="14" t="n"/>
      <c r="D140" s="14" t="n"/>
      <c r="E140" s="14" t="n"/>
      <c r="F140" s="14" t="n"/>
      <c r="G140" s="14" t="n"/>
      <c r="H140" s="1" t="n"/>
      <c r="I140" s="1" t="n"/>
    </row>
    <row r="141">
      <c r="A141" s="12" t="inlineStr">
        <is>
          <t>Phase</t>
        </is>
      </c>
      <c r="B141" s="12" t="inlineStr">
        <is>
          <t>Anchor</t>
        </is>
      </c>
      <c r="C141" s="12" t="inlineStr">
        <is>
          <t>Offset (months)</t>
        </is>
      </c>
      <c r="D141" s="12" t="inlineStr">
        <is>
          <t>Months</t>
        </is>
      </c>
      <c r="E141" s="12" t="inlineStr">
        <is>
          <t>Units / month</t>
        </is>
      </c>
      <c r="F141" s="12" t="inlineStr">
        <is>
          <t>Start month</t>
        </is>
      </c>
      <c r="G141" s="12" t="inlineStr">
        <is>
          <t>End month</t>
        </is>
      </c>
      <c r="H141" s="1" t="n"/>
      <c r="I141" s="1" t="n"/>
    </row>
    <row r="142">
      <c r="A142" s="8" t="inlineStr"/>
      <c r="B142" s="8" t="inlineStr"/>
      <c r="C142" s="8" t="n">
        <v>0</v>
      </c>
      <c r="D142" s="8" t="n">
        <v>0</v>
      </c>
      <c r="E142" s="8" t="n">
        <v>0</v>
      </c>
      <c r="F142" s="23">
        <f>IF(B142="","",INDEX(anchor_months,MATCH(B142,anchor_names,0))+C142)</f>
        <v/>
      </c>
      <c r="G142" s="23">
        <f>IF(F142="","",F142+D142)</f>
        <v/>
      </c>
      <c r="H142" s="1" t="n"/>
      <c r="I142" s="1" t="n"/>
    </row>
    <row r="143">
      <c r="A143" s="8" t="inlineStr"/>
      <c r="B143" s="8" t="inlineStr"/>
      <c r="C143" s="8" t="n">
        <v>0</v>
      </c>
      <c r="D143" s="8" t="n">
        <v>0</v>
      </c>
      <c r="E143" s="8" t="n">
        <v>0</v>
      </c>
      <c r="F143" s="23">
        <f>IF(B143="","",INDEX(anchor_months,MATCH(B143,anchor_names,0))+C143)</f>
        <v/>
      </c>
      <c r="G143" s="23">
        <f>IF(F143="","",F143+D143)</f>
        <v/>
      </c>
      <c r="H143" s="1" t="n"/>
      <c r="I143" s="1" t="n"/>
    </row>
    <row r="144">
      <c r="A144" s="8" t="inlineStr"/>
      <c r="B144" s="8" t="inlineStr"/>
      <c r="C144" s="8" t="n">
        <v>0</v>
      </c>
      <c r="D144" s="8" t="n">
        <v>0</v>
      </c>
      <c r="E144" s="8" t="n">
        <v>0</v>
      </c>
      <c r="F144" s="23">
        <f>IF(B144="","",INDEX(anchor_months,MATCH(B144,anchor_names,0))+C144)</f>
        <v/>
      </c>
      <c r="G144" s="23">
        <f>IF(F144="","",F144+D144)</f>
        <v/>
      </c>
      <c r="H144" s="1" t="n"/>
      <c r="I144" s="1" t="n"/>
    </row>
    <row r="145">
      <c r="A145" s="8" t="inlineStr"/>
      <c r="B145" s="8" t="inlineStr"/>
      <c r="C145" s="8" t="n">
        <v>0</v>
      </c>
      <c r="D145" s="8" t="n">
        <v>0</v>
      </c>
      <c r="E145" s="8" t="n">
        <v>0</v>
      </c>
      <c r="F145" s="23">
        <f>IF(B145="","",INDEX(anchor_months,MATCH(B145,anchor_names,0))+C145)</f>
        <v/>
      </c>
      <c r="G145" s="23">
        <f>IF(F145="","",F145+D145)</f>
        <v/>
      </c>
      <c r="H145" s="1" t="n"/>
      <c r="I145" s="1" t="n"/>
    </row>
    <row r="146">
      <c r="A146" s="8" t="inlineStr"/>
      <c r="B146" s="8" t="inlineStr"/>
      <c r="C146" s="8" t="n">
        <v>0</v>
      </c>
      <c r="D146" s="8" t="n">
        <v>0</v>
      </c>
      <c r="E146" s="8" t="n">
        <v>0</v>
      </c>
      <c r="F146" s="23">
        <f>IF(B146="","",INDEX(anchor_months,MATCH(B146,anchor_names,0))+C146)</f>
        <v/>
      </c>
      <c r="G146" s="23">
        <f>IF(F146="","",F146+D146)</f>
        <v/>
      </c>
      <c r="H146" s="1" t="n"/>
      <c r="I146" s="1" t="n"/>
    </row>
    <row r="147">
      <c r="A147" s="8" t="inlineStr"/>
      <c r="B147" s="8" t="inlineStr"/>
      <c r="C147" s="8" t="n">
        <v>0</v>
      </c>
      <c r="D147" s="8" t="n">
        <v>0</v>
      </c>
      <c r="E147" s="8" t="n">
        <v>0</v>
      </c>
      <c r="F147" s="23">
        <f>IF(B147="","",INDEX(anchor_months,MATCH(B147,anchor_names,0))+C147)</f>
        <v/>
      </c>
      <c r="G147" s="23">
        <f>IF(F147="","",F147+D147)</f>
        <v/>
      </c>
      <c r="H147" s="1" t="n"/>
      <c r="I147" s="1" t="n"/>
    </row>
    <row r="148">
      <c r="A148" s="8" t="inlineStr"/>
      <c r="B148" s="8" t="inlineStr"/>
      <c r="C148" s="8" t="n">
        <v>0</v>
      </c>
      <c r="D148" s="8" t="n">
        <v>0</v>
      </c>
      <c r="E148" s="8" t="n">
        <v>0</v>
      </c>
      <c r="F148" s="23">
        <f>IF(B148="","",INDEX(anchor_months,MATCH(B148,anchor_names,0))+C148)</f>
        <v/>
      </c>
      <c r="G148" s="23">
        <f>IF(F148="","",F148+D148)</f>
        <v/>
      </c>
      <c r="H148" s="1" t="n"/>
      <c r="I148" s="1" t="n"/>
    </row>
    <row r="149">
      <c r="A149" s="8" t="inlineStr"/>
      <c r="B149" s="8" t="inlineStr"/>
      <c r="C149" s="8" t="n">
        <v>0</v>
      </c>
      <c r="D149" s="8" t="n">
        <v>0</v>
      </c>
      <c r="E149" s="8" t="n">
        <v>0</v>
      </c>
      <c r="F149" s="23">
        <f>IF(B149="","",INDEX(anchor_months,MATCH(B149,anchor_names,0))+C149)</f>
        <v/>
      </c>
      <c r="G149" s="23">
        <f>IF(F149="","",F149+D149)</f>
        <v/>
      </c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3" t="inlineStr">
        <is>
          <t>Price phases (% change for contracts signed in the period)</t>
        </is>
      </c>
      <c r="B151" s="14" t="n"/>
      <c r="C151" s="14" t="n"/>
      <c r="D151" s="14" t="n"/>
      <c r="E151" s="14" t="n"/>
      <c r="F151" s="14" t="n"/>
      <c r="G151" s="14" t="n"/>
      <c r="H151" s="1" t="n"/>
      <c r="I151" s="1" t="n"/>
    </row>
    <row r="152">
      <c r="A152" s="12" t="inlineStr">
        <is>
          <t>Phase</t>
        </is>
      </c>
      <c r="B152" s="12" t="inlineStr">
        <is>
          <t>Anchor</t>
        </is>
      </c>
      <c r="C152" s="12" t="inlineStr">
        <is>
          <t>Offset (months)</t>
        </is>
      </c>
      <c r="D152" s="12" t="inlineStr">
        <is>
          <t>Months</t>
        </is>
      </c>
      <c r="E152" s="12" t="inlineStr">
        <is>
          <t>Price change</t>
        </is>
      </c>
      <c r="F152" s="12" t="inlineStr">
        <is>
          <t>Start month</t>
        </is>
      </c>
      <c r="G152" s="12" t="inlineStr">
        <is>
          <t>End month</t>
        </is>
      </c>
      <c r="H152" s="1" t="n"/>
      <c r="I152" s="1" t="n"/>
    </row>
    <row r="153">
      <c r="A153" s="8" t="inlineStr"/>
      <c r="B153" s="8" t="inlineStr"/>
      <c r="C153" s="8" t="n">
        <v>0</v>
      </c>
      <c r="D153" s="8" t="n">
        <v>0</v>
      </c>
      <c r="E153" s="33" t="n">
        <v>0</v>
      </c>
      <c r="F153" s="23">
        <f>IF(B153="","",INDEX(anchor_months,MATCH(B153,anchor_names,0))+C153)</f>
        <v/>
      </c>
      <c r="G153" s="23">
        <f>IF(F153="","",F153+D153)</f>
        <v/>
      </c>
      <c r="H153" s="1" t="n"/>
      <c r="I153" s="1" t="n"/>
    </row>
    <row r="154">
      <c r="A154" s="8" t="inlineStr"/>
      <c r="B154" s="8" t="inlineStr"/>
      <c r="C154" s="8" t="n">
        <v>0</v>
      </c>
      <c r="D154" s="8" t="n">
        <v>0</v>
      </c>
      <c r="E154" s="33" t="n">
        <v>0</v>
      </c>
      <c r="F154" s="23">
        <f>IF(B154="","",INDEX(anchor_months,MATCH(B154,anchor_names,0))+C154)</f>
        <v/>
      </c>
      <c r="G154" s="23">
        <f>IF(F154="","",F154+D154)</f>
        <v/>
      </c>
      <c r="H154" s="1" t="n"/>
      <c r="I154" s="1" t="n"/>
    </row>
    <row r="155">
      <c r="A155" s="8" t="inlineStr"/>
      <c r="B155" s="8" t="inlineStr"/>
      <c r="C155" s="8" t="n">
        <v>0</v>
      </c>
      <c r="D155" s="8" t="n">
        <v>0</v>
      </c>
      <c r="E155" s="33" t="n">
        <v>0</v>
      </c>
      <c r="F155" s="23">
        <f>IF(B155="","",INDEX(anchor_months,MATCH(B155,anchor_names,0))+C155)</f>
        <v/>
      </c>
      <c r="G155" s="23">
        <f>IF(F155="","",F155+D155)</f>
        <v/>
      </c>
      <c r="H155" s="1" t="n"/>
      <c r="I155" s="1" t="n"/>
    </row>
    <row r="156">
      <c r="A156" s="8" t="inlineStr"/>
      <c r="B156" s="8" t="inlineStr"/>
      <c r="C156" s="8" t="n">
        <v>0</v>
      </c>
      <c r="D156" s="8" t="n">
        <v>0</v>
      </c>
      <c r="E156" s="33" t="n">
        <v>0</v>
      </c>
      <c r="F156" s="23">
        <f>IF(B156="","",INDEX(anchor_months,MATCH(B156,anchor_names,0))+C156)</f>
        <v/>
      </c>
      <c r="G156" s="23">
        <f>IF(F156="","",F156+D156)</f>
        <v/>
      </c>
      <c r="H156" s="1" t="n"/>
      <c r="I156" s="1" t="n"/>
    </row>
    <row r="157">
      <c r="A157" s="8" t="inlineStr"/>
      <c r="B157" s="8" t="inlineStr"/>
      <c r="C157" s="8" t="n">
        <v>0</v>
      </c>
      <c r="D157" s="8" t="n">
        <v>0</v>
      </c>
      <c r="E157" s="33" t="n">
        <v>0</v>
      </c>
      <c r="F157" s="23">
        <f>IF(B157="","",INDEX(anchor_months,MATCH(B157,anchor_names,0))+C157)</f>
        <v/>
      </c>
      <c r="G157" s="23">
        <f>IF(F157="","",F157+D157)</f>
        <v/>
      </c>
      <c r="H157" s="1" t="n"/>
      <c r="I157" s="1" t="n"/>
    </row>
    <row r="158">
      <c r="A158" s="8" t="inlineStr"/>
      <c r="B158" s="8" t="inlineStr"/>
      <c r="C158" s="8" t="n">
        <v>0</v>
      </c>
      <c r="D158" s="8" t="n">
        <v>0</v>
      </c>
      <c r="E158" s="33" t="n">
        <v>0</v>
      </c>
      <c r="F158" s="23">
        <f>IF(B158="","",INDEX(anchor_months,MATCH(B158,anchor_names,0))+C158)</f>
        <v/>
      </c>
      <c r="G158" s="23">
        <f>IF(F158="","",F158+D158)</f>
        <v/>
      </c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3" t="inlineStr">
        <is>
          <t>Land payment schedule (empty = 100% at closing)</t>
        </is>
      </c>
      <c r="B160" s="14" t="n"/>
      <c r="C160" s="14" t="n"/>
      <c r="D160" s="14" t="n"/>
      <c r="E160" s="1" t="n"/>
      <c r="F160" s="1" t="n"/>
      <c r="G160" s="1" t="n"/>
      <c r="H160" s="1" t="n"/>
      <c r="I160" s="1" t="n"/>
    </row>
    <row r="161">
      <c r="A161" s="12" t="inlineStr">
        <is>
          <t>Month</t>
        </is>
      </c>
      <c r="B161" s="12" t="inlineStr">
        <is>
          <t>% of price</t>
        </is>
      </c>
      <c r="C161" s="1" t="n"/>
      <c r="D161" s="1" t="n"/>
      <c r="E161" s="1" t="n"/>
      <c r="F161" s="1" t="n"/>
      <c r="G161" s="1" t="n"/>
      <c r="H161" s="1" t="n"/>
      <c r="I161" s="1" t="n"/>
    </row>
    <row r="162">
      <c r="A162" s="8" t="n"/>
      <c r="B162" s="33" t="n">
        <v>0</v>
      </c>
      <c r="C162" s="1" t="n"/>
      <c r="D162" s="1" t="n"/>
      <c r="E162" s="1" t="n"/>
      <c r="F162" s="1" t="n"/>
      <c r="G162" s="1" t="n"/>
      <c r="H162" s="1" t="n"/>
      <c r="I162" s="1" t="n"/>
    </row>
    <row r="163">
      <c r="A163" s="8" t="n"/>
      <c r="B163" s="33" t="n">
        <v>0</v>
      </c>
      <c r="C163" s="1" t="n"/>
      <c r="D163" s="1" t="n"/>
      <c r="E163" s="1" t="n"/>
      <c r="F163" s="1" t="n"/>
      <c r="G163" s="1" t="n"/>
      <c r="H163" s="1" t="n"/>
      <c r="I163" s="1" t="n"/>
    </row>
    <row r="164">
      <c r="A164" s="8" t="n"/>
      <c r="B164" s="33" t="n">
        <v>0</v>
      </c>
      <c r="C164" s="1" t="n"/>
      <c r="D164" s="1" t="n"/>
      <c r="E164" s="1" t="n"/>
      <c r="F164" s="1" t="n"/>
      <c r="G164" s="1" t="n"/>
      <c r="H164" s="1" t="n"/>
      <c r="I164" s="1" t="n"/>
    </row>
    <row r="165">
      <c r="A165" s="8" t="n"/>
      <c r="B165" s="33" t="n">
        <v>0</v>
      </c>
      <c r="C165" s="1" t="n"/>
      <c r="D165" s="1" t="n"/>
      <c r="E165" s="1" t="n"/>
      <c r="F165" s="1" t="n"/>
      <c r="G165" s="1" t="n"/>
      <c r="H165" s="1" t="n"/>
      <c r="I165" s="1" t="n"/>
    </row>
    <row r="166">
      <c r="A166" s="8" t="n"/>
      <c r="B166" s="33" t="n">
        <v>0</v>
      </c>
      <c r="C166" s="1" t="n"/>
      <c r="D166" s="1" t="n"/>
      <c r="E166" s="1" t="n"/>
      <c r="F166" s="1" t="n"/>
      <c r="G166" s="1" t="n"/>
      <c r="H166" s="1" t="n"/>
      <c r="I166" s="1" t="n"/>
    </row>
    <row r="167">
      <c r="A167" s="8" t="n"/>
      <c r="B167" s="33" t="n">
        <v>0</v>
      </c>
      <c r="C167" s="1" t="n"/>
      <c r="D167" s="1" t="n"/>
      <c r="E167" s="1" t="n"/>
      <c r="F167" s="1" t="n"/>
      <c r="G167" s="1" t="n"/>
      <c r="H167" s="1" t="n"/>
      <c r="I167" s="1" t="n"/>
    </row>
    <row r="168">
      <c r="A168" s="8" t="n"/>
      <c r="B168" s="33" t="n">
        <v>0</v>
      </c>
      <c r="C168" s="1" t="n"/>
      <c r="D168" s="1" t="n"/>
      <c r="E168" s="1" t="n"/>
      <c r="F168" s="1" t="n"/>
      <c r="G168" s="1" t="n"/>
      <c r="H168" s="1" t="n"/>
      <c r="I168" s="1" t="n"/>
    </row>
    <row r="169">
      <c r="A169" s="8" t="n"/>
      <c r="B169" s="33" t="n">
        <v>0</v>
      </c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3" t="inlineStr">
        <is>
          <t>Custom one-off cash flows</t>
        </is>
      </c>
      <c r="B171" s="14" t="n"/>
      <c r="C171" s="14" t="n"/>
      <c r="D171" s="14" t="n"/>
      <c r="E171" s="14" t="n"/>
      <c r="F171" s="14" t="n"/>
      <c r="G171" s="14" t="n"/>
      <c r="H171" s="1" t="n"/>
      <c r="I171" s="1" t="n"/>
    </row>
    <row r="172">
      <c r="A172" s="12" t="inlineStr">
        <is>
          <t>Item</t>
        </is>
      </c>
      <c r="B172" s="12" t="inlineStr">
        <is>
          <t>Type (cost/revenue)</t>
        </is>
      </c>
      <c r="C172" s="12" t="inlineStr">
        <is>
          <t>Amount</t>
        </is>
      </c>
      <c r="D172" s="12" t="inlineStr">
        <is>
          <t>Anchor</t>
        </is>
      </c>
      <c r="E172" s="12" t="inlineStr">
        <is>
          <t>Offset (months)</t>
        </is>
      </c>
      <c r="F172" s="12" t="inlineStr">
        <is>
          <t>Start month</t>
        </is>
      </c>
      <c r="G172" s="12" t="inlineStr">
        <is>
          <t>End month</t>
        </is>
      </c>
      <c r="H172" s="1" t="n"/>
      <c r="I172" s="1" t="n"/>
    </row>
    <row r="173">
      <c r="A173" s="8" t="inlineStr"/>
      <c r="B173" s="8" t="inlineStr"/>
      <c r="C173" s="30" t="n">
        <v>0</v>
      </c>
      <c r="D173" s="8" t="inlineStr"/>
      <c r="E173" s="8" t="n">
        <v>0</v>
      </c>
      <c r="F173" s="23">
        <f>IF(D173="","",INDEX(anchor_months,MATCH(D173,anchor_names,0))+E173)</f>
        <v/>
      </c>
      <c r="G173" s="1" t="n"/>
      <c r="H173" s="1" t="n"/>
      <c r="I173" s="1" t="n"/>
    </row>
    <row r="174">
      <c r="A174" s="8" t="inlineStr"/>
      <c r="B174" s="8" t="inlineStr"/>
      <c r="C174" s="30" t="n">
        <v>0</v>
      </c>
      <c r="D174" s="8" t="inlineStr"/>
      <c r="E174" s="8" t="n">
        <v>0</v>
      </c>
      <c r="F174" s="23">
        <f>IF(D174="","",INDEX(anchor_months,MATCH(D174,anchor_names,0))+E174)</f>
        <v/>
      </c>
      <c r="G174" s="1" t="n"/>
      <c r="H174" s="1" t="n"/>
      <c r="I174" s="1" t="n"/>
    </row>
    <row r="175">
      <c r="A175" s="8" t="inlineStr"/>
      <c r="B175" s="8" t="inlineStr"/>
      <c r="C175" s="30" t="n">
        <v>0</v>
      </c>
      <c r="D175" s="8" t="inlineStr"/>
      <c r="E175" s="8" t="n">
        <v>0</v>
      </c>
      <c r="F175" s="23">
        <f>IF(D175="","",INDEX(anchor_months,MATCH(D175,anchor_names,0))+E175)</f>
        <v/>
      </c>
      <c r="G175" s="1" t="n"/>
      <c r="H175" s="1" t="n"/>
      <c r="I175" s="1" t="n"/>
    </row>
    <row r="176">
      <c r="A176" s="8" t="inlineStr"/>
      <c r="B176" s="8" t="inlineStr"/>
      <c r="C176" s="30" t="n">
        <v>0</v>
      </c>
      <c r="D176" s="8" t="inlineStr"/>
      <c r="E176" s="8" t="n">
        <v>0</v>
      </c>
      <c r="F176" s="23">
        <f>IF(D176="","",INDEX(anchor_months,MATCH(D176,anchor_names,0))+E176)</f>
        <v/>
      </c>
      <c r="G176" s="1" t="n"/>
      <c r="H176" s="1" t="n"/>
      <c r="I176" s="1" t="n"/>
    </row>
    <row r="177">
      <c r="A177" s="8" t="inlineStr"/>
      <c r="B177" s="8" t="inlineStr"/>
      <c r="C177" s="30" t="n">
        <v>0</v>
      </c>
      <c r="D177" s="8" t="inlineStr"/>
      <c r="E177" s="8" t="n">
        <v>0</v>
      </c>
      <c r="F177" s="23">
        <f>IF(D177="","",INDEX(anchor_months,MATCH(D177,anchor_names,0))+E177)</f>
        <v/>
      </c>
      <c r="G177" s="1" t="n"/>
      <c r="H177" s="1" t="n"/>
      <c r="I177" s="1" t="n"/>
    </row>
    <row r="178">
      <c r="A178" s="8" t="inlineStr"/>
      <c r="B178" s="8" t="inlineStr"/>
      <c r="C178" s="30" t="n">
        <v>0</v>
      </c>
      <c r="D178" s="8" t="inlineStr"/>
      <c r="E178" s="8" t="n">
        <v>0</v>
      </c>
      <c r="F178" s="23">
        <f>IF(D178="","",INDEX(anchor_months,MATCH(D178,anchor_names,0))+E178)</f>
        <v/>
      </c>
      <c r="G178" s="1" t="n"/>
      <c r="H178" s="1" t="n"/>
      <c r="I178" s="1" t="n"/>
    </row>
    <row r="179">
      <c r="A179" s="8" t="inlineStr"/>
      <c r="B179" s="8" t="inlineStr"/>
      <c r="C179" s="30" t="n">
        <v>0</v>
      </c>
      <c r="D179" s="8" t="inlineStr"/>
      <c r="E179" s="8" t="n">
        <v>0</v>
      </c>
      <c r="F179" s="23">
        <f>IF(D179="","",INDEX(anchor_months,MATCH(D179,anchor_names,0))+E179)</f>
        <v/>
      </c>
      <c r="G179" s="1" t="n"/>
      <c r="H179" s="1" t="n"/>
      <c r="I179" s="1" t="n"/>
    </row>
    <row r="180">
      <c r="A180" s="8" t="inlineStr"/>
      <c r="B180" s="8" t="inlineStr"/>
      <c r="C180" s="30" t="n">
        <v>0</v>
      </c>
      <c r="D180" s="8" t="inlineStr"/>
      <c r="E180" s="8" t="n">
        <v>0</v>
      </c>
      <c r="F180" s="23">
        <f>IF(D180="","",INDEX(anchor_months,MATCH(D180,anchor_names,0))+E180)</f>
        <v/>
      </c>
      <c r="G180" s="1" t="n"/>
      <c r="H180" s="1" t="n"/>
      <c r="I180" s="1" t="n"/>
    </row>
    <row r="181">
      <c r="A181" s="8" t="inlineStr"/>
      <c r="B181" s="8" t="inlineStr"/>
      <c r="C181" s="30" t="n">
        <v>0</v>
      </c>
      <c r="D181" s="8" t="inlineStr"/>
      <c r="E181" s="8" t="n">
        <v>0</v>
      </c>
      <c r="F181" s="23">
        <f>IF(D181="","",INDEX(anchor_months,MATCH(D181,anchor_names,0))+E181)</f>
        <v/>
      </c>
      <c r="G181" s="1" t="n"/>
      <c r="H181" s="1" t="n"/>
      <c r="I181" s="1" t="n"/>
    </row>
    <row r="182">
      <c r="A182" s="8" t="inlineStr"/>
      <c r="B182" s="8" t="inlineStr"/>
      <c r="C182" s="30" t="n">
        <v>0</v>
      </c>
      <c r="D182" s="8" t="inlineStr"/>
      <c r="E182" s="8" t="n">
        <v>0</v>
      </c>
      <c r="F182" s="23">
        <f>IF(D182="","",INDEX(anchor_months,MATCH(D182,anchor_names,0))+E182)</f>
        <v/>
      </c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3" t="inlineStr">
        <is>
          <t>User-defined variables (effect types: cost_fixed, cost_per_area, cost_per_unit, cost_pct_hard, cost_pct_revenue, cost_monthly, revenue_fixed, revenue_per_unit, revenue_monthly, price_pct, info)</t>
        </is>
      </c>
      <c r="B184" s="14" t="n"/>
      <c r="C184" s="14" t="n"/>
      <c r="D184" s="14" t="n"/>
      <c r="E184" s="14" t="n"/>
      <c r="F184" s="14" t="n"/>
      <c r="G184" s="14" t="n"/>
      <c r="H184" s="14" t="n"/>
      <c r="I184" s="14" t="n"/>
    </row>
    <row r="185">
      <c r="A185" s="12" t="inlineStr">
        <is>
          <t>Variable</t>
        </is>
      </c>
      <c r="B185" s="12" t="inlineStr">
        <is>
          <t>Effect</t>
        </is>
      </c>
      <c r="C185" s="12" t="inlineStr">
        <is>
          <t>Value</t>
        </is>
      </c>
      <c r="D185" s="12" t="inlineStr">
        <is>
          <t>Timing</t>
        </is>
      </c>
      <c r="E185" s="12" t="inlineStr">
        <is>
          <t>Anchor</t>
        </is>
      </c>
      <c r="F185" s="12" t="inlineStr">
        <is>
          <t>Offset</t>
        </is>
      </c>
      <c r="G185" s="12" t="inlineStr">
        <is>
          <t>Months</t>
        </is>
      </c>
      <c r="H185" s="12" t="inlineStr">
        <is>
          <t>Start month</t>
        </is>
      </c>
      <c r="I185" s="12" t="inlineStr">
        <is>
          <t>End month</t>
        </is>
      </c>
    </row>
    <row r="186">
      <c r="A186" s="8" t="inlineStr"/>
      <c r="B186" s="8" t="inlineStr"/>
      <c r="C186" s="8" t="n">
        <v>0</v>
      </c>
      <c r="D186" s="8" t="inlineStr"/>
      <c r="E186" s="8" t="inlineStr"/>
      <c r="F186" s="8" t="n">
        <v>0</v>
      </c>
      <c r="G186" s="8" t="n">
        <v>0</v>
      </c>
      <c r="H186" s="1">
        <f>IF(E186="","",INDEX(anchor_months,MATCH(E186,anchor_names,0))+F186)</f>
        <v/>
      </c>
      <c r="I186" s="1">
        <f>IF(H186="","",H186+G186)</f>
        <v/>
      </c>
    </row>
    <row r="187">
      <c r="A187" s="8" t="inlineStr"/>
      <c r="B187" s="8" t="inlineStr"/>
      <c r="C187" s="8" t="n">
        <v>0</v>
      </c>
      <c r="D187" s="8" t="inlineStr"/>
      <c r="E187" s="8" t="inlineStr"/>
      <c r="F187" s="8" t="n">
        <v>0</v>
      </c>
      <c r="G187" s="8" t="n">
        <v>0</v>
      </c>
      <c r="H187" s="1">
        <f>IF(E187="","",INDEX(anchor_months,MATCH(E187,anchor_names,0))+F187)</f>
        <v/>
      </c>
      <c r="I187" s="1">
        <f>IF(H187="","",H187+G187)</f>
        <v/>
      </c>
    </row>
    <row r="188">
      <c r="A188" s="8" t="inlineStr"/>
      <c r="B188" s="8" t="inlineStr"/>
      <c r="C188" s="8" t="n">
        <v>0</v>
      </c>
      <c r="D188" s="8" t="inlineStr"/>
      <c r="E188" s="8" t="inlineStr"/>
      <c r="F188" s="8" t="n">
        <v>0</v>
      </c>
      <c r="G188" s="8" t="n">
        <v>0</v>
      </c>
      <c r="H188" s="1">
        <f>IF(E188="","",INDEX(anchor_months,MATCH(E188,anchor_names,0))+F188)</f>
        <v/>
      </c>
      <c r="I188" s="1">
        <f>IF(H188="","",H188+G188)</f>
        <v/>
      </c>
    </row>
    <row r="189">
      <c r="A189" s="8" t="inlineStr"/>
      <c r="B189" s="8" t="inlineStr"/>
      <c r="C189" s="8" t="n">
        <v>0</v>
      </c>
      <c r="D189" s="8" t="inlineStr"/>
      <c r="E189" s="8" t="inlineStr"/>
      <c r="F189" s="8" t="n">
        <v>0</v>
      </c>
      <c r="G189" s="8" t="n">
        <v>0</v>
      </c>
      <c r="H189" s="1">
        <f>IF(E189="","",INDEX(anchor_months,MATCH(E189,anchor_names,0))+F189)</f>
        <v/>
      </c>
      <c r="I189" s="1">
        <f>IF(H189="","",H189+G189)</f>
        <v/>
      </c>
    </row>
    <row r="190">
      <c r="A190" s="8" t="inlineStr"/>
      <c r="B190" s="8" t="inlineStr"/>
      <c r="C190" s="8" t="n">
        <v>0</v>
      </c>
      <c r="D190" s="8" t="inlineStr"/>
      <c r="E190" s="8" t="inlineStr"/>
      <c r="F190" s="8" t="n">
        <v>0</v>
      </c>
      <c r="G190" s="8" t="n">
        <v>0</v>
      </c>
      <c r="H190" s="1">
        <f>IF(E190="","",INDEX(anchor_months,MATCH(E190,anchor_names,0))+F190)</f>
        <v/>
      </c>
      <c r="I190" s="1">
        <f>IF(H190="","",H190+G190)</f>
        <v/>
      </c>
    </row>
    <row r="191">
      <c r="A191" s="8" t="inlineStr"/>
      <c r="B191" s="8" t="inlineStr"/>
      <c r="C191" s="8" t="n">
        <v>0</v>
      </c>
      <c r="D191" s="8" t="inlineStr"/>
      <c r="E191" s="8" t="inlineStr"/>
      <c r="F191" s="8" t="n">
        <v>0</v>
      </c>
      <c r="G191" s="8" t="n">
        <v>0</v>
      </c>
      <c r="H191" s="1">
        <f>IF(E191="","",INDEX(anchor_months,MATCH(E191,anchor_names,0))+F191)</f>
        <v/>
      </c>
      <c r="I191" s="1">
        <f>IF(H191="","",H191+G191)</f>
        <v/>
      </c>
    </row>
    <row r="192">
      <c r="A192" s="8" t="inlineStr"/>
      <c r="B192" s="8" t="inlineStr"/>
      <c r="C192" s="8" t="n">
        <v>0</v>
      </c>
      <c r="D192" s="8" t="inlineStr"/>
      <c r="E192" s="8" t="inlineStr"/>
      <c r="F192" s="8" t="n">
        <v>0</v>
      </c>
      <c r="G192" s="8" t="n">
        <v>0</v>
      </c>
      <c r="H192" s="1">
        <f>IF(E192="","",INDEX(anchor_months,MATCH(E192,anchor_names,0))+F192)</f>
        <v/>
      </c>
      <c r="I192" s="1">
        <f>IF(H192="","",H192+G192)</f>
        <v/>
      </c>
    </row>
    <row r="193">
      <c r="A193" s="8" t="inlineStr"/>
      <c r="B193" s="8" t="inlineStr"/>
      <c r="C193" s="8" t="n">
        <v>0</v>
      </c>
      <c r="D193" s="8" t="inlineStr"/>
      <c r="E193" s="8" t="inlineStr"/>
      <c r="F193" s="8" t="n">
        <v>0</v>
      </c>
      <c r="G193" s="8" t="n">
        <v>0</v>
      </c>
      <c r="H193" s="1">
        <f>IF(E193="","",INDEX(anchor_months,MATCH(E193,anchor_names,0))+F193)</f>
        <v/>
      </c>
      <c r="I193" s="1">
        <f>IF(H193="","",H193+G193)</f>
        <v/>
      </c>
    </row>
    <row r="194">
      <c r="A194" s="8" t="inlineStr"/>
      <c r="B194" s="8" t="inlineStr"/>
      <c r="C194" s="8" t="n">
        <v>0</v>
      </c>
      <c r="D194" s="8" t="inlineStr"/>
      <c r="E194" s="8" t="inlineStr"/>
      <c r="F194" s="8" t="n">
        <v>0</v>
      </c>
      <c r="G194" s="8" t="n">
        <v>0</v>
      </c>
      <c r="H194" s="1">
        <f>IF(E194="","",INDEX(anchor_months,MATCH(E194,anchor_names,0))+F194)</f>
        <v/>
      </c>
      <c r="I194" s="1">
        <f>IF(H194="","",H194+G194)</f>
        <v/>
      </c>
    </row>
    <row r="195">
      <c r="A195" s="8" t="inlineStr"/>
      <c r="B195" s="8" t="inlineStr"/>
      <c r="C195" s="8" t="n">
        <v>0</v>
      </c>
      <c r="D195" s="8" t="inlineStr"/>
      <c r="E195" s="8" t="inlineStr"/>
      <c r="F195" s="8" t="n">
        <v>0</v>
      </c>
      <c r="G195" s="8" t="n">
        <v>0</v>
      </c>
      <c r="H195" s="1">
        <f>IF(E195="","",INDEX(anchor_months,MATCH(E195,anchor_names,0))+F195)</f>
        <v/>
      </c>
      <c r="I195" s="1">
        <f>IF(H195="","",H195+G195)</f>
        <v/>
      </c>
    </row>
    <row r="196">
      <c r="A196" s="8" t="inlineStr"/>
      <c r="B196" s="8" t="inlineStr"/>
      <c r="C196" s="8" t="n">
        <v>0</v>
      </c>
      <c r="D196" s="8" t="inlineStr"/>
      <c r="E196" s="8" t="inlineStr"/>
      <c r="F196" s="8" t="n">
        <v>0</v>
      </c>
      <c r="G196" s="8" t="n">
        <v>0</v>
      </c>
      <c r="H196" s="1">
        <f>IF(E196="","",INDEX(anchor_months,MATCH(E196,anchor_names,0))+F196)</f>
        <v/>
      </c>
      <c r="I196" s="1">
        <f>IF(H196="","",H196+G196)</f>
        <v/>
      </c>
    </row>
    <row r="197">
      <c r="A197" s="8" t="inlineStr"/>
      <c r="B197" s="8" t="inlineStr"/>
      <c r="C197" s="8" t="n">
        <v>0</v>
      </c>
      <c r="D197" s="8" t="inlineStr"/>
      <c r="E197" s="8" t="inlineStr"/>
      <c r="F197" s="8" t="n">
        <v>0</v>
      </c>
      <c r="G197" s="8" t="n">
        <v>0</v>
      </c>
      <c r="H197" s="1">
        <f>IF(E197="","",INDEX(anchor_months,MATCH(E197,anchor_names,0))+F197)</f>
        <v/>
      </c>
      <c r="I197" s="1">
        <f>IF(H197="","",H197+G197)</f>
        <v/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1" t="inlineStr">
        <is>
          <t>Legend: blue = input · black = formula · yellow fill = key driver. Percentages are stored as fractions.</t>
        </is>
      </c>
      <c r="B200" s="1" t="n"/>
      <c r="C200" s="1" t="n"/>
      <c r="D200" s="1" t="n"/>
      <c r="E200" s="1" t="n"/>
      <c r="F200" s="1" t="n"/>
      <c r="G200" s="1" t="n"/>
      <c r="H200" s="1" t="n"/>
      <c r="I200" s="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7345E"/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0" customWidth="1" min="3" max="3"/>
    <col width="18" customWidth="1" min="4" max="4"/>
    <col width="16" customWidth="1" min="5" max="5"/>
  </cols>
  <sheetData>
    <row r="1">
      <c r="A1" s="10" t="inlineStr">
        <is>
          <t>Development program</t>
        </is>
      </c>
      <c r="B1" s="1" t="n"/>
      <c r="C1" s="1" t="n"/>
      <c r="D1" s="1" t="n"/>
      <c r="E1" s="1" t="n"/>
      <c r="F1" s="1" t="n"/>
      <c r="G1" s="1" t="n"/>
    </row>
    <row r="2">
      <c r="A2" s="11" t="inlineStr">
        <is>
          <t>Areas, units and legal capacity calculated from the assumptions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7" t="inlineStr">
        <is>
          <t>Land area (m²)</t>
        </is>
      </c>
      <c r="B4" s="34">
        <f>in_site_land_area</f>
        <v/>
      </c>
      <c r="C4" s="1" t="n"/>
      <c r="D4" s="1" t="n"/>
      <c r="E4" s="1" t="n"/>
      <c r="F4" s="1" t="n"/>
      <c r="G4" s="1" t="n"/>
    </row>
    <row r="5">
      <c r="A5" s="7" t="inlineStr">
        <is>
          <t>Maximum site coverage (m²)</t>
        </is>
      </c>
      <c r="B5" s="34">
        <f>D_Land*(1-in_reg_min_open_area_pct)</f>
        <v/>
      </c>
      <c r="C5" s="1" t="n"/>
      <c r="D5" s="1" t="n"/>
      <c r="E5" s="1" t="n"/>
      <c r="F5" s="1" t="n"/>
      <c r="G5" s="1" t="n"/>
    </row>
    <row r="6">
      <c r="A6" s="7" t="inlineStr">
        <is>
          <t>Maximum FAR</t>
        </is>
      </c>
      <c r="B6" s="35">
        <f>IF(in_reg_max_far="",in_reg_max_stories*(1-in_reg_min_open_area_pct),in_reg_max_far)</f>
        <v/>
      </c>
      <c r="C6" s="1" t="n"/>
      <c r="D6" s="1" t="n"/>
      <c r="E6" s="1" t="n"/>
      <c r="F6" s="1" t="n"/>
      <c r="G6" s="1" t="n"/>
    </row>
    <row r="7">
      <c r="A7" s="7" t="inlineStr">
        <is>
          <t>Maximum buildable GBA (capacity, m²)</t>
        </is>
      </c>
      <c r="B7" s="34">
        <f>D_Land*D_MaxFAR</f>
        <v/>
      </c>
      <c r="C7" s="1" t="n"/>
      <c r="D7" s="1" t="n"/>
      <c r="E7" s="1" t="n"/>
      <c r="F7" s="1" t="n"/>
      <c r="G7" s="1" t="n"/>
    </row>
    <row r="8">
      <c r="A8" s="7" t="inlineStr">
        <is>
          <t>Building footprint (m²)</t>
        </is>
      </c>
      <c r="B8" s="34">
        <f>IF(in_dev_footprint="",D_MaxCov,in_dev_footprint)</f>
        <v/>
      </c>
      <c r="C8" s="1" t="n"/>
      <c r="D8" s="1" t="n"/>
      <c r="E8" s="1" t="n"/>
      <c r="F8" s="1" t="n"/>
      <c r="G8" s="1" t="n"/>
    </row>
    <row r="9">
      <c r="A9" s="7" t="inlineStr">
        <is>
          <t>Above-ground GBA (m²)</t>
        </is>
      </c>
      <c r="B9" s="34">
        <f>IF(in_ground_up=1,D_Footprint*in_dev_stories,IF(in_dev_efficiency_pct&gt;0,in_dev_existing_rentable_area/in_dev_efficiency_pct,0))</f>
        <v/>
      </c>
      <c r="C9" s="1" t="n"/>
      <c r="D9" s="1" t="n"/>
      <c r="E9" s="1" t="n"/>
      <c r="F9" s="1" t="n"/>
      <c r="G9" s="1" t="n"/>
    </row>
    <row r="10">
      <c r="A10" s="7" t="inlineStr">
        <is>
          <t>Saleable / leasable area (m²)</t>
        </is>
      </c>
      <c r="B10" s="34">
        <f>IF(in_ground_up=1,MAX(D_GBA-in_dev_amenity_area,0)*in_dev_efficiency_pct,in_dev_existing_rentable_area)</f>
        <v/>
      </c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3" t="inlineStr">
        <is>
          <t>Units by type</t>
        </is>
      </c>
      <c r="B12" s="14" t="n"/>
      <c r="C12" s="14" t="n"/>
      <c r="D12" s="14" t="n"/>
      <c r="E12" s="14" t="n"/>
      <c r="F12" s="14" t="n"/>
      <c r="G12" s="14" t="n"/>
    </row>
    <row r="13">
      <c r="A13" s="12" t="inlineStr">
        <is>
          <t>Type</t>
        </is>
      </c>
      <c r="B13" s="12" t="inlineStr">
        <is>
          <t>Units</t>
        </is>
      </c>
      <c r="C13" s="12" t="inlineStr">
        <is>
          <t>Area (m²)</t>
        </is>
      </c>
      <c r="D13" s="12" t="inlineStr">
        <is>
          <t>Unit price today</t>
        </is>
      </c>
      <c r="E13" s="12" t="inlineStr">
        <is>
          <t>Price per m²</t>
        </is>
      </c>
      <c r="F13" s="1" t="n"/>
      <c r="G13" s="1" t="n"/>
    </row>
    <row r="14">
      <c r="A14" s="1">
        <f>IF(Assumptions!A112="","",Assumptions!A112)</f>
        <v/>
      </c>
      <c r="B14" s="23">
        <f>IF(Assumptions!B112&gt;0,INT(D_Saleable*Assumptions!C112/Assumptions!B112+1E-9),0)</f>
        <v/>
      </c>
      <c r="C14" s="23">
        <f>B14*Assumptions!B112</f>
        <v/>
      </c>
      <c r="D14" s="23">
        <f>Assumptions!B112*P_Eff*(1+Assumptions!E112)*(1+in_rev_floor_view_premium_pct)+Assumptions!D112*P_Eff*in_rev_terrace_value_pct</f>
        <v/>
      </c>
      <c r="E14" s="23">
        <f>IF(Assumptions!B112&gt;0,D14/Assumptions!B112,0)</f>
        <v/>
      </c>
      <c r="F14" s="1" t="n"/>
      <c r="G14" s="1" t="n"/>
    </row>
    <row r="15">
      <c r="A15" s="1">
        <f>IF(Assumptions!A113="","",Assumptions!A113)</f>
        <v/>
      </c>
      <c r="B15" s="23">
        <f>IF(Assumptions!B113&gt;0,INT(D_Saleable*Assumptions!C113/Assumptions!B113+1E-9),0)</f>
        <v/>
      </c>
      <c r="C15" s="23">
        <f>B15*Assumptions!B113</f>
        <v/>
      </c>
      <c r="D15" s="23">
        <f>Assumptions!B113*P_Eff*(1+Assumptions!E113)*(1+in_rev_floor_view_premium_pct)+Assumptions!D113*P_Eff*in_rev_terrace_value_pct</f>
        <v/>
      </c>
      <c r="E15" s="23">
        <f>IF(Assumptions!B113&gt;0,D15/Assumptions!B113,0)</f>
        <v/>
      </c>
      <c r="F15" s="1" t="n"/>
      <c r="G15" s="1" t="n"/>
    </row>
    <row r="16">
      <c r="A16" s="1">
        <f>IF(Assumptions!A114="","",Assumptions!A114)</f>
        <v/>
      </c>
      <c r="B16" s="23">
        <f>IF(Assumptions!B114&gt;0,INT(D_Saleable*Assumptions!C114/Assumptions!B114+1E-9),0)</f>
        <v/>
      </c>
      <c r="C16" s="23">
        <f>B16*Assumptions!B114</f>
        <v/>
      </c>
      <c r="D16" s="23">
        <f>Assumptions!B114*P_Eff*(1+Assumptions!E114)*(1+in_rev_floor_view_premium_pct)+Assumptions!D114*P_Eff*in_rev_terrace_value_pct</f>
        <v/>
      </c>
      <c r="E16" s="23">
        <f>IF(Assumptions!B114&gt;0,D16/Assumptions!B114,0)</f>
        <v/>
      </c>
      <c r="F16" s="1" t="n"/>
      <c r="G16" s="1" t="n"/>
    </row>
    <row r="17">
      <c r="A17" s="1">
        <f>IF(Assumptions!A115="","",Assumptions!A115)</f>
        <v/>
      </c>
      <c r="B17" s="23">
        <f>IF(Assumptions!B115&gt;0,INT(D_Saleable*Assumptions!C115/Assumptions!B115+1E-9),0)</f>
        <v/>
      </c>
      <c r="C17" s="23">
        <f>B17*Assumptions!B115</f>
        <v/>
      </c>
      <c r="D17" s="23">
        <f>Assumptions!B115*P_Eff*(1+Assumptions!E115)*(1+in_rev_floor_view_premium_pct)+Assumptions!D115*P_Eff*in_rev_terrace_value_pct</f>
        <v/>
      </c>
      <c r="E17" s="23">
        <f>IF(Assumptions!B115&gt;0,D17/Assumptions!B115,0)</f>
        <v/>
      </c>
      <c r="F17" s="1" t="n"/>
      <c r="G17" s="1" t="n"/>
    </row>
    <row r="18">
      <c r="A18" s="1">
        <f>IF(Assumptions!A116="","",Assumptions!A116)</f>
        <v/>
      </c>
      <c r="B18" s="23">
        <f>IF(Assumptions!B116&gt;0,INT(D_Saleable*Assumptions!C116/Assumptions!B116+1E-9),0)</f>
        <v/>
      </c>
      <c r="C18" s="23">
        <f>B18*Assumptions!B116</f>
        <v/>
      </c>
      <c r="D18" s="23">
        <f>Assumptions!B116*P_Eff*(1+Assumptions!E116)*(1+in_rev_floor_view_premium_pct)+Assumptions!D116*P_Eff*in_rev_terrace_value_pct</f>
        <v/>
      </c>
      <c r="E18" s="23">
        <f>IF(Assumptions!B116&gt;0,D18/Assumptions!B116,0)</f>
        <v/>
      </c>
      <c r="F18" s="1" t="n"/>
      <c r="G18" s="1" t="n"/>
    </row>
    <row r="19">
      <c r="A19" s="1">
        <f>IF(Assumptions!A117="","",Assumptions!A117)</f>
        <v/>
      </c>
      <c r="B19" s="23">
        <f>IF(Assumptions!B117&gt;0,INT(D_Saleable*Assumptions!C117/Assumptions!B117+1E-9),0)</f>
        <v/>
      </c>
      <c r="C19" s="23">
        <f>B19*Assumptions!B117</f>
        <v/>
      </c>
      <c r="D19" s="23">
        <f>Assumptions!B117*P_Eff*(1+Assumptions!E117)*(1+in_rev_floor_view_premium_pct)+Assumptions!D117*P_Eff*in_rev_terrace_value_pct</f>
        <v/>
      </c>
      <c r="E19" s="23">
        <f>IF(Assumptions!B117&gt;0,D19/Assumptions!B117,0)</f>
        <v/>
      </c>
      <c r="F19" s="1" t="n"/>
      <c r="G19" s="1" t="n"/>
    </row>
    <row r="20">
      <c r="A20" s="1">
        <f>IF(Assumptions!A118="","",Assumptions!A118)</f>
        <v/>
      </c>
      <c r="B20" s="23">
        <f>IF(Assumptions!B118&gt;0,INT(D_Saleable*Assumptions!C118/Assumptions!B118+1E-9),0)</f>
        <v/>
      </c>
      <c r="C20" s="23">
        <f>B20*Assumptions!B118</f>
        <v/>
      </c>
      <c r="D20" s="23">
        <f>Assumptions!B118*P_Eff*(1+Assumptions!E118)*(1+in_rev_floor_view_premium_pct)+Assumptions!D118*P_Eff*in_rev_terrace_value_pct</f>
        <v/>
      </c>
      <c r="E20" s="23">
        <f>IF(Assumptions!B118&gt;0,D20/Assumptions!B118,0)</f>
        <v/>
      </c>
      <c r="F20" s="1" t="n"/>
      <c r="G20" s="1" t="n"/>
    </row>
    <row r="21">
      <c r="A21" s="1">
        <f>IF(Assumptions!A119="","",Assumptions!A119)</f>
        <v/>
      </c>
      <c r="B21" s="23">
        <f>IF(Assumptions!B119&gt;0,INT(D_Saleable*Assumptions!C119/Assumptions!B119+1E-9),0)</f>
        <v/>
      </c>
      <c r="C21" s="23">
        <f>B21*Assumptions!B119</f>
        <v/>
      </c>
      <c r="D21" s="23">
        <f>Assumptions!B119*P_Eff*(1+Assumptions!E119)*(1+in_rev_floor_view_premium_pct)+Assumptions!D119*P_Eff*in_rev_terrace_value_pct</f>
        <v/>
      </c>
      <c r="E21" s="23">
        <f>IF(Assumptions!B119&gt;0,D21/Assumptions!B119,0)</f>
        <v/>
      </c>
      <c r="F21" s="1" t="n"/>
      <c r="G21" s="1" t="n"/>
    </row>
    <row r="22">
      <c r="A22" s="4" t="inlineStr">
        <is>
          <t>Total</t>
        </is>
      </c>
      <c r="B22" s="23">
        <f>SUM(B14:B21)</f>
        <v/>
      </c>
      <c r="C22" s="23">
        <f>SUM(C14:C21)</f>
        <v/>
      </c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7" t="inlineStr">
        <is>
          <t>Effective base price per m² (incl. green premium and user price variables)</t>
        </is>
      </c>
      <c r="B24" s="34">
        <f>IF(in_mode_sale=1,in_rev_price_per_area,0)*(1+in_green_sale_prem)*CV_PriceMult</f>
        <v/>
      </c>
      <c r="C24" s="1" t="n"/>
      <c r="D24" s="1" t="n"/>
      <c r="E24" s="1" t="n"/>
      <c r="F24" s="1" t="n"/>
      <c r="G24" s="1" t="n"/>
    </row>
    <row r="25">
      <c r="A25" s="7" t="inlineStr">
        <is>
          <t>Price multiplier from user-defined variables</t>
        </is>
      </c>
      <c r="B25" s="36">
        <f>EXP(SUMPRODUCT((cv_effect="price_pct")*LN(1+cv_value)))</f>
        <v/>
      </c>
      <c r="C25" s="1" t="n"/>
      <c r="D25" s="1" t="n"/>
      <c r="E25" s="1" t="n"/>
      <c r="F25" s="1" t="n"/>
      <c r="G25" s="1" t="n"/>
    </row>
    <row r="26">
      <c r="A26" s="7" t="inlineStr">
        <is>
          <t>Average unit price today</t>
        </is>
      </c>
      <c r="B26" s="34">
        <f>IF(D_Units&gt;0,SUMPRODUCT(D_UnitsRange,D_PriceRange)/D_Units,0)</f>
        <v/>
      </c>
      <c r="C26" s="1" t="n"/>
      <c r="D26" s="1" t="n"/>
      <c r="E26" s="1" t="n"/>
      <c r="F26" s="1" t="n"/>
      <c r="G26" s="1" t="n"/>
    </row>
    <row r="27">
      <c r="A27" s="7" t="inlineStr">
        <is>
          <t>Terrace area (m²)</t>
        </is>
      </c>
      <c r="B27" s="34">
        <f>SUMPRODUCT(B14:B21,Assumptions!D112:D119)</f>
        <v/>
      </c>
      <c r="C27" s="1" t="n"/>
      <c r="D27" s="1" t="n"/>
      <c r="E27" s="1" t="n"/>
      <c r="F27" s="1" t="n"/>
      <c r="G27" s="1" t="n"/>
    </row>
    <row r="28">
      <c r="A28" s="7" t="inlineStr">
        <is>
          <t>Parking spaces</t>
        </is>
      </c>
      <c r="B28" s="34">
        <f>IF(in_dev_parking_spaces="",IF(in_reg_parking_min_per_unit="",0,ROUNDUP(in_reg_parking_min_per_unit*D_Units,0)),in_dev_parking_spaces)</f>
        <v/>
      </c>
      <c r="C28" s="1" t="n"/>
      <c r="D28" s="1" t="n"/>
      <c r="E28" s="1" t="n"/>
      <c r="F28" s="1" t="n"/>
      <c r="G28" s="1" t="n"/>
    </row>
    <row r="29">
      <c r="A29" s="7" t="inlineStr">
        <is>
          <t>Below-grade area (m²)</t>
        </is>
      </c>
      <c r="B29" s="34">
        <f>IF(in_ground_up=1,D_Parking*in_dev_parking_area_per_space,0)</f>
        <v/>
      </c>
      <c r="C29" s="1" t="n"/>
      <c r="D29" s="1" t="n"/>
      <c r="E29" s="1" t="n"/>
      <c r="F29" s="1" t="n"/>
      <c r="G29" s="1" t="n"/>
    </row>
    <row r="30">
      <c r="A30" s="7" t="inlineStr">
        <is>
          <t>Underground levels needed</t>
        </is>
      </c>
      <c r="B30" s="34">
        <f>IF(AND(D_Land&gt;0,D_Below&gt;0),ROUNDUP(D_Below/(D_Land*0.95),0),0)</f>
        <v/>
      </c>
      <c r="C30" s="1" t="n"/>
      <c r="D30" s="1" t="n"/>
      <c r="E30" s="1" t="n"/>
      <c r="F30" s="1" t="n"/>
      <c r="G30" s="1" t="n"/>
    </row>
    <row r="31">
      <c r="A31" s="7" t="inlineStr">
        <is>
          <t>Density limit (max dwellings)</t>
        </is>
      </c>
      <c r="B31" s="34">
        <f>IF(in_reg_min_land_per_unit="","No limit entered",INT(D_Land/in_reg_min_land_per_unit))</f>
        <v/>
      </c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3" t="inlineStr">
        <is>
          <t>Compliance checks (TRUE = within the legal limit)</t>
        </is>
      </c>
      <c r="B33" s="14" t="n"/>
      <c r="C33" s="14" t="n"/>
      <c r="D33" s="1" t="n"/>
      <c r="E33" s="1" t="n"/>
      <c r="F33" s="1" t="n"/>
      <c r="G33" s="1" t="n"/>
    </row>
    <row r="34">
      <c r="A34" s="7" t="inlineStr">
        <is>
          <t>Stories ≤ maximum stories</t>
        </is>
      </c>
      <c r="B34" s="7">
        <f>IF(in_reg_max_stories="",TRUE,in_dev_stories&lt;=in_reg_max_stories)</f>
        <v/>
      </c>
      <c r="C34" s="1" t="n"/>
      <c r="D34" s="1" t="n"/>
      <c r="E34" s="1" t="n"/>
      <c r="F34" s="1" t="n"/>
      <c r="G34" s="1" t="n"/>
    </row>
    <row r="35">
      <c r="A35" s="7" t="inlineStr">
        <is>
          <t>GBA ≤ FAR capacity</t>
        </is>
      </c>
      <c r="B35" s="7">
        <f>D_GBA&lt;=D_Capacity*1.0001</f>
        <v/>
      </c>
      <c r="C35" s="1" t="n"/>
      <c r="D35" s="1" t="n"/>
      <c r="E35" s="1" t="n"/>
      <c r="F35" s="1" t="n"/>
      <c r="G35" s="1" t="n"/>
    </row>
    <row r="36">
      <c r="A36" s="7" t="inlineStr">
        <is>
          <t>Units ≤ density limit</t>
        </is>
      </c>
      <c r="B36" s="7">
        <f>IF(ISNUMBER(D_MaxUnits),D_Units&lt;=D_MaxUnits,TRUE)</f>
        <v/>
      </c>
      <c r="C36" s="1" t="n"/>
      <c r="D36" s="1" t="n"/>
      <c r="E36" s="1" t="n"/>
      <c r="F36" s="1" t="n"/>
      <c r="G36" s="1" t="n"/>
    </row>
    <row r="37">
      <c r="A37" s="7" t="inlineStr">
        <is>
          <t>Underground levels ≤ maximum</t>
        </is>
      </c>
      <c r="B37" s="7">
        <f>IF(in_reg_max_underground_levels="",TRUE,in_dev_levels_below&lt;=in_reg_max_underground_levels)</f>
        <v/>
      </c>
      <c r="C37" s="1" t="n"/>
      <c r="D37" s="1" t="n"/>
      <c r="E37" s="1" t="n"/>
      <c r="F37" s="1" t="n"/>
      <c r="G3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345E"/>
    <outlinePr summaryBelow="1" summaryRight="1"/>
    <pageSetUpPr/>
  </sheetPr>
  <dimension ref="A1:CU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</cols>
  <sheetData>
    <row r="1">
      <c r="A1" s="10" t="inlineStr">
        <is>
          <t>Construction &amp; development cost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11" t="inlineStr">
        <is>
          <t>Monthly, MXN. Month 0 = land closing; construction follows pre-development.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</row>
    <row r="4">
      <c r="A4" s="12" t="inlineStr">
        <is>
          <t>Month</t>
        </is>
      </c>
      <c r="B4" s="12" t="inlineStr">
        <is>
          <t>Total</t>
        </is>
      </c>
      <c r="C4" s="12" t="inlineStr">
        <is>
          <t>Unit / note</t>
        </is>
      </c>
      <c r="D4" s="24" t="n">
        <v>0</v>
      </c>
      <c r="E4" s="24">
        <f>D4+1</f>
        <v/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>
        <f>L4+1</f>
        <v/>
      </c>
      <c r="N4" s="24">
        <f>M4+1</f>
        <v/>
      </c>
      <c r="O4" s="24">
        <f>N4+1</f>
        <v/>
      </c>
      <c r="P4" s="24">
        <f>O4+1</f>
        <v/>
      </c>
      <c r="Q4" s="24">
        <f>P4+1</f>
        <v/>
      </c>
      <c r="R4" s="24">
        <f>Q4+1</f>
        <v/>
      </c>
      <c r="S4" s="24">
        <f>R4+1</f>
        <v/>
      </c>
      <c r="T4" s="24">
        <f>S4+1</f>
        <v/>
      </c>
      <c r="U4" s="24">
        <f>T4+1</f>
        <v/>
      </c>
      <c r="V4" s="24">
        <f>U4+1</f>
        <v/>
      </c>
      <c r="W4" s="24">
        <f>V4+1</f>
        <v/>
      </c>
      <c r="X4" s="24">
        <f>W4+1</f>
        <v/>
      </c>
      <c r="Y4" s="24">
        <f>X4+1</f>
        <v/>
      </c>
      <c r="Z4" s="24">
        <f>Y4+1</f>
        <v/>
      </c>
      <c r="AA4" s="24">
        <f>Z4+1</f>
        <v/>
      </c>
      <c r="AB4" s="24">
        <f>AA4+1</f>
        <v/>
      </c>
      <c r="AC4" s="24">
        <f>AB4+1</f>
        <v/>
      </c>
      <c r="AD4" s="24">
        <f>AC4+1</f>
        <v/>
      </c>
      <c r="AE4" s="24">
        <f>AD4+1</f>
        <v/>
      </c>
      <c r="AF4" s="24">
        <f>AE4+1</f>
        <v/>
      </c>
      <c r="AG4" s="24">
        <f>AF4+1</f>
        <v/>
      </c>
      <c r="AH4" s="24">
        <f>AG4+1</f>
        <v/>
      </c>
      <c r="AI4" s="24">
        <f>AH4+1</f>
        <v/>
      </c>
      <c r="AJ4" s="24">
        <f>AI4+1</f>
        <v/>
      </c>
      <c r="AK4" s="24">
        <f>AJ4+1</f>
        <v/>
      </c>
      <c r="AL4" s="24">
        <f>AK4+1</f>
        <v/>
      </c>
      <c r="AM4" s="24">
        <f>AL4+1</f>
        <v/>
      </c>
      <c r="AN4" s="24">
        <f>AM4+1</f>
        <v/>
      </c>
      <c r="AO4" s="24">
        <f>AN4+1</f>
        <v/>
      </c>
      <c r="AP4" s="24">
        <f>AO4+1</f>
        <v/>
      </c>
      <c r="AQ4" s="24">
        <f>AP4+1</f>
        <v/>
      </c>
      <c r="AR4" s="24">
        <f>AQ4+1</f>
        <v/>
      </c>
      <c r="AS4" s="24">
        <f>AR4+1</f>
        <v/>
      </c>
      <c r="AT4" s="24">
        <f>AS4+1</f>
        <v/>
      </c>
      <c r="AU4" s="24">
        <f>AT4+1</f>
        <v/>
      </c>
      <c r="AV4" s="24">
        <f>AU4+1</f>
        <v/>
      </c>
      <c r="AW4" s="24">
        <f>AV4+1</f>
        <v/>
      </c>
      <c r="AX4" s="24">
        <f>AW4+1</f>
        <v/>
      </c>
      <c r="AY4" s="24">
        <f>AX4+1</f>
        <v/>
      </c>
      <c r="AZ4" s="24">
        <f>AY4+1</f>
        <v/>
      </c>
      <c r="BA4" s="24">
        <f>AZ4+1</f>
        <v/>
      </c>
      <c r="BB4" s="24">
        <f>BA4+1</f>
        <v/>
      </c>
      <c r="BC4" s="24">
        <f>BB4+1</f>
        <v/>
      </c>
      <c r="BD4" s="24">
        <f>BC4+1</f>
        <v/>
      </c>
      <c r="BE4" s="24">
        <f>BD4+1</f>
        <v/>
      </c>
      <c r="BF4" s="24">
        <f>BE4+1</f>
        <v/>
      </c>
      <c r="BG4" s="24">
        <f>BF4+1</f>
        <v/>
      </c>
      <c r="BH4" s="24">
        <f>BG4+1</f>
        <v/>
      </c>
      <c r="BI4" s="24">
        <f>BH4+1</f>
        <v/>
      </c>
      <c r="BJ4" s="24">
        <f>BI4+1</f>
        <v/>
      </c>
      <c r="BK4" s="24">
        <f>BJ4+1</f>
        <v/>
      </c>
      <c r="BL4" s="24">
        <f>BK4+1</f>
        <v/>
      </c>
      <c r="BM4" s="24">
        <f>BL4+1</f>
        <v/>
      </c>
      <c r="BN4" s="24">
        <f>BM4+1</f>
        <v/>
      </c>
      <c r="BO4" s="24">
        <f>BN4+1</f>
        <v/>
      </c>
      <c r="BP4" s="24">
        <f>BO4+1</f>
        <v/>
      </c>
      <c r="BQ4" s="24">
        <f>BP4+1</f>
        <v/>
      </c>
      <c r="BR4" s="24">
        <f>BQ4+1</f>
        <v/>
      </c>
      <c r="BS4" s="24">
        <f>BR4+1</f>
        <v/>
      </c>
      <c r="BT4" s="24">
        <f>BS4+1</f>
        <v/>
      </c>
      <c r="BU4" s="24">
        <f>BT4+1</f>
        <v/>
      </c>
      <c r="BV4" s="24">
        <f>BU4+1</f>
        <v/>
      </c>
      <c r="BW4" s="24">
        <f>BV4+1</f>
        <v/>
      </c>
      <c r="BX4" s="24">
        <f>BW4+1</f>
        <v/>
      </c>
      <c r="BY4" s="24">
        <f>BX4+1</f>
        <v/>
      </c>
      <c r="BZ4" s="24">
        <f>BY4+1</f>
        <v/>
      </c>
      <c r="CA4" s="24">
        <f>BZ4+1</f>
        <v/>
      </c>
      <c r="CB4" s="24">
        <f>CA4+1</f>
        <v/>
      </c>
      <c r="CC4" s="24">
        <f>CB4+1</f>
        <v/>
      </c>
      <c r="CD4" s="24">
        <f>CC4+1</f>
        <v/>
      </c>
      <c r="CE4" s="24">
        <f>CD4+1</f>
        <v/>
      </c>
      <c r="CF4" s="24">
        <f>CE4+1</f>
        <v/>
      </c>
      <c r="CG4" s="24">
        <f>CF4+1</f>
        <v/>
      </c>
      <c r="CH4" s="24">
        <f>CG4+1</f>
        <v/>
      </c>
      <c r="CI4" s="24">
        <f>CH4+1</f>
        <v/>
      </c>
      <c r="CJ4" s="24">
        <f>CI4+1</f>
        <v/>
      </c>
      <c r="CK4" s="24">
        <f>CJ4+1</f>
        <v/>
      </c>
      <c r="CL4" s="24">
        <f>CK4+1</f>
        <v/>
      </c>
      <c r="CM4" s="24">
        <f>CL4+1</f>
        <v/>
      </c>
      <c r="CN4" s="24">
        <f>CM4+1</f>
        <v/>
      </c>
      <c r="CO4" s="24">
        <f>CN4+1</f>
        <v/>
      </c>
      <c r="CP4" s="24">
        <f>CO4+1</f>
        <v/>
      </c>
      <c r="CQ4" s="24">
        <f>CP4+1</f>
        <v/>
      </c>
      <c r="CR4" s="24">
        <f>CQ4+1</f>
        <v/>
      </c>
      <c r="CS4" s="24">
        <f>CR4+1</f>
        <v/>
      </c>
      <c r="CT4" s="24">
        <f>CS4+1</f>
        <v/>
      </c>
      <c r="CU4" s="24">
        <f>CT4+1</f>
        <v/>
      </c>
    </row>
    <row r="5">
      <c r="A5" s="7" t="inlineStr">
        <is>
          <t>Pre-development months</t>
        </is>
      </c>
      <c r="B5" s="34">
        <f>IF(in_ground_up=1,IF(in_sch_predev_months="",0,in_sch_predev_months),IF(in_sch_predev_months="",0,in_sch_predev_months))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>
      <c r="A6" s="7" t="inlineStr">
        <is>
          <t>Construction months</t>
        </is>
      </c>
      <c r="B6" s="34">
        <f>IF(in_sch_construction_months="",0,in_sch_construction_months)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</row>
    <row r="7">
      <c r="A7" s="7" t="inlineStr">
        <is>
          <t>Construction start month</t>
        </is>
      </c>
      <c r="B7" s="34">
        <f>T_Predev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</row>
    <row r="8">
      <c r="A8" s="7" t="inlineStr">
        <is>
          <t>Delivery month</t>
        </is>
      </c>
      <c r="B8" s="34">
        <f>T_Predev+T_Con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</row>
    <row r="9">
      <c r="A9" s="7" t="inlineStr">
        <is>
          <t>Above-ground hard cost (today's prices)</t>
        </is>
      </c>
      <c r="B9" s="34">
        <f>IF(in_ground_up=1,D_GBA*in_cost_hard_per_area,IF(in_cost_renovation_budget="",0,in_cost_renovation_budget))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s="7" t="inlineStr">
        <is>
          <t>Below-grade hard cost</t>
        </is>
      </c>
      <c r="B10" s="34">
        <f>IF(in_ground_up=1,D_Below*IF(in_cost_below_grade_per_area="",0,in_cost_below_grade_per_area),0)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</row>
    <row r="11">
      <c r="A11" s="7" t="inlineStr">
        <is>
          <t>Fixed site costs (demolition + infrastructure)</t>
        </is>
      </c>
      <c r="B11" s="34">
        <f>N(in_cost_demolition)+N(in_cost_infrastructure_fees)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s="7" t="inlineStr">
        <is>
          <t>Hard-cost base for % fees</t>
        </is>
      </c>
      <c r="B12" s="34">
        <f>C_HardAbove+C_HardBelow+C_FixedSite+in_green_capex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</row>
    <row r="13">
      <c r="A13" s="7" t="inlineStr">
        <is>
          <t>Soft costs (design + permits + PM + other)</t>
        </is>
      </c>
      <c r="B13" s="34">
        <f>C_HardBase*(in_cost_design_pct+in_cost_permits_pct+in_cost_pm_supervision_pct+in_cost_insurance_other_pct)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</row>
    <row r="14">
      <c r="A14" s="7" t="inlineStr">
        <is>
          <t>Contingency</t>
        </is>
      </c>
      <c r="B14" s="34">
        <f>(C_HardBase+C_Soft)*in_cost_contingency_pct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</row>
    <row r="15">
      <c r="A15" s="7" t="inlineStr">
        <is>
          <t>Developer fee</t>
        </is>
      </c>
      <c r="B15" s="34">
        <f>(C_HardBase+C_Soft)*in_cost_developer_fee_pct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</row>
    <row r="16">
      <c r="A16" s="7" t="inlineStr">
        <is>
          <t>User-defined costs spread over construction</t>
        </is>
      </c>
      <c r="B16" s="34">
        <f>SUMPRODUCT((cv_effect="cost_fixed")*(cv_timing="construction")*cv_value)+SUMPRODUCT((cv_effect="cost_per_area")*cv_value)*D_GBA+SUMPRODUCT((cv_effect="cost_per_unit")*cv_value)*D_Units+SUMPRODUCT((cv_effect="cost_pct_hard")*cv_value)*C_HardBase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</row>
    <row r="19">
      <c r="A19" s="7" t="inlineStr">
        <is>
          <t>Pre-development month (flag)</t>
        </is>
      </c>
      <c r="B19" s="1" t="n"/>
      <c r="C19" s="11" t="inlineStr"/>
      <c r="D19" s="34">
        <f>IF(AND(D$4&gt;=1,D$4&lt;=T_Predev),1,0)</f>
        <v/>
      </c>
      <c r="E19" s="34">
        <f>IF(AND(E$4&gt;=1,E$4&lt;=T_Predev),1,0)</f>
        <v/>
      </c>
      <c r="F19" s="34">
        <f>IF(AND(F$4&gt;=1,F$4&lt;=T_Predev),1,0)</f>
        <v/>
      </c>
      <c r="G19" s="34">
        <f>IF(AND(G$4&gt;=1,G$4&lt;=T_Predev),1,0)</f>
        <v/>
      </c>
      <c r="H19" s="34">
        <f>IF(AND(H$4&gt;=1,H$4&lt;=T_Predev),1,0)</f>
        <v/>
      </c>
      <c r="I19" s="34">
        <f>IF(AND(I$4&gt;=1,I$4&lt;=T_Predev),1,0)</f>
        <v/>
      </c>
      <c r="J19" s="34">
        <f>IF(AND(J$4&gt;=1,J$4&lt;=T_Predev),1,0)</f>
        <v/>
      </c>
      <c r="K19" s="34">
        <f>IF(AND(K$4&gt;=1,K$4&lt;=T_Predev),1,0)</f>
        <v/>
      </c>
      <c r="L19" s="34">
        <f>IF(AND(L$4&gt;=1,L$4&lt;=T_Predev),1,0)</f>
        <v/>
      </c>
      <c r="M19" s="34">
        <f>IF(AND(M$4&gt;=1,M$4&lt;=T_Predev),1,0)</f>
        <v/>
      </c>
      <c r="N19" s="34">
        <f>IF(AND(N$4&gt;=1,N$4&lt;=T_Predev),1,0)</f>
        <v/>
      </c>
      <c r="O19" s="34">
        <f>IF(AND(O$4&gt;=1,O$4&lt;=T_Predev),1,0)</f>
        <v/>
      </c>
      <c r="P19" s="34">
        <f>IF(AND(P$4&gt;=1,P$4&lt;=T_Predev),1,0)</f>
        <v/>
      </c>
      <c r="Q19" s="34">
        <f>IF(AND(Q$4&gt;=1,Q$4&lt;=T_Predev),1,0)</f>
        <v/>
      </c>
      <c r="R19" s="34">
        <f>IF(AND(R$4&gt;=1,R$4&lt;=T_Predev),1,0)</f>
        <v/>
      </c>
      <c r="S19" s="34">
        <f>IF(AND(S$4&gt;=1,S$4&lt;=T_Predev),1,0)</f>
        <v/>
      </c>
      <c r="T19" s="34">
        <f>IF(AND(T$4&gt;=1,T$4&lt;=T_Predev),1,0)</f>
        <v/>
      </c>
      <c r="U19" s="34">
        <f>IF(AND(U$4&gt;=1,U$4&lt;=T_Predev),1,0)</f>
        <v/>
      </c>
      <c r="V19" s="34">
        <f>IF(AND(V$4&gt;=1,V$4&lt;=T_Predev),1,0)</f>
        <v/>
      </c>
      <c r="W19" s="34">
        <f>IF(AND(W$4&gt;=1,W$4&lt;=T_Predev),1,0)</f>
        <v/>
      </c>
      <c r="X19" s="34">
        <f>IF(AND(X$4&gt;=1,X$4&lt;=T_Predev),1,0)</f>
        <v/>
      </c>
      <c r="Y19" s="34">
        <f>IF(AND(Y$4&gt;=1,Y$4&lt;=T_Predev),1,0)</f>
        <v/>
      </c>
      <c r="Z19" s="34">
        <f>IF(AND(Z$4&gt;=1,Z$4&lt;=T_Predev),1,0)</f>
        <v/>
      </c>
      <c r="AA19" s="34">
        <f>IF(AND(AA$4&gt;=1,AA$4&lt;=T_Predev),1,0)</f>
        <v/>
      </c>
      <c r="AB19" s="34">
        <f>IF(AND(AB$4&gt;=1,AB$4&lt;=T_Predev),1,0)</f>
        <v/>
      </c>
      <c r="AC19" s="34">
        <f>IF(AND(AC$4&gt;=1,AC$4&lt;=T_Predev),1,0)</f>
        <v/>
      </c>
      <c r="AD19" s="34">
        <f>IF(AND(AD$4&gt;=1,AD$4&lt;=T_Predev),1,0)</f>
        <v/>
      </c>
      <c r="AE19" s="34">
        <f>IF(AND(AE$4&gt;=1,AE$4&lt;=T_Predev),1,0)</f>
        <v/>
      </c>
      <c r="AF19" s="34">
        <f>IF(AND(AF$4&gt;=1,AF$4&lt;=T_Predev),1,0)</f>
        <v/>
      </c>
      <c r="AG19" s="34">
        <f>IF(AND(AG$4&gt;=1,AG$4&lt;=T_Predev),1,0)</f>
        <v/>
      </c>
      <c r="AH19" s="34">
        <f>IF(AND(AH$4&gt;=1,AH$4&lt;=T_Predev),1,0)</f>
        <v/>
      </c>
      <c r="AI19" s="34">
        <f>IF(AND(AI$4&gt;=1,AI$4&lt;=T_Predev),1,0)</f>
        <v/>
      </c>
      <c r="AJ19" s="34">
        <f>IF(AND(AJ$4&gt;=1,AJ$4&lt;=T_Predev),1,0)</f>
        <v/>
      </c>
      <c r="AK19" s="34">
        <f>IF(AND(AK$4&gt;=1,AK$4&lt;=T_Predev),1,0)</f>
        <v/>
      </c>
      <c r="AL19" s="34">
        <f>IF(AND(AL$4&gt;=1,AL$4&lt;=T_Predev),1,0)</f>
        <v/>
      </c>
      <c r="AM19" s="34">
        <f>IF(AND(AM$4&gt;=1,AM$4&lt;=T_Predev),1,0)</f>
        <v/>
      </c>
      <c r="AN19" s="34">
        <f>IF(AND(AN$4&gt;=1,AN$4&lt;=T_Predev),1,0)</f>
        <v/>
      </c>
      <c r="AO19" s="34">
        <f>IF(AND(AO$4&gt;=1,AO$4&lt;=T_Predev),1,0)</f>
        <v/>
      </c>
      <c r="AP19" s="34">
        <f>IF(AND(AP$4&gt;=1,AP$4&lt;=T_Predev),1,0)</f>
        <v/>
      </c>
      <c r="AQ19" s="34">
        <f>IF(AND(AQ$4&gt;=1,AQ$4&lt;=T_Predev),1,0)</f>
        <v/>
      </c>
      <c r="AR19" s="34">
        <f>IF(AND(AR$4&gt;=1,AR$4&lt;=T_Predev),1,0)</f>
        <v/>
      </c>
      <c r="AS19" s="34">
        <f>IF(AND(AS$4&gt;=1,AS$4&lt;=T_Predev),1,0)</f>
        <v/>
      </c>
      <c r="AT19" s="34">
        <f>IF(AND(AT$4&gt;=1,AT$4&lt;=T_Predev),1,0)</f>
        <v/>
      </c>
      <c r="AU19" s="34">
        <f>IF(AND(AU$4&gt;=1,AU$4&lt;=T_Predev),1,0)</f>
        <v/>
      </c>
      <c r="AV19" s="34">
        <f>IF(AND(AV$4&gt;=1,AV$4&lt;=T_Predev),1,0)</f>
        <v/>
      </c>
      <c r="AW19" s="34">
        <f>IF(AND(AW$4&gt;=1,AW$4&lt;=T_Predev),1,0)</f>
        <v/>
      </c>
      <c r="AX19" s="34">
        <f>IF(AND(AX$4&gt;=1,AX$4&lt;=T_Predev),1,0)</f>
        <v/>
      </c>
      <c r="AY19" s="34">
        <f>IF(AND(AY$4&gt;=1,AY$4&lt;=T_Predev),1,0)</f>
        <v/>
      </c>
      <c r="AZ19" s="34">
        <f>IF(AND(AZ$4&gt;=1,AZ$4&lt;=T_Predev),1,0)</f>
        <v/>
      </c>
      <c r="BA19" s="34">
        <f>IF(AND(BA$4&gt;=1,BA$4&lt;=T_Predev),1,0)</f>
        <v/>
      </c>
      <c r="BB19" s="34">
        <f>IF(AND(BB$4&gt;=1,BB$4&lt;=T_Predev),1,0)</f>
        <v/>
      </c>
      <c r="BC19" s="34">
        <f>IF(AND(BC$4&gt;=1,BC$4&lt;=T_Predev),1,0)</f>
        <v/>
      </c>
      <c r="BD19" s="34">
        <f>IF(AND(BD$4&gt;=1,BD$4&lt;=T_Predev),1,0)</f>
        <v/>
      </c>
      <c r="BE19" s="34">
        <f>IF(AND(BE$4&gt;=1,BE$4&lt;=T_Predev),1,0)</f>
        <v/>
      </c>
      <c r="BF19" s="34">
        <f>IF(AND(BF$4&gt;=1,BF$4&lt;=T_Predev),1,0)</f>
        <v/>
      </c>
      <c r="BG19" s="34">
        <f>IF(AND(BG$4&gt;=1,BG$4&lt;=T_Predev),1,0)</f>
        <v/>
      </c>
      <c r="BH19" s="34">
        <f>IF(AND(BH$4&gt;=1,BH$4&lt;=T_Predev),1,0)</f>
        <v/>
      </c>
      <c r="BI19" s="34">
        <f>IF(AND(BI$4&gt;=1,BI$4&lt;=T_Predev),1,0)</f>
        <v/>
      </c>
      <c r="BJ19" s="34">
        <f>IF(AND(BJ$4&gt;=1,BJ$4&lt;=T_Predev),1,0)</f>
        <v/>
      </c>
      <c r="BK19" s="34">
        <f>IF(AND(BK$4&gt;=1,BK$4&lt;=T_Predev),1,0)</f>
        <v/>
      </c>
      <c r="BL19" s="34">
        <f>IF(AND(BL$4&gt;=1,BL$4&lt;=T_Predev),1,0)</f>
        <v/>
      </c>
      <c r="BM19" s="34">
        <f>IF(AND(BM$4&gt;=1,BM$4&lt;=T_Predev),1,0)</f>
        <v/>
      </c>
      <c r="BN19" s="34">
        <f>IF(AND(BN$4&gt;=1,BN$4&lt;=T_Predev),1,0)</f>
        <v/>
      </c>
      <c r="BO19" s="34">
        <f>IF(AND(BO$4&gt;=1,BO$4&lt;=T_Predev),1,0)</f>
        <v/>
      </c>
      <c r="BP19" s="34">
        <f>IF(AND(BP$4&gt;=1,BP$4&lt;=T_Predev),1,0)</f>
        <v/>
      </c>
      <c r="BQ19" s="34">
        <f>IF(AND(BQ$4&gt;=1,BQ$4&lt;=T_Predev),1,0)</f>
        <v/>
      </c>
      <c r="BR19" s="34">
        <f>IF(AND(BR$4&gt;=1,BR$4&lt;=T_Predev),1,0)</f>
        <v/>
      </c>
      <c r="BS19" s="34">
        <f>IF(AND(BS$4&gt;=1,BS$4&lt;=T_Predev),1,0)</f>
        <v/>
      </c>
      <c r="BT19" s="34">
        <f>IF(AND(BT$4&gt;=1,BT$4&lt;=T_Predev),1,0)</f>
        <v/>
      </c>
      <c r="BU19" s="34">
        <f>IF(AND(BU$4&gt;=1,BU$4&lt;=T_Predev),1,0)</f>
        <v/>
      </c>
      <c r="BV19" s="34">
        <f>IF(AND(BV$4&gt;=1,BV$4&lt;=T_Predev),1,0)</f>
        <v/>
      </c>
      <c r="BW19" s="34">
        <f>IF(AND(BW$4&gt;=1,BW$4&lt;=T_Predev),1,0)</f>
        <v/>
      </c>
      <c r="BX19" s="34">
        <f>IF(AND(BX$4&gt;=1,BX$4&lt;=T_Predev),1,0)</f>
        <v/>
      </c>
      <c r="BY19" s="34">
        <f>IF(AND(BY$4&gt;=1,BY$4&lt;=T_Predev),1,0)</f>
        <v/>
      </c>
      <c r="BZ19" s="34">
        <f>IF(AND(BZ$4&gt;=1,BZ$4&lt;=T_Predev),1,0)</f>
        <v/>
      </c>
      <c r="CA19" s="34">
        <f>IF(AND(CA$4&gt;=1,CA$4&lt;=T_Predev),1,0)</f>
        <v/>
      </c>
      <c r="CB19" s="34">
        <f>IF(AND(CB$4&gt;=1,CB$4&lt;=T_Predev),1,0)</f>
        <v/>
      </c>
      <c r="CC19" s="34">
        <f>IF(AND(CC$4&gt;=1,CC$4&lt;=T_Predev),1,0)</f>
        <v/>
      </c>
      <c r="CD19" s="34">
        <f>IF(AND(CD$4&gt;=1,CD$4&lt;=T_Predev),1,0)</f>
        <v/>
      </c>
      <c r="CE19" s="34">
        <f>IF(AND(CE$4&gt;=1,CE$4&lt;=T_Predev),1,0)</f>
        <v/>
      </c>
      <c r="CF19" s="34">
        <f>IF(AND(CF$4&gt;=1,CF$4&lt;=T_Predev),1,0)</f>
        <v/>
      </c>
      <c r="CG19" s="34">
        <f>IF(AND(CG$4&gt;=1,CG$4&lt;=T_Predev),1,0)</f>
        <v/>
      </c>
      <c r="CH19" s="34">
        <f>IF(AND(CH$4&gt;=1,CH$4&lt;=T_Predev),1,0)</f>
        <v/>
      </c>
      <c r="CI19" s="34">
        <f>IF(AND(CI$4&gt;=1,CI$4&lt;=T_Predev),1,0)</f>
        <v/>
      </c>
      <c r="CJ19" s="34">
        <f>IF(AND(CJ$4&gt;=1,CJ$4&lt;=T_Predev),1,0)</f>
        <v/>
      </c>
      <c r="CK19" s="34">
        <f>IF(AND(CK$4&gt;=1,CK$4&lt;=T_Predev),1,0)</f>
        <v/>
      </c>
      <c r="CL19" s="34">
        <f>IF(AND(CL$4&gt;=1,CL$4&lt;=T_Predev),1,0)</f>
        <v/>
      </c>
      <c r="CM19" s="34">
        <f>IF(AND(CM$4&gt;=1,CM$4&lt;=T_Predev),1,0)</f>
        <v/>
      </c>
      <c r="CN19" s="34">
        <f>IF(AND(CN$4&gt;=1,CN$4&lt;=T_Predev),1,0)</f>
        <v/>
      </c>
      <c r="CO19" s="34">
        <f>IF(AND(CO$4&gt;=1,CO$4&lt;=T_Predev),1,0)</f>
        <v/>
      </c>
      <c r="CP19" s="34">
        <f>IF(AND(CP$4&gt;=1,CP$4&lt;=T_Predev),1,0)</f>
        <v/>
      </c>
      <c r="CQ19" s="34">
        <f>IF(AND(CQ$4&gt;=1,CQ$4&lt;=T_Predev),1,0)</f>
        <v/>
      </c>
      <c r="CR19" s="34">
        <f>IF(AND(CR$4&gt;=1,CR$4&lt;=T_Predev),1,0)</f>
        <v/>
      </c>
      <c r="CS19" s="34">
        <f>IF(AND(CS$4&gt;=1,CS$4&lt;=T_Predev),1,0)</f>
        <v/>
      </c>
      <c r="CT19" s="34">
        <f>IF(AND(CT$4&gt;=1,CT$4&lt;=T_Predev),1,0)</f>
        <v/>
      </c>
      <c r="CU19" s="34">
        <f>IF(AND(CU$4&gt;=1,CU$4&lt;=T_Predev),1,0)</f>
        <v/>
      </c>
    </row>
    <row r="20">
      <c r="A20" s="7" t="inlineStr">
        <is>
          <t>Construction month (flag)</t>
        </is>
      </c>
      <c r="B20" s="1" t="n"/>
      <c r="C20" s="11" t="inlineStr"/>
      <c r="D20" s="34">
        <f>IF(AND(D$4&gt;T_ConStart,D$4&lt;=T_Delivery),1,0)</f>
        <v/>
      </c>
      <c r="E20" s="34">
        <f>IF(AND(E$4&gt;T_ConStart,E$4&lt;=T_Delivery),1,0)</f>
        <v/>
      </c>
      <c r="F20" s="34">
        <f>IF(AND(F$4&gt;T_ConStart,F$4&lt;=T_Delivery),1,0)</f>
        <v/>
      </c>
      <c r="G20" s="34">
        <f>IF(AND(G$4&gt;T_ConStart,G$4&lt;=T_Delivery),1,0)</f>
        <v/>
      </c>
      <c r="H20" s="34">
        <f>IF(AND(H$4&gt;T_ConStart,H$4&lt;=T_Delivery),1,0)</f>
        <v/>
      </c>
      <c r="I20" s="34">
        <f>IF(AND(I$4&gt;T_ConStart,I$4&lt;=T_Delivery),1,0)</f>
        <v/>
      </c>
      <c r="J20" s="34">
        <f>IF(AND(J$4&gt;T_ConStart,J$4&lt;=T_Delivery),1,0)</f>
        <v/>
      </c>
      <c r="K20" s="34">
        <f>IF(AND(K$4&gt;T_ConStart,K$4&lt;=T_Delivery),1,0)</f>
        <v/>
      </c>
      <c r="L20" s="34">
        <f>IF(AND(L$4&gt;T_ConStart,L$4&lt;=T_Delivery),1,0)</f>
        <v/>
      </c>
      <c r="M20" s="34">
        <f>IF(AND(M$4&gt;T_ConStart,M$4&lt;=T_Delivery),1,0)</f>
        <v/>
      </c>
      <c r="N20" s="34">
        <f>IF(AND(N$4&gt;T_ConStart,N$4&lt;=T_Delivery),1,0)</f>
        <v/>
      </c>
      <c r="O20" s="34">
        <f>IF(AND(O$4&gt;T_ConStart,O$4&lt;=T_Delivery),1,0)</f>
        <v/>
      </c>
      <c r="P20" s="34">
        <f>IF(AND(P$4&gt;T_ConStart,P$4&lt;=T_Delivery),1,0)</f>
        <v/>
      </c>
      <c r="Q20" s="34">
        <f>IF(AND(Q$4&gt;T_ConStart,Q$4&lt;=T_Delivery),1,0)</f>
        <v/>
      </c>
      <c r="R20" s="34">
        <f>IF(AND(R$4&gt;T_ConStart,R$4&lt;=T_Delivery),1,0)</f>
        <v/>
      </c>
      <c r="S20" s="34">
        <f>IF(AND(S$4&gt;T_ConStart,S$4&lt;=T_Delivery),1,0)</f>
        <v/>
      </c>
      <c r="T20" s="34">
        <f>IF(AND(T$4&gt;T_ConStart,T$4&lt;=T_Delivery),1,0)</f>
        <v/>
      </c>
      <c r="U20" s="34">
        <f>IF(AND(U$4&gt;T_ConStart,U$4&lt;=T_Delivery),1,0)</f>
        <v/>
      </c>
      <c r="V20" s="34">
        <f>IF(AND(V$4&gt;T_ConStart,V$4&lt;=T_Delivery),1,0)</f>
        <v/>
      </c>
      <c r="W20" s="34">
        <f>IF(AND(W$4&gt;T_ConStart,W$4&lt;=T_Delivery),1,0)</f>
        <v/>
      </c>
      <c r="X20" s="34">
        <f>IF(AND(X$4&gt;T_ConStart,X$4&lt;=T_Delivery),1,0)</f>
        <v/>
      </c>
      <c r="Y20" s="34">
        <f>IF(AND(Y$4&gt;T_ConStart,Y$4&lt;=T_Delivery),1,0)</f>
        <v/>
      </c>
      <c r="Z20" s="34">
        <f>IF(AND(Z$4&gt;T_ConStart,Z$4&lt;=T_Delivery),1,0)</f>
        <v/>
      </c>
      <c r="AA20" s="34">
        <f>IF(AND(AA$4&gt;T_ConStart,AA$4&lt;=T_Delivery),1,0)</f>
        <v/>
      </c>
      <c r="AB20" s="34">
        <f>IF(AND(AB$4&gt;T_ConStart,AB$4&lt;=T_Delivery),1,0)</f>
        <v/>
      </c>
      <c r="AC20" s="34">
        <f>IF(AND(AC$4&gt;T_ConStart,AC$4&lt;=T_Delivery),1,0)</f>
        <v/>
      </c>
      <c r="AD20" s="34">
        <f>IF(AND(AD$4&gt;T_ConStart,AD$4&lt;=T_Delivery),1,0)</f>
        <v/>
      </c>
      <c r="AE20" s="34">
        <f>IF(AND(AE$4&gt;T_ConStart,AE$4&lt;=T_Delivery),1,0)</f>
        <v/>
      </c>
      <c r="AF20" s="34">
        <f>IF(AND(AF$4&gt;T_ConStart,AF$4&lt;=T_Delivery),1,0)</f>
        <v/>
      </c>
      <c r="AG20" s="34">
        <f>IF(AND(AG$4&gt;T_ConStart,AG$4&lt;=T_Delivery),1,0)</f>
        <v/>
      </c>
      <c r="AH20" s="34">
        <f>IF(AND(AH$4&gt;T_ConStart,AH$4&lt;=T_Delivery),1,0)</f>
        <v/>
      </c>
      <c r="AI20" s="34">
        <f>IF(AND(AI$4&gt;T_ConStart,AI$4&lt;=T_Delivery),1,0)</f>
        <v/>
      </c>
      <c r="AJ20" s="34">
        <f>IF(AND(AJ$4&gt;T_ConStart,AJ$4&lt;=T_Delivery),1,0)</f>
        <v/>
      </c>
      <c r="AK20" s="34">
        <f>IF(AND(AK$4&gt;T_ConStart,AK$4&lt;=T_Delivery),1,0)</f>
        <v/>
      </c>
      <c r="AL20" s="34">
        <f>IF(AND(AL$4&gt;T_ConStart,AL$4&lt;=T_Delivery),1,0)</f>
        <v/>
      </c>
      <c r="AM20" s="34">
        <f>IF(AND(AM$4&gt;T_ConStart,AM$4&lt;=T_Delivery),1,0)</f>
        <v/>
      </c>
      <c r="AN20" s="34">
        <f>IF(AND(AN$4&gt;T_ConStart,AN$4&lt;=T_Delivery),1,0)</f>
        <v/>
      </c>
      <c r="AO20" s="34">
        <f>IF(AND(AO$4&gt;T_ConStart,AO$4&lt;=T_Delivery),1,0)</f>
        <v/>
      </c>
      <c r="AP20" s="34">
        <f>IF(AND(AP$4&gt;T_ConStart,AP$4&lt;=T_Delivery),1,0)</f>
        <v/>
      </c>
      <c r="AQ20" s="34">
        <f>IF(AND(AQ$4&gt;T_ConStart,AQ$4&lt;=T_Delivery),1,0)</f>
        <v/>
      </c>
      <c r="AR20" s="34">
        <f>IF(AND(AR$4&gt;T_ConStart,AR$4&lt;=T_Delivery),1,0)</f>
        <v/>
      </c>
      <c r="AS20" s="34">
        <f>IF(AND(AS$4&gt;T_ConStart,AS$4&lt;=T_Delivery),1,0)</f>
        <v/>
      </c>
      <c r="AT20" s="34">
        <f>IF(AND(AT$4&gt;T_ConStart,AT$4&lt;=T_Delivery),1,0)</f>
        <v/>
      </c>
      <c r="AU20" s="34">
        <f>IF(AND(AU$4&gt;T_ConStart,AU$4&lt;=T_Delivery),1,0)</f>
        <v/>
      </c>
      <c r="AV20" s="34">
        <f>IF(AND(AV$4&gt;T_ConStart,AV$4&lt;=T_Delivery),1,0)</f>
        <v/>
      </c>
      <c r="AW20" s="34">
        <f>IF(AND(AW$4&gt;T_ConStart,AW$4&lt;=T_Delivery),1,0)</f>
        <v/>
      </c>
      <c r="AX20" s="34">
        <f>IF(AND(AX$4&gt;T_ConStart,AX$4&lt;=T_Delivery),1,0)</f>
        <v/>
      </c>
      <c r="AY20" s="34">
        <f>IF(AND(AY$4&gt;T_ConStart,AY$4&lt;=T_Delivery),1,0)</f>
        <v/>
      </c>
      <c r="AZ20" s="34">
        <f>IF(AND(AZ$4&gt;T_ConStart,AZ$4&lt;=T_Delivery),1,0)</f>
        <v/>
      </c>
      <c r="BA20" s="34">
        <f>IF(AND(BA$4&gt;T_ConStart,BA$4&lt;=T_Delivery),1,0)</f>
        <v/>
      </c>
      <c r="BB20" s="34">
        <f>IF(AND(BB$4&gt;T_ConStart,BB$4&lt;=T_Delivery),1,0)</f>
        <v/>
      </c>
      <c r="BC20" s="34">
        <f>IF(AND(BC$4&gt;T_ConStart,BC$4&lt;=T_Delivery),1,0)</f>
        <v/>
      </c>
      <c r="BD20" s="34">
        <f>IF(AND(BD$4&gt;T_ConStart,BD$4&lt;=T_Delivery),1,0)</f>
        <v/>
      </c>
      <c r="BE20" s="34">
        <f>IF(AND(BE$4&gt;T_ConStart,BE$4&lt;=T_Delivery),1,0)</f>
        <v/>
      </c>
      <c r="BF20" s="34">
        <f>IF(AND(BF$4&gt;T_ConStart,BF$4&lt;=T_Delivery),1,0)</f>
        <v/>
      </c>
      <c r="BG20" s="34">
        <f>IF(AND(BG$4&gt;T_ConStart,BG$4&lt;=T_Delivery),1,0)</f>
        <v/>
      </c>
      <c r="BH20" s="34">
        <f>IF(AND(BH$4&gt;T_ConStart,BH$4&lt;=T_Delivery),1,0)</f>
        <v/>
      </c>
      <c r="BI20" s="34">
        <f>IF(AND(BI$4&gt;T_ConStart,BI$4&lt;=T_Delivery),1,0)</f>
        <v/>
      </c>
      <c r="BJ20" s="34">
        <f>IF(AND(BJ$4&gt;T_ConStart,BJ$4&lt;=T_Delivery),1,0)</f>
        <v/>
      </c>
      <c r="BK20" s="34">
        <f>IF(AND(BK$4&gt;T_ConStart,BK$4&lt;=T_Delivery),1,0)</f>
        <v/>
      </c>
      <c r="BL20" s="34">
        <f>IF(AND(BL$4&gt;T_ConStart,BL$4&lt;=T_Delivery),1,0)</f>
        <v/>
      </c>
      <c r="BM20" s="34">
        <f>IF(AND(BM$4&gt;T_ConStart,BM$4&lt;=T_Delivery),1,0)</f>
        <v/>
      </c>
      <c r="BN20" s="34">
        <f>IF(AND(BN$4&gt;T_ConStart,BN$4&lt;=T_Delivery),1,0)</f>
        <v/>
      </c>
      <c r="BO20" s="34">
        <f>IF(AND(BO$4&gt;T_ConStart,BO$4&lt;=T_Delivery),1,0)</f>
        <v/>
      </c>
      <c r="BP20" s="34">
        <f>IF(AND(BP$4&gt;T_ConStart,BP$4&lt;=T_Delivery),1,0)</f>
        <v/>
      </c>
      <c r="BQ20" s="34">
        <f>IF(AND(BQ$4&gt;T_ConStart,BQ$4&lt;=T_Delivery),1,0)</f>
        <v/>
      </c>
      <c r="BR20" s="34">
        <f>IF(AND(BR$4&gt;T_ConStart,BR$4&lt;=T_Delivery),1,0)</f>
        <v/>
      </c>
      <c r="BS20" s="34">
        <f>IF(AND(BS$4&gt;T_ConStart,BS$4&lt;=T_Delivery),1,0)</f>
        <v/>
      </c>
      <c r="BT20" s="34">
        <f>IF(AND(BT$4&gt;T_ConStart,BT$4&lt;=T_Delivery),1,0)</f>
        <v/>
      </c>
      <c r="BU20" s="34">
        <f>IF(AND(BU$4&gt;T_ConStart,BU$4&lt;=T_Delivery),1,0)</f>
        <v/>
      </c>
      <c r="BV20" s="34">
        <f>IF(AND(BV$4&gt;T_ConStart,BV$4&lt;=T_Delivery),1,0)</f>
        <v/>
      </c>
      <c r="BW20" s="34">
        <f>IF(AND(BW$4&gt;T_ConStart,BW$4&lt;=T_Delivery),1,0)</f>
        <v/>
      </c>
      <c r="BX20" s="34">
        <f>IF(AND(BX$4&gt;T_ConStart,BX$4&lt;=T_Delivery),1,0)</f>
        <v/>
      </c>
      <c r="BY20" s="34">
        <f>IF(AND(BY$4&gt;T_ConStart,BY$4&lt;=T_Delivery),1,0)</f>
        <v/>
      </c>
      <c r="BZ20" s="34">
        <f>IF(AND(BZ$4&gt;T_ConStart,BZ$4&lt;=T_Delivery),1,0)</f>
        <v/>
      </c>
      <c r="CA20" s="34">
        <f>IF(AND(CA$4&gt;T_ConStart,CA$4&lt;=T_Delivery),1,0)</f>
        <v/>
      </c>
      <c r="CB20" s="34">
        <f>IF(AND(CB$4&gt;T_ConStart,CB$4&lt;=T_Delivery),1,0)</f>
        <v/>
      </c>
      <c r="CC20" s="34">
        <f>IF(AND(CC$4&gt;T_ConStart,CC$4&lt;=T_Delivery),1,0)</f>
        <v/>
      </c>
      <c r="CD20" s="34">
        <f>IF(AND(CD$4&gt;T_ConStart,CD$4&lt;=T_Delivery),1,0)</f>
        <v/>
      </c>
      <c r="CE20" s="34">
        <f>IF(AND(CE$4&gt;T_ConStart,CE$4&lt;=T_Delivery),1,0)</f>
        <v/>
      </c>
      <c r="CF20" s="34">
        <f>IF(AND(CF$4&gt;T_ConStart,CF$4&lt;=T_Delivery),1,0)</f>
        <v/>
      </c>
      <c r="CG20" s="34">
        <f>IF(AND(CG$4&gt;T_ConStart,CG$4&lt;=T_Delivery),1,0)</f>
        <v/>
      </c>
      <c r="CH20" s="34">
        <f>IF(AND(CH$4&gt;T_ConStart,CH$4&lt;=T_Delivery),1,0)</f>
        <v/>
      </c>
      <c r="CI20" s="34">
        <f>IF(AND(CI$4&gt;T_ConStart,CI$4&lt;=T_Delivery),1,0)</f>
        <v/>
      </c>
      <c r="CJ20" s="34">
        <f>IF(AND(CJ$4&gt;T_ConStart,CJ$4&lt;=T_Delivery),1,0)</f>
        <v/>
      </c>
      <c r="CK20" s="34">
        <f>IF(AND(CK$4&gt;T_ConStart,CK$4&lt;=T_Delivery),1,0)</f>
        <v/>
      </c>
      <c r="CL20" s="34">
        <f>IF(AND(CL$4&gt;T_ConStart,CL$4&lt;=T_Delivery),1,0)</f>
        <v/>
      </c>
      <c r="CM20" s="34">
        <f>IF(AND(CM$4&gt;T_ConStart,CM$4&lt;=T_Delivery),1,0)</f>
        <v/>
      </c>
      <c r="CN20" s="34">
        <f>IF(AND(CN$4&gt;T_ConStart,CN$4&lt;=T_Delivery),1,0)</f>
        <v/>
      </c>
      <c r="CO20" s="34">
        <f>IF(AND(CO$4&gt;T_ConStart,CO$4&lt;=T_Delivery),1,0)</f>
        <v/>
      </c>
      <c r="CP20" s="34">
        <f>IF(AND(CP$4&gt;T_ConStart,CP$4&lt;=T_Delivery),1,0)</f>
        <v/>
      </c>
      <c r="CQ20" s="34">
        <f>IF(AND(CQ$4&gt;T_ConStart,CQ$4&lt;=T_Delivery),1,0)</f>
        <v/>
      </c>
      <c r="CR20" s="34">
        <f>IF(AND(CR$4&gt;T_ConStart,CR$4&lt;=T_Delivery),1,0)</f>
        <v/>
      </c>
      <c r="CS20" s="34">
        <f>IF(AND(CS$4&gt;T_ConStart,CS$4&lt;=T_Delivery),1,0)</f>
        <v/>
      </c>
      <c r="CT20" s="34">
        <f>IF(AND(CT$4&gt;T_ConStart,CT$4&lt;=T_Delivery),1,0)</f>
        <v/>
      </c>
      <c r="CU20" s="34">
        <f>IF(AND(CU$4&gt;T_ConStart,CU$4&lt;=T_Delivery),1,0)</f>
        <v/>
      </c>
    </row>
    <row r="21">
      <c r="A21" s="7" t="inlineStr">
        <is>
          <t>Construction spending weight (curve)</t>
        </is>
      </c>
      <c r="B21" s="37">
        <f>SUM(D21:CU21)</f>
        <v/>
      </c>
      <c r="C21" s="11" t="inlineStr">
        <is>
          <t>S-curve unless changed in Assumptions</t>
        </is>
      </c>
      <c r="D21" s="36">
        <f>IF(D20=1,IF(in_cost_curve="linear",1/T_Con,IF(in_cost_curve="front_loaded",(T_Con-(D$4-T_ConStart)+1)/(T_Con*(T_Con+1)/2),IF(in_cost_curve="back_loaded",(D$4-T_ConStart)/(T_Con*(T_Con+1)/2),(COS(PI()*(D$4-T_ConStart-1)/T_Con)-COS(PI()*(D$4-T_ConStart)/T_Con))/2))),0)</f>
        <v/>
      </c>
      <c r="E21" s="36">
        <f>IF(E20=1,IF(in_cost_curve="linear",1/T_Con,IF(in_cost_curve="front_loaded",(T_Con-(E$4-T_ConStart)+1)/(T_Con*(T_Con+1)/2),IF(in_cost_curve="back_loaded",(E$4-T_ConStart)/(T_Con*(T_Con+1)/2),(COS(PI()*(E$4-T_ConStart-1)/T_Con)-COS(PI()*(E$4-T_ConStart)/T_Con))/2))),0)</f>
        <v/>
      </c>
      <c r="F21" s="36">
        <f>IF(F20=1,IF(in_cost_curve="linear",1/T_Con,IF(in_cost_curve="front_loaded",(T_Con-(F$4-T_ConStart)+1)/(T_Con*(T_Con+1)/2),IF(in_cost_curve="back_loaded",(F$4-T_ConStart)/(T_Con*(T_Con+1)/2),(COS(PI()*(F$4-T_ConStart-1)/T_Con)-COS(PI()*(F$4-T_ConStart)/T_Con))/2))),0)</f>
        <v/>
      </c>
      <c r="G21" s="36">
        <f>IF(G20=1,IF(in_cost_curve="linear",1/T_Con,IF(in_cost_curve="front_loaded",(T_Con-(G$4-T_ConStart)+1)/(T_Con*(T_Con+1)/2),IF(in_cost_curve="back_loaded",(G$4-T_ConStart)/(T_Con*(T_Con+1)/2),(COS(PI()*(G$4-T_ConStart-1)/T_Con)-COS(PI()*(G$4-T_ConStart)/T_Con))/2))),0)</f>
        <v/>
      </c>
      <c r="H21" s="36">
        <f>IF(H20=1,IF(in_cost_curve="linear",1/T_Con,IF(in_cost_curve="front_loaded",(T_Con-(H$4-T_ConStart)+1)/(T_Con*(T_Con+1)/2),IF(in_cost_curve="back_loaded",(H$4-T_ConStart)/(T_Con*(T_Con+1)/2),(COS(PI()*(H$4-T_ConStart-1)/T_Con)-COS(PI()*(H$4-T_ConStart)/T_Con))/2))),0)</f>
        <v/>
      </c>
      <c r="I21" s="36">
        <f>IF(I20=1,IF(in_cost_curve="linear",1/T_Con,IF(in_cost_curve="front_loaded",(T_Con-(I$4-T_ConStart)+1)/(T_Con*(T_Con+1)/2),IF(in_cost_curve="back_loaded",(I$4-T_ConStart)/(T_Con*(T_Con+1)/2),(COS(PI()*(I$4-T_ConStart-1)/T_Con)-COS(PI()*(I$4-T_ConStart)/T_Con))/2))),0)</f>
        <v/>
      </c>
      <c r="J21" s="36">
        <f>IF(J20=1,IF(in_cost_curve="linear",1/T_Con,IF(in_cost_curve="front_loaded",(T_Con-(J$4-T_ConStart)+1)/(T_Con*(T_Con+1)/2),IF(in_cost_curve="back_loaded",(J$4-T_ConStart)/(T_Con*(T_Con+1)/2),(COS(PI()*(J$4-T_ConStart-1)/T_Con)-COS(PI()*(J$4-T_ConStart)/T_Con))/2))),0)</f>
        <v/>
      </c>
      <c r="K21" s="36">
        <f>IF(K20=1,IF(in_cost_curve="linear",1/T_Con,IF(in_cost_curve="front_loaded",(T_Con-(K$4-T_ConStart)+1)/(T_Con*(T_Con+1)/2),IF(in_cost_curve="back_loaded",(K$4-T_ConStart)/(T_Con*(T_Con+1)/2),(COS(PI()*(K$4-T_ConStart-1)/T_Con)-COS(PI()*(K$4-T_ConStart)/T_Con))/2))),0)</f>
        <v/>
      </c>
      <c r="L21" s="36">
        <f>IF(L20=1,IF(in_cost_curve="linear",1/T_Con,IF(in_cost_curve="front_loaded",(T_Con-(L$4-T_ConStart)+1)/(T_Con*(T_Con+1)/2),IF(in_cost_curve="back_loaded",(L$4-T_ConStart)/(T_Con*(T_Con+1)/2),(COS(PI()*(L$4-T_ConStart-1)/T_Con)-COS(PI()*(L$4-T_ConStart)/T_Con))/2))),0)</f>
        <v/>
      </c>
      <c r="M21" s="36">
        <f>IF(M20=1,IF(in_cost_curve="linear",1/T_Con,IF(in_cost_curve="front_loaded",(T_Con-(M$4-T_ConStart)+1)/(T_Con*(T_Con+1)/2),IF(in_cost_curve="back_loaded",(M$4-T_ConStart)/(T_Con*(T_Con+1)/2),(COS(PI()*(M$4-T_ConStart-1)/T_Con)-COS(PI()*(M$4-T_ConStart)/T_Con))/2))),0)</f>
        <v/>
      </c>
      <c r="N21" s="36">
        <f>IF(N20=1,IF(in_cost_curve="linear",1/T_Con,IF(in_cost_curve="front_loaded",(T_Con-(N$4-T_ConStart)+1)/(T_Con*(T_Con+1)/2),IF(in_cost_curve="back_loaded",(N$4-T_ConStart)/(T_Con*(T_Con+1)/2),(COS(PI()*(N$4-T_ConStart-1)/T_Con)-COS(PI()*(N$4-T_ConStart)/T_Con))/2))),0)</f>
        <v/>
      </c>
      <c r="O21" s="36">
        <f>IF(O20=1,IF(in_cost_curve="linear",1/T_Con,IF(in_cost_curve="front_loaded",(T_Con-(O$4-T_ConStart)+1)/(T_Con*(T_Con+1)/2),IF(in_cost_curve="back_loaded",(O$4-T_ConStart)/(T_Con*(T_Con+1)/2),(COS(PI()*(O$4-T_ConStart-1)/T_Con)-COS(PI()*(O$4-T_ConStart)/T_Con))/2))),0)</f>
        <v/>
      </c>
      <c r="P21" s="36">
        <f>IF(P20=1,IF(in_cost_curve="linear",1/T_Con,IF(in_cost_curve="front_loaded",(T_Con-(P$4-T_ConStart)+1)/(T_Con*(T_Con+1)/2),IF(in_cost_curve="back_loaded",(P$4-T_ConStart)/(T_Con*(T_Con+1)/2),(COS(PI()*(P$4-T_ConStart-1)/T_Con)-COS(PI()*(P$4-T_ConStart)/T_Con))/2))),0)</f>
        <v/>
      </c>
      <c r="Q21" s="36">
        <f>IF(Q20=1,IF(in_cost_curve="linear",1/T_Con,IF(in_cost_curve="front_loaded",(T_Con-(Q$4-T_ConStart)+1)/(T_Con*(T_Con+1)/2),IF(in_cost_curve="back_loaded",(Q$4-T_ConStart)/(T_Con*(T_Con+1)/2),(COS(PI()*(Q$4-T_ConStart-1)/T_Con)-COS(PI()*(Q$4-T_ConStart)/T_Con))/2))),0)</f>
        <v/>
      </c>
      <c r="R21" s="36">
        <f>IF(R20=1,IF(in_cost_curve="linear",1/T_Con,IF(in_cost_curve="front_loaded",(T_Con-(R$4-T_ConStart)+1)/(T_Con*(T_Con+1)/2),IF(in_cost_curve="back_loaded",(R$4-T_ConStart)/(T_Con*(T_Con+1)/2),(COS(PI()*(R$4-T_ConStart-1)/T_Con)-COS(PI()*(R$4-T_ConStart)/T_Con))/2))),0)</f>
        <v/>
      </c>
      <c r="S21" s="36">
        <f>IF(S20=1,IF(in_cost_curve="linear",1/T_Con,IF(in_cost_curve="front_loaded",(T_Con-(S$4-T_ConStart)+1)/(T_Con*(T_Con+1)/2),IF(in_cost_curve="back_loaded",(S$4-T_ConStart)/(T_Con*(T_Con+1)/2),(COS(PI()*(S$4-T_ConStart-1)/T_Con)-COS(PI()*(S$4-T_ConStart)/T_Con))/2))),0)</f>
        <v/>
      </c>
      <c r="T21" s="36">
        <f>IF(T20=1,IF(in_cost_curve="linear",1/T_Con,IF(in_cost_curve="front_loaded",(T_Con-(T$4-T_ConStart)+1)/(T_Con*(T_Con+1)/2),IF(in_cost_curve="back_loaded",(T$4-T_ConStart)/(T_Con*(T_Con+1)/2),(COS(PI()*(T$4-T_ConStart-1)/T_Con)-COS(PI()*(T$4-T_ConStart)/T_Con))/2))),0)</f>
        <v/>
      </c>
      <c r="U21" s="36">
        <f>IF(U20=1,IF(in_cost_curve="linear",1/T_Con,IF(in_cost_curve="front_loaded",(T_Con-(U$4-T_ConStart)+1)/(T_Con*(T_Con+1)/2),IF(in_cost_curve="back_loaded",(U$4-T_ConStart)/(T_Con*(T_Con+1)/2),(COS(PI()*(U$4-T_ConStart-1)/T_Con)-COS(PI()*(U$4-T_ConStart)/T_Con))/2))),0)</f>
        <v/>
      </c>
      <c r="V21" s="36">
        <f>IF(V20=1,IF(in_cost_curve="linear",1/T_Con,IF(in_cost_curve="front_loaded",(T_Con-(V$4-T_ConStart)+1)/(T_Con*(T_Con+1)/2),IF(in_cost_curve="back_loaded",(V$4-T_ConStart)/(T_Con*(T_Con+1)/2),(COS(PI()*(V$4-T_ConStart-1)/T_Con)-COS(PI()*(V$4-T_ConStart)/T_Con))/2))),0)</f>
        <v/>
      </c>
      <c r="W21" s="36">
        <f>IF(W20=1,IF(in_cost_curve="linear",1/T_Con,IF(in_cost_curve="front_loaded",(T_Con-(W$4-T_ConStart)+1)/(T_Con*(T_Con+1)/2),IF(in_cost_curve="back_loaded",(W$4-T_ConStart)/(T_Con*(T_Con+1)/2),(COS(PI()*(W$4-T_ConStart-1)/T_Con)-COS(PI()*(W$4-T_ConStart)/T_Con))/2))),0)</f>
        <v/>
      </c>
      <c r="X21" s="36">
        <f>IF(X20=1,IF(in_cost_curve="linear",1/T_Con,IF(in_cost_curve="front_loaded",(T_Con-(X$4-T_ConStart)+1)/(T_Con*(T_Con+1)/2),IF(in_cost_curve="back_loaded",(X$4-T_ConStart)/(T_Con*(T_Con+1)/2),(COS(PI()*(X$4-T_ConStart-1)/T_Con)-COS(PI()*(X$4-T_ConStart)/T_Con))/2))),0)</f>
        <v/>
      </c>
      <c r="Y21" s="36">
        <f>IF(Y20=1,IF(in_cost_curve="linear",1/T_Con,IF(in_cost_curve="front_loaded",(T_Con-(Y$4-T_ConStart)+1)/(T_Con*(T_Con+1)/2),IF(in_cost_curve="back_loaded",(Y$4-T_ConStart)/(T_Con*(T_Con+1)/2),(COS(PI()*(Y$4-T_ConStart-1)/T_Con)-COS(PI()*(Y$4-T_ConStart)/T_Con))/2))),0)</f>
        <v/>
      </c>
      <c r="Z21" s="36">
        <f>IF(Z20=1,IF(in_cost_curve="linear",1/T_Con,IF(in_cost_curve="front_loaded",(T_Con-(Z$4-T_ConStart)+1)/(T_Con*(T_Con+1)/2),IF(in_cost_curve="back_loaded",(Z$4-T_ConStart)/(T_Con*(T_Con+1)/2),(COS(PI()*(Z$4-T_ConStart-1)/T_Con)-COS(PI()*(Z$4-T_ConStart)/T_Con))/2))),0)</f>
        <v/>
      </c>
      <c r="AA21" s="36">
        <f>IF(AA20=1,IF(in_cost_curve="linear",1/T_Con,IF(in_cost_curve="front_loaded",(T_Con-(AA$4-T_ConStart)+1)/(T_Con*(T_Con+1)/2),IF(in_cost_curve="back_loaded",(AA$4-T_ConStart)/(T_Con*(T_Con+1)/2),(COS(PI()*(AA$4-T_ConStart-1)/T_Con)-COS(PI()*(AA$4-T_ConStart)/T_Con))/2))),0)</f>
        <v/>
      </c>
      <c r="AB21" s="36">
        <f>IF(AB20=1,IF(in_cost_curve="linear",1/T_Con,IF(in_cost_curve="front_loaded",(T_Con-(AB$4-T_ConStart)+1)/(T_Con*(T_Con+1)/2),IF(in_cost_curve="back_loaded",(AB$4-T_ConStart)/(T_Con*(T_Con+1)/2),(COS(PI()*(AB$4-T_ConStart-1)/T_Con)-COS(PI()*(AB$4-T_ConStart)/T_Con))/2))),0)</f>
        <v/>
      </c>
      <c r="AC21" s="36">
        <f>IF(AC20=1,IF(in_cost_curve="linear",1/T_Con,IF(in_cost_curve="front_loaded",(T_Con-(AC$4-T_ConStart)+1)/(T_Con*(T_Con+1)/2),IF(in_cost_curve="back_loaded",(AC$4-T_ConStart)/(T_Con*(T_Con+1)/2),(COS(PI()*(AC$4-T_ConStart-1)/T_Con)-COS(PI()*(AC$4-T_ConStart)/T_Con))/2))),0)</f>
        <v/>
      </c>
      <c r="AD21" s="36">
        <f>IF(AD20=1,IF(in_cost_curve="linear",1/T_Con,IF(in_cost_curve="front_loaded",(T_Con-(AD$4-T_ConStart)+1)/(T_Con*(T_Con+1)/2),IF(in_cost_curve="back_loaded",(AD$4-T_ConStart)/(T_Con*(T_Con+1)/2),(COS(PI()*(AD$4-T_ConStart-1)/T_Con)-COS(PI()*(AD$4-T_ConStart)/T_Con))/2))),0)</f>
        <v/>
      </c>
      <c r="AE21" s="36">
        <f>IF(AE20=1,IF(in_cost_curve="linear",1/T_Con,IF(in_cost_curve="front_loaded",(T_Con-(AE$4-T_ConStart)+1)/(T_Con*(T_Con+1)/2),IF(in_cost_curve="back_loaded",(AE$4-T_ConStart)/(T_Con*(T_Con+1)/2),(COS(PI()*(AE$4-T_ConStart-1)/T_Con)-COS(PI()*(AE$4-T_ConStart)/T_Con))/2))),0)</f>
        <v/>
      </c>
      <c r="AF21" s="36">
        <f>IF(AF20=1,IF(in_cost_curve="linear",1/T_Con,IF(in_cost_curve="front_loaded",(T_Con-(AF$4-T_ConStart)+1)/(T_Con*(T_Con+1)/2),IF(in_cost_curve="back_loaded",(AF$4-T_ConStart)/(T_Con*(T_Con+1)/2),(COS(PI()*(AF$4-T_ConStart-1)/T_Con)-COS(PI()*(AF$4-T_ConStart)/T_Con))/2))),0)</f>
        <v/>
      </c>
      <c r="AG21" s="36">
        <f>IF(AG20=1,IF(in_cost_curve="linear",1/T_Con,IF(in_cost_curve="front_loaded",(T_Con-(AG$4-T_ConStart)+1)/(T_Con*(T_Con+1)/2),IF(in_cost_curve="back_loaded",(AG$4-T_ConStart)/(T_Con*(T_Con+1)/2),(COS(PI()*(AG$4-T_ConStart-1)/T_Con)-COS(PI()*(AG$4-T_ConStart)/T_Con))/2))),0)</f>
        <v/>
      </c>
      <c r="AH21" s="36">
        <f>IF(AH20=1,IF(in_cost_curve="linear",1/T_Con,IF(in_cost_curve="front_loaded",(T_Con-(AH$4-T_ConStart)+1)/(T_Con*(T_Con+1)/2),IF(in_cost_curve="back_loaded",(AH$4-T_ConStart)/(T_Con*(T_Con+1)/2),(COS(PI()*(AH$4-T_ConStart-1)/T_Con)-COS(PI()*(AH$4-T_ConStart)/T_Con))/2))),0)</f>
        <v/>
      </c>
      <c r="AI21" s="36">
        <f>IF(AI20=1,IF(in_cost_curve="linear",1/T_Con,IF(in_cost_curve="front_loaded",(T_Con-(AI$4-T_ConStart)+1)/(T_Con*(T_Con+1)/2),IF(in_cost_curve="back_loaded",(AI$4-T_ConStart)/(T_Con*(T_Con+1)/2),(COS(PI()*(AI$4-T_ConStart-1)/T_Con)-COS(PI()*(AI$4-T_ConStart)/T_Con))/2))),0)</f>
        <v/>
      </c>
      <c r="AJ21" s="36">
        <f>IF(AJ20=1,IF(in_cost_curve="linear",1/T_Con,IF(in_cost_curve="front_loaded",(T_Con-(AJ$4-T_ConStart)+1)/(T_Con*(T_Con+1)/2),IF(in_cost_curve="back_loaded",(AJ$4-T_ConStart)/(T_Con*(T_Con+1)/2),(COS(PI()*(AJ$4-T_ConStart-1)/T_Con)-COS(PI()*(AJ$4-T_ConStart)/T_Con))/2))),0)</f>
        <v/>
      </c>
      <c r="AK21" s="36">
        <f>IF(AK20=1,IF(in_cost_curve="linear",1/T_Con,IF(in_cost_curve="front_loaded",(T_Con-(AK$4-T_ConStart)+1)/(T_Con*(T_Con+1)/2),IF(in_cost_curve="back_loaded",(AK$4-T_ConStart)/(T_Con*(T_Con+1)/2),(COS(PI()*(AK$4-T_ConStart-1)/T_Con)-COS(PI()*(AK$4-T_ConStart)/T_Con))/2))),0)</f>
        <v/>
      </c>
      <c r="AL21" s="36">
        <f>IF(AL20=1,IF(in_cost_curve="linear",1/T_Con,IF(in_cost_curve="front_loaded",(T_Con-(AL$4-T_ConStart)+1)/(T_Con*(T_Con+1)/2),IF(in_cost_curve="back_loaded",(AL$4-T_ConStart)/(T_Con*(T_Con+1)/2),(COS(PI()*(AL$4-T_ConStart-1)/T_Con)-COS(PI()*(AL$4-T_ConStart)/T_Con))/2))),0)</f>
        <v/>
      </c>
      <c r="AM21" s="36">
        <f>IF(AM20=1,IF(in_cost_curve="linear",1/T_Con,IF(in_cost_curve="front_loaded",(T_Con-(AM$4-T_ConStart)+1)/(T_Con*(T_Con+1)/2),IF(in_cost_curve="back_loaded",(AM$4-T_ConStart)/(T_Con*(T_Con+1)/2),(COS(PI()*(AM$4-T_ConStart-1)/T_Con)-COS(PI()*(AM$4-T_ConStart)/T_Con))/2))),0)</f>
        <v/>
      </c>
      <c r="AN21" s="36">
        <f>IF(AN20=1,IF(in_cost_curve="linear",1/T_Con,IF(in_cost_curve="front_loaded",(T_Con-(AN$4-T_ConStart)+1)/(T_Con*(T_Con+1)/2),IF(in_cost_curve="back_loaded",(AN$4-T_ConStart)/(T_Con*(T_Con+1)/2),(COS(PI()*(AN$4-T_ConStart-1)/T_Con)-COS(PI()*(AN$4-T_ConStart)/T_Con))/2))),0)</f>
        <v/>
      </c>
      <c r="AO21" s="36">
        <f>IF(AO20=1,IF(in_cost_curve="linear",1/T_Con,IF(in_cost_curve="front_loaded",(T_Con-(AO$4-T_ConStart)+1)/(T_Con*(T_Con+1)/2),IF(in_cost_curve="back_loaded",(AO$4-T_ConStart)/(T_Con*(T_Con+1)/2),(COS(PI()*(AO$4-T_ConStart-1)/T_Con)-COS(PI()*(AO$4-T_ConStart)/T_Con))/2))),0)</f>
        <v/>
      </c>
      <c r="AP21" s="36">
        <f>IF(AP20=1,IF(in_cost_curve="linear",1/T_Con,IF(in_cost_curve="front_loaded",(T_Con-(AP$4-T_ConStart)+1)/(T_Con*(T_Con+1)/2),IF(in_cost_curve="back_loaded",(AP$4-T_ConStart)/(T_Con*(T_Con+1)/2),(COS(PI()*(AP$4-T_ConStart-1)/T_Con)-COS(PI()*(AP$4-T_ConStart)/T_Con))/2))),0)</f>
        <v/>
      </c>
      <c r="AQ21" s="36">
        <f>IF(AQ20=1,IF(in_cost_curve="linear",1/T_Con,IF(in_cost_curve="front_loaded",(T_Con-(AQ$4-T_ConStart)+1)/(T_Con*(T_Con+1)/2),IF(in_cost_curve="back_loaded",(AQ$4-T_ConStart)/(T_Con*(T_Con+1)/2),(COS(PI()*(AQ$4-T_ConStart-1)/T_Con)-COS(PI()*(AQ$4-T_ConStart)/T_Con))/2))),0)</f>
        <v/>
      </c>
      <c r="AR21" s="36">
        <f>IF(AR20=1,IF(in_cost_curve="linear",1/T_Con,IF(in_cost_curve="front_loaded",(T_Con-(AR$4-T_ConStart)+1)/(T_Con*(T_Con+1)/2),IF(in_cost_curve="back_loaded",(AR$4-T_ConStart)/(T_Con*(T_Con+1)/2),(COS(PI()*(AR$4-T_ConStart-1)/T_Con)-COS(PI()*(AR$4-T_ConStart)/T_Con))/2))),0)</f>
        <v/>
      </c>
      <c r="AS21" s="36">
        <f>IF(AS20=1,IF(in_cost_curve="linear",1/T_Con,IF(in_cost_curve="front_loaded",(T_Con-(AS$4-T_ConStart)+1)/(T_Con*(T_Con+1)/2),IF(in_cost_curve="back_loaded",(AS$4-T_ConStart)/(T_Con*(T_Con+1)/2),(COS(PI()*(AS$4-T_ConStart-1)/T_Con)-COS(PI()*(AS$4-T_ConStart)/T_Con))/2))),0)</f>
        <v/>
      </c>
      <c r="AT21" s="36">
        <f>IF(AT20=1,IF(in_cost_curve="linear",1/T_Con,IF(in_cost_curve="front_loaded",(T_Con-(AT$4-T_ConStart)+1)/(T_Con*(T_Con+1)/2),IF(in_cost_curve="back_loaded",(AT$4-T_ConStart)/(T_Con*(T_Con+1)/2),(COS(PI()*(AT$4-T_ConStart-1)/T_Con)-COS(PI()*(AT$4-T_ConStart)/T_Con))/2))),0)</f>
        <v/>
      </c>
      <c r="AU21" s="36">
        <f>IF(AU20=1,IF(in_cost_curve="linear",1/T_Con,IF(in_cost_curve="front_loaded",(T_Con-(AU$4-T_ConStart)+1)/(T_Con*(T_Con+1)/2),IF(in_cost_curve="back_loaded",(AU$4-T_ConStart)/(T_Con*(T_Con+1)/2),(COS(PI()*(AU$4-T_ConStart-1)/T_Con)-COS(PI()*(AU$4-T_ConStart)/T_Con))/2))),0)</f>
        <v/>
      </c>
      <c r="AV21" s="36">
        <f>IF(AV20=1,IF(in_cost_curve="linear",1/T_Con,IF(in_cost_curve="front_loaded",(T_Con-(AV$4-T_ConStart)+1)/(T_Con*(T_Con+1)/2),IF(in_cost_curve="back_loaded",(AV$4-T_ConStart)/(T_Con*(T_Con+1)/2),(COS(PI()*(AV$4-T_ConStart-1)/T_Con)-COS(PI()*(AV$4-T_ConStart)/T_Con))/2))),0)</f>
        <v/>
      </c>
      <c r="AW21" s="36">
        <f>IF(AW20=1,IF(in_cost_curve="linear",1/T_Con,IF(in_cost_curve="front_loaded",(T_Con-(AW$4-T_ConStart)+1)/(T_Con*(T_Con+1)/2),IF(in_cost_curve="back_loaded",(AW$4-T_ConStart)/(T_Con*(T_Con+1)/2),(COS(PI()*(AW$4-T_ConStart-1)/T_Con)-COS(PI()*(AW$4-T_ConStart)/T_Con))/2))),0)</f>
        <v/>
      </c>
      <c r="AX21" s="36">
        <f>IF(AX20=1,IF(in_cost_curve="linear",1/T_Con,IF(in_cost_curve="front_loaded",(T_Con-(AX$4-T_ConStart)+1)/(T_Con*(T_Con+1)/2),IF(in_cost_curve="back_loaded",(AX$4-T_ConStart)/(T_Con*(T_Con+1)/2),(COS(PI()*(AX$4-T_ConStart-1)/T_Con)-COS(PI()*(AX$4-T_ConStart)/T_Con))/2))),0)</f>
        <v/>
      </c>
      <c r="AY21" s="36">
        <f>IF(AY20=1,IF(in_cost_curve="linear",1/T_Con,IF(in_cost_curve="front_loaded",(T_Con-(AY$4-T_ConStart)+1)/(T_Con*(T_Con+1)/2),IF(in_cost_curve="back_loaded",(AY$4-T_ConStart)/(T_Con*(T_Con+1)/2),(COS(PI()*(AY$4-T_ConStart-1)/T_Con)-COS(PI()*(AY$4-T_ConStart)/T_Con))/2))),0)</f>
        <v/>
      </c>
      <c r="AZ21" s="36">
        <f>IF(AZ20=1,IF(in_cost_curve="linear",1/T_Con,IF(in_cost_curve="front_loaded",(T_Con-(AZ$4-T_ConStart)+1)/(T_Con*(T_Con+1)/2),IF(in_cost_curve="back_loaded",(AZ$4-T_ConStart)/(T_Con*(T_Con+1)/2),(COS(PI()*(AZ$4-T_ConStart-1)/T_Con)-COS(PI()*(AZ$4-T_ConStart)/T_Con))/2))),0)</f>
        <v/>
      </c>
      <c r="BA21" s="36">
        <f>IF(BA20=1,IF(in_cost_curve="linear",1/T_Con,IF(in_cost_curve="front_loaded",(T_Con-(BA$4-T_ConStart)+1)/(T_Con*(T_Con+1)/2),IF(in_cost_curve="back_loaded",(BA$4-T_ConStart)/(T_Con*(T_Con+1)/2),(COS(PI()*(BA$4-T_ConStart-1)/T_Con)-COS(PI()*(BA$4-T_ConStart)/T_Con))/2))),0)</f>
        <v/>
      </c>
      <c r="BB21" s="36">
        <f>IF(BB20=1,IF(in_cost_curve="linear",1/T_Con,IF(in_cost_curve="front_loaded",(T_Con-(BB$4-T_ConStart)+1)/(T_Con*(T_Con+1)/2),IF(in_cost_curve="back_loaded",(BB$4-T_ConStart)/(T_Con*(T_Con+1)/2),(COS(PI()*(BB$4-T_ConStart-1)/T_Con)-COS(PI()*(BB$4-T_ConStart)/T_Con))/2))),0)</f>
        <v/>
      </c>
      <c r="BC21" s="36">
        <f>IF(BC20=1,IF(in_cost_curve="linear",1/T_Con,IF(in_cost_curve="front_loaded",(T_Con-(BC$4-T_ConStart)+1)/(T_Con*(T_Con+1)/2),IF(in_cost_curve="back_loaded",(BC$4-T_ConStart)/(T_Con*(T_Con+1)/2),(COS(PI()*(BC$4-T_ConStart-1)/T_Con)-COS(PI()*(BC$4-T_ConStart)/T_Con))/2))),0)</f>
        <v/>
      </c>
      <c r="BD21" s="36">
        <f>IF(BD20=1,IF(in_cost_curve="linear",1/T_Con,IF(in_cost_curve="front_loaded",(T_Con-(BD$4-T_ConStart)+1)/(T_Con*(T_Con+1)/2),IF(in_cost_curve="back_loaded",(BD$4-T_ConStart)/(T_Con*(T_Con+1)/2),(COS(PI()*(BD$4-T_ConStart-1)/T_Con)-COS(PI()*(BD$4-T_ConStart)/T_Con))/2))),0)</f>
        <v/>
      </c>
      <c r="BE21" s="36">
        <f>IF(BE20=1,IF(in_cost_curve="linear",1/T_Con,IF(in_cost_curve="front_loaded",(T_Con-(BE$4-T_ConStart)+1)/(T_Con*(T_Con+1)/2),IF(in_cost_curve="back_loaded",(BE$4-T_ConStart)/(T_Con*(T_Con+1)/2),(COS(PI()*(BE$4-T_ConStart-1)/T_Con)-COS(PI()*(BE$4-T_ConStart)/T_Con))/2))),0)</f>
        <v/>
      </c>
      <c r="BF21" s="36">
        <f>IF(BF20=1,IF(in_cost_curve="linear",1/T_Con,IF(in_cost_curve="front_loaded",(T_Con-(BF$4-T_ConStart)+1)/(T_Con*(T_Con+1)/2),IF(in_cost_curve="back_loaded",(BF$4-T_ConStart)/(T_Con*(T_Con+1)/2),(COS(PI()*(BF$4-T_ConStart-1)/T_Con)-COS(PI()*(BF$4-T_ConStart)/T_Con))/2))),0)</f>
        <v/>
      </c>
      <c r="BG21" s="36">
        <f>IF(BG20=1,IF(in_cost_curve="linear",1/T_Con,IF(in_cost_curve="front_loaded",(T_Con-(BG$4-T_ConStart)+1)/(T_Con*(T_Con+1)/2),IF(in_cost_curve="back_loaded",(BG$4-T_ConStart)/(T_Con*(T_Con+1)/2),(COS(PI()*(BG$4-T_ConStart-1)/T_Con)-COS(PI()*(BG$4-T_ConStart)/T_Con))/2))),0)</f>
        <v/>
      </c>
      <c r="BH21" s="36">
        <f>IF(BH20=1,IF(in_cost_curve="linear",1/T_Con,IF(in_cost_curve="front_loaded",(T_Con-(BH$4-T_ConStart)+1)/(T_Con*(T_Con+1)/2),IF(in_cost_curve="back_loaded",(BH$4-T_ConStart)/(T_Con*(T_Con+1)/2),(COS(PI()*(BH$4-T_ConStart-1)/T_Con)-COS(PI()*(BH$4-T_ConStart)/T_Con))/2))),0)</f>
        <v/>
      </c>
      <c r="BI21" s="36">
        <f>IF(BI20=1,IF(in_cost_curve="linear",1/T_Con,IF(in_cost_curve="front_loaded",(T_Con-(BI$4-T_ConStart)+1)/(T_Con*(T_Con+1)/2),IF(in_cost_curve="back_loaded",(BI$4-T_ConStart)/(T_Con*(T_Con+1)/2),(COS(PI()*(BI$4-T_ConStart-1)/T_Con)-COS(PI()*(BI$4-T_ConStart)/T_Con))/2))),0)</f>
        <v/>
      </c>
      <c r="BJ21" s="36">
        <f>IF(BJ20=1,IF(in_cost_curve="linear",1/T_Con,IF(in_cost_curve="front_loaded",(T_Con-(BJ$4-T_ConStart)+1)/(T_Con*(T_Con+1)/2),IF(in_cost_curve="back_loaded",(BJ$4-T_ConStart)/(T_Con*(T_Con+1)/2),(COS(PI()*(BJ$4-T_ConStart-1)/T_Con)-COS(PI()*(BJ$4-T_ConStart)/T_Con))/2))),0)</f>
        <v/>
      </c>
      <c r="BK21" s="36">
        <f>IF(BK20=1,IF(in_cost_curve="linear",1/T_Con,IF(in_cost_curve="front_loaded",(T_Con-(BK$4-T_ConStart)+1)/(T_Con*(T_Con+1)/2),IF(in_cost_curve="back_loaded",(BK$4-T_ConStart)/(T_Con*(T_Con+1)/2),(COS(PI()*(BK$4-T_ConStart-1)/T_Con)-COS(PI()*(BK$4-T_ConStart)/T_Con))/2))),0)</f>
        <v/>
      </c>
      <c r="BL21" s="36">
        <f>IF(BL20=1,IF(in_cost_curve="linear",1/T_Con,IF(in_cost_curve="front_loaded",(T_Con-(BL$4-T_ConStart)+1)/(T_Con*(T_Con+1)/2),IF(in_cost_curve="back_loaded",(BL$4-T_ConStart)/(T_Con*(T_Con+1)/2),(COS(PI()*(BL$4-T_ConStart-1)/T_Con)-COS(PI()*(BL$4-T_ConStart)/T_Con))/2))),0)</f>
        <v/>
      </c>
      <c r="BM21" s="36">
        <f>IF(BM20=1,IF(in_cost_curve="linear",1/T_Con,IF(in_cost_curve="front_loaded",(T_Con-(BM$4-T_ConStart)+1)/(T_Con*(T_Con+1)/2),IF(in_cost_curve="back_loaded",(BM$4-T_ConStart)/(T_Con*(T_Con+1)/2),(COS(PI()*(BM$4-T_ConStart-1)/T_Con)-COS(PI()*(BM$4-T_ConStart)/T_Con))/2))),0)</f>
        <v/>
      </c>
      <c r="BN21" s="36">
        <f>IF(BN20=1,IF(in_cost_curve="linear",1/T_Con,IF(in_cost_curve="front_loaded",(T_Con-(BN$4-T_ConStart)+1)/(T_Con*(T_Con+1)/2),IF(in_cost_curve="back_loaded",(BN$4-T_ConStart)/(T_Con*(T_Con+1)/2),(COS(PI()*(BN$4-T_ConStart-1)/T_Con)-COS(PI()*(BN$4-T_ConStart)/T_Con))/2))),0)</f>
        <v/>
      </c>
      <c r="BO21" s="36">
        <f>IF(BO20=1,IF(in_cost_curve="linear",1/T_Con,IF(in_cost_curve="front_loaded",(T_Con-(BO$4-T_ConStart)+1)/(T_Con*(T_Con+1)/2),IF(in_cost_curve="back_loaded",(BO$4-T_ConStart)/(T_Con*(T_Con+1)/2),(COS(PI()*(BO$4-T_ConStart-1)/T_Con)-COS(PI()*(BO$4-T_ConStart)/T_Con))/2))),0)</f>
        <v/>
      </c>
      <c r="BP21" s="36">
        <f>IF(BP20=1,IF(in_cost_curve="linear",1/T_Con,IF(in_cost_curve="front_loaded",(T_Con-(BP$4-T_ConStart)+1)/(T_Con*(T_Con+1)/2),IF(in_cost_curve="back_loaded",(BP$4-T_ConStart)/(T_Con*(T_Con+1)/2),(COS(PI()*(BP$4-T_ConStart-1)/T_Con)-COS(PI()*(BP$4-T_ConStart)/T_Con))/2))),0)</f>
        <v/>
      </c>
      <c r="BQ21" s="36">
        <f>IF(BQ20=1,IF(in_cost_curve="linear",1/T_Con,IF(in_cost_curve="front_loaded",(T_Con-(BQ$4-T_ConStart)+1)/(T_Con*(T_Con+1)/2),IF(in_cost_curve="back_loaded",(BQ$4-T_ConStart)/(T_Con*(T_Con+1)/2),(COS(PI()*(BQ$4-T_ConStart-1)/T_Con)-COS(PI()*(BQ$4-T_ConStart)/T_Con))/2))),0)</f>
        <v/>
      </c>
      <c r="BR21" s="36">
        <f>IF(BR20=1,IF(in_cost_curve="linear",1/T_Con,IF(in_cost_curve="front_loaded",(T_Con-(BR$4-T_ConStart)+1)/(T_Con*(T_Con+1)/2),IF(in_cost_curve="back_loaded",(BR$4-T_ConStart)/(T_Con*(T_Con+1)/2),(COS(PI()*(BR$4-T_ConStart-1)/T_Con)-COS(PI()*(BR$4-T_ConStart)/T_Con))/2))),0)</f>
        <v/>
      </c>
      <c r="BS21" s="36">
        <f>IF(BS20=1,IF(in_cost_curve="linear",1/T_Con,IF(in_cost_curve="front_loaded",(T_Con-(BS$4-T_ConStart)+1)/(T_Con*(T_Con+1)/2),IF(in_cost_curve="back_loaded",(BS$4-T_ConStart)/(T_Con*(T_Con+1)/2),(COS(PI()*(BS$4-T_ConStart-1)/T_Con)-COS(PI()*(BS$4-T_ConStart)/T_Con))/2))),0)</f>
        <v/>
      </c>
      <c r="BT21" s="36">
        <f>IF(BT20=1,IF(in_cost_curve="linear",1/T_Con,IF(in_cost_curve="front_loaded",(T_Con-(BT$4-T_ConStart)+1)/(T_Con*(T_Con+1)/2),IF(in_cost_curve="back_loaded",(BT$4-T_ConStart)/(T_Con*(T_Con+1)/2),(COS(PI()*(BT$4-T_ConStart-1)/T_Con)-COS(PI()*(BT$4-T_ConStart)/T_Con))/2))),0)</f>
        <v/>
      </c>
      <c r="BU21" s="36">
        <f>IF(BU20=1,IF(in_cost_curve="linear",1/T_Con,IF(in_cost_curve="front_loaded",(T_Con-(BU$4-T_ConStart)+1)/(T_Con*(T_Con+1)/2),IF(in_cost_curve="back_loaded",(BU$4-T_ConStart)/(T_Con*(T_Con+1)/2),(COS(PI()*(BU$4-T_ConStart-1)/T_Con)-COS(PI()*(BU$4-T_ConStart)/T_Con))/2))),0)</f>
        <v/>
      </c>
      <c r="BV21" s="36">
        <f>IF(BV20=1,IF(in_cost_curve="linear",1/T_Con,IF(in_cost_curve="front_loaded",(T_Con-(BV$4-T_ConStart)+1)/(T_Con*(T_Con+1)/2),IF(in_cost_curve="back_loaded",(BV$4-T_ConStart)/(T_Con*(T_Con+1)/2),(COS(PI()*(BV$4-T_ConStart-1)/T_Con)-COS(PI()*(BV$4-T_ConStart)/T_Con))/2))),0)</f>
        <v/>
      </c>
      <c r="BW21" s="36">
        <f>IF(BW20=1,IF(in_cost_curve="linear",1/T_Con,IF(in_cost_curve="front_loaded",(T_Con-(BW$4-T_ConStart)+1)/(T_Con*(T_Con+1)/2),IF(in_cost_curve="back_loaded",(BW$4-T_ConStart)/(T_Con*(T_Con+1)/2),(COS(PI()*(BW$4-T_ConStart-1)/T_Con)-COS(PI()*(BW$4-T_ConStart)/T_Con))/2))),0)</f>
        <v/>
      </c>
      <c r="BX21" s="36">
        <f>IF(BX20=1,IF(in_cost_curve="linear",1/T_Con,IF(in_cost_curve="front_loaded",(T_Con-(BX$4-T_ConStart)+1)/(T_Con*(T_Con+1)/2),IF(in_cost_curve="back_loaded",(BX$4-T_ConStart)/(T_Con*(T_Con+1)/2),(COS(PI()*(BX$4-T_ConStart-1)/T_Con)-COS(PI()*(BX$4-T_ConStart)/T_Con))/2))),0)</f>
        <v/>
      </c>
      <c r="BY21" s="36">
        <f>IF(BY20=1,IF(in_cost_curve="linear",1/T_Con,IF(in_cost_curve="front_loaded",(T_Con-(BY$4-T_ConStart)+1)/(T_Con*(T_Con+1)/2),IF(in_cost_curve="back_loaded",(BY$4-T_ConStart)/(T_Con*(T_Con+1)/2),(COS(PI()*(BY$4-T_ConStart-1)/T_Con)-COS(PI()*(BY$4-T_ConStart)/T_Con))/2))),0)</f>
        <v/>
      </c>
      <c r="BZ21" s="36">
        <f>IF(BZ20=1,IF(in_cost_curve="linear",1/T_Con,IF(in_cost_curve="front_loaded",(T_Con-(BZ$4-T_ConStart)+1)/(T_Con*(T_Con+1)/2),IF(in_cost_curve="back_loaded",(BZ$4-T_ConStart)/(T_Con*(T_Con+1)/2),(COS(PI()*(BZ$4-T_ConStart-1)/T_Con)-COS(PI()*(BZ$4-T_ConStart)/T_Con))/2))),0)</f>
        <v/>
      </c>
      <c r="CA21" s="36">
        <f>IF(CA20=1,IF(in_cost_curve="linear",1/T_Con,IF(in_cost_curve="front_loaded",(T_Con-(CA$4-T_ConStart)+1)/(T_Con*(T_Con+1)/2),IF(in_cost_curve="back_loaded",(CA$4-T_ConStart)/(T_Con*(T_Con+1)/2),(COS(PI()*(CA$4-T_ConStart-1)/T_Con)-COS(PI()*(CA$4-T_ConStart)/T_Con))/2))),0)</f>
        <v/>
      </c>
      <c r="CB21" s="36">
        <f>IF(CB20=1,IF(in_cost_curve="linear",1/T_Con,IF(in_cost_curve="front_loaded",(T_Con-(CB$4-T_ConStart)+1)/(T_Con*(T_Con+1)/2),IF(in_cost_curve="back_loaded",(CB$4-T_ConStart)/(T_Con*(T_Con+1)/2),(COS(PI()*(CB$4-T_ConStart-1)/T_Con)-COS(PI()*(CB$4-T_ConStart)/T_Con))/2))),0)</f>
        <v/>
      </c>
      <c r="CC21" s="36">
        <f>IF(CC20=1,IF(in_cost_curve="linear",1/T_Con,IF(in_cost_curve="front_loaded",(T_Con-(CC$4-T_ConStart)+1)/(T_Con*(T_Con+1)/2),IF(in_cost_curve="back_loaded",(CC$4-T_ConStart)/(T_Con*(T_Con+1)/2),(COS(PI()*(CC$4-T_ConStart-1)/T_Con)-COS(PI()*(CC$4-T_ConStart)/T_Con))/2))),0)</f>
        <v/>
      </c>
      <c r="CD21" s="36">
        <f>IF(CD20=1,IF(in_cost_curve="linear",1/T_Con,IF(in_cost_curve="front_loaded",(T_Con-(CD$4-T_ConStart)+1)/(T_Con*(T_Con+1)/2),IF(in_cost_curve="back_loaded",(CD$4-T_ConStart)/(T_Con*(T_Con+1)/2),(COS(PI()*(CD$4-T_ConStart-1)/T_Con)-COS(PI()*(CD$4-T_ConStart)/T_Con))/2))),0)</f>
        <v/>
      </c>
      <c r="CE21" s="36">
        <f>IF(CE20=1,IF(in_cost_curve="linear",1/T_Con,IF(in_cost_curve="front_loaded",(T_Con-(CE$4-T_ConStart)+1)/(T_Con*(T_Con+1)/2),IF(in_cost_curve="back_loaded",(CE$4-T_ConStart)/(T_Con*(T_Con+1)/2),(COS(PI()*(CE$4-T_ConStart-1)/T_Con)-COS(PI()*(CE$4-T_ConStart)/T_Con))/2))),0)</f>
        <v/>
      </c>
      <c r="CF21" s="36">
        <f>IF(CF20=1,IF(in_cost_curve="linear",1/T_Con,IF(in_cost_curve="front_loaded",(T_Con-(CF$4-T_ConStart)+1)/(T_Con*(T_Con+1)/2),IF(in_cost_curve="back_loaded",(CF$4-T_ConStart)/(T_Con*(T_Con+1)/2),(COS(PI()*(CF$4-T_ConStart-1)/T_Con)-COS(PI()*(CF$4-T_ConStart)/T_Con))/2))),0)</f>
        <v/>
      </c>
      <c r="CG21" s="36">
        <f>IF(CG20=1,IF(in_cost_curve="linear",1/T_Con,IF(in_cost_curve="front_loaded",(T_Con-(CG$4-T_ConStart)+1)/(T_Con*(T_Con+1)/2),IF(in_cost_curve="back_loaded",(CG$4-T_ConStart)/(T_Con*(T_Con+1)/2),(COS(PI()*(CG$4-T_ConStart-1)/T_Con)-COS(PI()*(CG$4-T_ConStart)/T_Con))/2))),0)</f>
        <v/>
      </c>
      <c r="CH21" s="36">
        <f>IF(CH20=1,IF(in_cost_curve="linear",1/T_Con,IF(in_cost_curve="front_loaded",(T_Con-(CH$4-T_ConStart)+1)/(T_Con*(T_Con+1)/2),IF(in_cost_curve="back_loaded",(CH$4-T_ConStart)/(T_Con*(T_Con+1)/2),(COS(PI()*(CH$4-T_ConStart-1)/T_Con)-COS(PI()*(CH$4-T_ConStart)/T_Con))/2))),0)</f>
        <v/>
      </c>
      <c r="CI21" s="36">
        <f>IF(CI20=1,IF(in_cost_curve="linear",1/T_Con,IF(in_cost_curve="front_loaded",(T_Con-(CI$4-T_ConStart)+1)/(T_Con*(T_Con+1)/2),IF(in_cost_curve="back_loaded",(CI$4-T_ConStart)/(T_Con*(T_Con+1)/2),(COS(PI()*(CI$4-T_ConStart-1)/T_Con)-COS(PI()*(CI$4-T_ConStart)/T_Con))/2))),0)</f>
        <v/>
      </c>
      <c r="CJ21" s="36">
        <f>IF(CJ20=1,IF(in_cost_curve="linear",1/T_Con,IF(in_cost_curve="front_loaded",(T_Con-(CJ$4-T_ConStart)+1)/(T_Con*(T_Con+1)/2),IF(in_cost_curve="back_loaded",(CJ$4-T_ConStart)/(T_Con*(T_Con+1)/2),(COS(PI()*(CJ$4-T_ConStart-1)/T_Con)-COS(PI()*(CJ$4-T_ConStart)/T_Con))/2))),0)</f>
        <v/>
      </c>
      <c r="CK21" s="36">
        <f>IF(CK20=1,IF(in_cost_curve="linear",1/T_Con,IF(in_cost_curve="front_loaded",(T_Con-(CK$4-T_ConStart)+1)/(T_Con*(T_Con+1)/2),IF(in_cost_curve="back_loaded",(CK$4-T_ConStart)/(T_Con*(T_Con+1)/2),(COS(PI()*(CK$4-T_ConStart-1)/T_Con)-COS(PI()*(CK$4-T_ConStart)/T_Con))/2))),0)</f>
        <v/>
      </c>
      <c r="CL21" s="36">
        <f>IF(CL20=1,IF(in_cost_curve="linear",1/T_Con,IF(in_cost_curve="front_loaded",(T_Con-(CL$4-T_ConStart)+1)/(T_Con*(T_Con+1)/2),IF(in_cost_curve="back_loaded",(CL$4-T_ConStart)/(T_Con*(T_Con+1)/2),(COS(PI()*(CL$4-T_ConStart-1)/T_Con)-COS(PI()*(CL$4-T_ConStart)/T_Con))/2))),0)</f>
        <v/>
      </c>
      <c r="CM21" s="36">
        <f>IF(CM20=1,IF(in_cost_curve="linear",1/T_Con,IF(in_cost_curve="front_loaded",(T_Con-(CM$4-T_ConStart)+1)/(T_Con*(T_Con+1)/2),IF(in_cost_curve="back_loaded",(CM$4-T_ConStart)/(T_Con*(T_Con+1)/2),(COS(PI()*(CM$4-T_ConStart-1)/T_Con)-COS(PI()*(CM$4-T_ConStart)/T_Con))/2))),0)</f>
        <v/>
      </c>
      <c r="CN21" s="36">
        <f>IF(CN20=1,IF(in_cost_curve="linear",1/T_Con,IF(in_cost_curve="front_loaded",(T_Con-(CN$4-T_ConStart)+1)/(T_Con*(T_Con+1)/2),IF(in_cost_curve="back_loaded",(CN$4-T_ConStart)/(T_Con*(T_Con+1)/2),(COS(PI()*(CN$4-T_ConStart-1)/T_Con)-COS(PI()*(CN$4-T_ConStart)/T_Con))/2))),0)</f>
        <v/>
      </c>
      <c r="CO21" s="36">
        <f>IF(CO20=1,IF(in_cost_curve="linear",1/T_Con,IF(in_cost_curve="front_loaded",(T_Con-(CO$4-T_ConStart)+1)/(T_Con*(T_Con+1)/2),IF(in_cost_curve="back_loaded",(CO$4-T_ConStart)/(T_Con*(T_Con+1)/2),(COS(PI()*(CO$4-T_ConStart-1)/T_Con)-COS(PI()*(CO$4-T_ConStart)/T_Con))/2))),0)</f>
        <v/>
      </c>
      <c r="CP21" s="36">
        <f>IF(CP20=1,IF(in_cost_curve="linear",1/T_Con,IF(in_cost_curve="front_loaded",(T_Con-(CP$4-T_ConStart)+1)/(T_Con*(T_Con+1)/2),IF(in_cost_curve="back_loaded",(CP$4-T_ConStart)/(T_Con*(T_Con+1)/2),(COS(PI()*(CP$4-T_ConStart-1)/T_Con)-COS(PI()*(CP$4-T_ConStart)/T_Con))/2))),0)</f>
        <v/>
      </c>
      <c r="CQ21" s="36">
        <f>IF(CQ20=1,IF(in_cost_curve="linear",1/T_Con,IF(in_cost_curve="front_loaded",(T_Con-(CQ$4-T_ConStart)+1)/(T_Con*(T_Con+1)/2),IF(in_cost_curve="back_loaded",(CQ$4-T_ConStart)/(T_Con*(T_Con+1)/2),(COS(PI()*(CQ$4-T_ConStart-1)/T_Con)-COS(PI()*(CQ$4-T_ConStart)/T_Con))/2))),0)</f>
        <v/>
      </c>
      <c r="CR21" s="36">
        <f>IF(CR20=1,IF(in_cost_curve="linear",1/T_Con,IF(in_cost_curve="front_loaded",(T_Con-(CR$4-T_ConStart)+1)/(T_Con*(T_Con+1)/2),IF(in_cost_curve="back_loaded",(CR$4-T_ConStart)/(T_Con*(T_Con+1)/2),(COS(PI()*(CR$4-T_ConStart-1)/T_Con)-COS(PI()*(CR$4-T_ConStart)/T_Con))/2))),0)</f>
        <v/>
      </c>
      <c r="CS21" s="36">
        <f>IF(CS20=1,IF(in_cost_curve="linear",1/T_Con,IF(in_cost_curve="front_loaded",(T_Con-(CS$4-T_ConStart)+1)/(T_Con*(T_Con+1)/2),IF(in_cost_curve="back_loaded",(CS$4-T_ConStart)/(T_Con*(T_Con+1)/2),(COS(PI()*(CS$4-T_ConStart-1)/T_Con)-COS(PI()*(CS$4-T_ConStart)/T_Con))/2))),0)</f>
        <v/>
      </c>
      <c r="CT21" s="36">
        <f>IF(CT20=1,IF(in_cost_curve="linear",1/T_Con,IF(in_cost_curve="front_loaded",(T_Con-(CT$4-T_ConStart)+1)/(T_Con*(T_Con+1)/2),IF(in_cost_curve="back_loaded",(CT$4-T_ConStart)/(T_Con*(T_Con+1)/2),(COS(PI()*(CT$4-T_ConStart-1)/T_Con)-COS(PI()*(CT$4-T_ConStart)/T_Con))/2))),0)</f>
        <v/>
      </c>
      <c r="CU21" s="36">
        <f>IF(CU20=1,IF(in_cost_curve="linear",1/T_Con,IF(in_cost_curve="front_loaded",(T_Con-(CU$4-T_ConStart)+1)/(T_Con*(T_Con+1)/2),IF(in_cost_curve="back_loaded",(CU$4-T_ConStart)/(T_Con*(T_Con+1)/2),(COS(PI()*(CU$4-T_ConStart-1)/T_Con)-COS(PI()*(CU$4-T_ConStart)/T_Con))/2))),0)</f>
        <v/>
      </c>
    </row>
    <row r="22">
      <c r="A22" s="7" t="inlineStr">
        <is>
          <t>Construction cost escalation factor</t>
        </is>
      </c>
      <c r="B22" s="1" t="n"/>
      <c r="C22" s="11" t="inlineStr"/>
      <c r="D22" s="36">
        <f>(1+in_cost_escalation_pct)^(D$4/12)</f>
        <v/>
      </c>
      <c r="E22" s="36">
        <f>(1+in_cost_escalation_pct)^(E$4/12)</f>
        <v/>
      </c>
      <c r="F22" s="36">
        <f>(1+in_cost_escalation_pct)^(F$4/12)</f>
        <v/>
      </c>
      <c r="G22" s="36">
        <f>(1+in_cost_escalation_pct)^(G$4/12)</f>
        <v/>
      </c>
      <c r="H22" s="36">
        <f>(1+in_cost_escalation_pct)^(H$4/12)</f>
        <v/>
      </c>
      <c r="I22" s="36">
        <f>(1+in_cost_escalation_pct)^(I$4/12)</f>
        <v/>
      </c>
      <c r="J22" s="36">
        <f>(1+in_cost_escalation_pct)^(J$4/12)</f>
        <v/>
      </c>
      <c r="K22" s="36">
        <f>(1+in_cost_escalation_pct)^(K$4/12)</f>
        <v/>
      </c>
      <c r="L22" s="36">
        <f>(1+in_cost_escalation_pct)^(L$4/12)</f>
        <v/>
      </c>
      <c r="M22" s="36">
        <f>(1+in_cost_escalation_pct)^(M$4/12)</f>
        <v/>
      </c>
      <c r="N22" s="36">
        <f>(1+in_cost_escalation_pct)^(N$4/12)</f>
        <v/>
      </c>
      <c r="O22" s="36">
        <f>(1+in_cost_escalation_pct)^(O$4/12)</f>
        <v/>
      </c>
      <c r="P22" s="36">
        <f>(1+in_cost_escalation_pct)^(P$4/12)</f>
        <v/>
      </c>
      <c r="Q22" s="36">
        <f>(1+in_cost_escalation_pct)^(Q$4/12)</f>
        <v/>
      </c>
      <c r="R22" s="36">
        <f>(1+in_cost_escalation_pct)^(R$4/12)</f>
        <v/>
      </c>
      <c r="S22" s="36">
        <f>(1+in_cost_escalation_pct)^(S$4/12)</f>
        <v/>
      </c>
      <c r="T22" s="36">
        <f>(1+in_cost_escalation_pct)^(T$4/12)</f>
        <v/>
      </c>
      <c r="U22" s="36">
        <f>(1+in_cost_escalation_pct)^(U$4/12)</f>
        <v/>
      </c>
      <c r="V22" s="36">
        <f>(1+in_cost_escalation_pct)^(V$4/12)</f>
        <v/>
      </c>
      <c r="W22" s="36">
        <f>(1+in_cost_escalation_pct)^(W$4/12)</f>
        <v/>
      </c>
      <c r="X22" s="36">
        <f>(1+in_cost_escalation_pct)^(X$4/12)</f>
        <v/>
      </c>
      <c r="Y22" s="36">
        <f>(1+in_cost_escalation_pct)^(Y$4/12)</f>
        <v/>
      </c>
      <c r="Z22" s="36">
        <f>(1+in_cost_escalation_pct)^(Z$4/12)</f>
        <v/>
      </c>
      <c r="AA22" s="36">
        <f>(1+in_cost_escalation_pct)^(AA$4/12)</f>
        <v/>
      </c>
      <c r="AB22" s="36">
        <f>(1+in_cost_escalation_pct)^(AB$4/12)</f>
        <v/>
      </c>
      <c r="AC22" s="36">
        <f>(1+in_cost_escalation_pct)^(AC$4/12)</f>
        <v/>
      </c>
      <c r="AD22" s="36">
        <f>(1+in_cost_escalation_pct)^(AD$4/12)</f>
        <v/>
      </c>
      <c r="AE22" s="36">
        <f>(1+in_cost_escalation_pct)^(AE$4/12)</f>
        <v/>
      </c>
      <c r="AF22" s="36">
        <f>(1+in_cost_escalation_pct)^(AF$4/12)</f>
        <v/>
      </c>
      <c r="AG22" s="36">
        <f>(1+in_cost_escalation_pct)^(AG$4/12)</f>
        <v/>
      </c>
      <c r="AH22" s="36">
        <f>(1+in_cost_escalation_pct)^(AH$4/12)</f>
        <v/>
      </c>
      <c r="AI22" s="36">
        <f>(1+in_cost_escalation_pct)^(AI$4/12)</f>
        <v/>
      </c>
      <c r="AJ22" s="36">
        <f>(1+in_cost_escalation_pct)^(AJ$4/12)</f>
        <v/>
      </c>
      <c r="AK22" s="36">
        <f>(1+in_cost_escalation_pct)^(AK$4/12)</f>
        <v/>
      </c>
      <c r="AL22" s="36">
        <f>(1+in_cost_escalation_pct)^(AL$4/12)</f>
        <v/>
      </c>
      <c r="AM22" s="36">
        <f>(1+in_cost_escalation_pct)^(AM$4/12)</f>
        <v/>
      </c>
      <c r="AN22" s="36">
        <f>(1+in_cost_escalation_pct)^(AN$4/12)</f>
        <v/>
      </c>
      <c r="AO22" s="36">
        <f>(1+in_cost_escalation_pct)^(AO$4/12)</f>
        <v/>
      </c>
      <c r="AP22" s="36">
        <f>(1+in_cost_escalation_pct)^(AP$4/12)</f>
        <v/>
      </c>
      <c r="AQ22" s="36">
        <f>(1+in_cost_escalation_pct)^(AQ$4/12)</f>
        <v/>
      </c>
      <c r="AR22" s="36">
        <f>(1+in_cost_escalation_pct)^(AR$4/12)</f>
        <v/>
      </c>
      <c r="AS22" s="36">
        <f>(1+in_cost_escalation_pct)^(AS$4/12)</f>
        <v/>
      </c>
      <c r="AT22" s="36">
        <f>(1+in_cost_escalation_pct)^(AT$4/12)</f>
        <v/>
      </c>
      <c r="AU22" s="36">
        <f>(1+in_cost_escalation_pct)^(AU$4/12)</f>
        <v/>
      </c>
      <c r="AV22" s="36">
        <f>(1+in_cost_escalation_pct)^(AV$4/12)</f>
        <v/>
      </c>
      <c r="AW22" s="36">
        <f>(1+in_cost_escalation_pct)^(AW$4/12)</f>
        <v/>
      </c>
      <c r="AX22" s="36">
        <f>(1+in_cost_escalation_pct)^(AX$4/12)</f>
        <v/>
      </c>
      <c r="AY22" s="36">
        <f>(1+in_cost_escalation_pct)^(AY$4/12)</f>
        <v/>
      </c>
      <c r="AZ22" s="36">
        <f>(1+in_cost_escalation_pct)^(AZ$4/12)</f>
        <v/>
      </c>
      <c r="BA22" s="36">
        <f>(1+in_cost_escalation_pct)^(BA$4/12)</f>
        <v/>
      </c>
      <c r="BB22" s="36">
        <f>(1+in_cost_escalation_pct)^(BB$4/12)</f>
        <v/>
      </c>
      <c r="BC22" s="36">
        <f>(1+in_cost_escalation_pct)^(BC$4/12)</f>
        <v/>
      </c>
      <c r="BD22" s="36">
        <f>(1+in_cost_escalation_pct)^(BD$4/12)</f>
        <v/>
      </c>
      <c r="BE22" s="36">
        <f>(1+in_cost_escalation_pct)^(BE$4/12)</f>
        <v/>
      </c>
      <c r="BF22" s="36">
        <f>(1+in_cost_escalation_pct)^(BF$4/12)</f>
        <v/>
      </c>
      <c r="BG22" s="36">
        <f>(1+in_cost_escalation_pct)^(BG$4/12)</f>
        <v/>
      </c>
      <c r="BH22" s="36">
        <f>(1+in_cost_escalation_pct)^(BH$4/12)</f>
        <v/>
      </c>
      <c r="BI22" s="36">
        <f>(1+in_cost_escalation_pct)^(BI$4/12)</f>
        <v/>
      </c>
      <c r="BJ22" s="36">
        <f>(1+in_cost_escalation_pct)^(BJ$4/12)</f>
        <v/>
      </c>
      <c r="BK22" s="36">
        <f>(1+in_cost_escalation_pct)^(BK$4/12)</f>
        <v/>
      </c>
      <c r="BL22" s="36">
        <f>(1+in_cost_escalation_pct)^(BL$4/12)</f>
        <v/>
      </c>
      <c r="BM22" s="36">
        <f>(1+in_cost_escalation_pct)^(BM$4/12)</f>
        <v/>
      </c>
      <c r="BN22" s="36">
        <f>(1+in_cost_escalation_pct)^(BN$4/12)</f>
        <v/>
      </c>
      <c r="BO22" s="36">
        <f>(1+in_cost_escalation_pct)^(BO$4/12)</f>
        <v/>
      </c>
      <c r="BP22" s="36">
        <f>(1+in_cost_escalation_pct)^(BP$4/12)</f>
        <v/>
      </c>
      <c r="BQ22" s="36">
        <f>(1+in_cost_escalation_pct)^(BQ$4/12)</f>
        <v/>
      </c>
      <c r="BR22" s="36">
        <f>(1+in_cost_escalation_pct)^(BR$4/12)</f>
        <v/>
      </c>
      <c r="BS22" s="36">
        <f>(1+in_cost_escalation_pct)^(BS$4/12)</f>
        <v/>
      </c>
      <c r="BT22" s="36">
        <f>(1+in_cost_escalation_pct)^(BT$4/12)</f>
        <v/>
      </c>
      <c r="BU22" s="36">
        <f>(1+in_cost_escalation_pct)^(BU$4/12)</f>
        <v/>
      </c>
      <c r="BV22" s="36">
        <f>(1+in_cost_escalation_pct)^(BV$4/12)</f>
        <v/>
      </c>
      <c r="BW22" s="36">
        <f>(1+in_cost_escalation_pct)^(BW$4/12)</f>
        <v/>
      </c>
      <c r="BX22" s="36">
        <f>(1+in_cost_escalation_pct)^(BX$4/12)</f>
        <v/>
      </c>
      <c r="BY22" s="36">
        <f>(1+in_cost_escalation_pct)^(BY$4/12)</f>
        <v/>
      </c>
      <c r="BZ22" s="36">
        <f>(1+in_cost_escalation_pct)^(BZ$4/12)</f>
        <v/>
      </c>
      <c r="CA22" s="36">
        <f>(1+in_cost_escalation_pct)^(CA$4/12)</f>
        <v/>
      </c>
      <c r="CB22" s="36">
        <f>(1+in_cost_escalation_pct)^(CB$4/12)</f>
        <v/>
      </c>
      <c r="CC22" s="36">
        <f>(1+in_cost_escalation_pct)^(CC$4/12)</f>
        <v/>
      </c>
      <c r="CD22" s="36">
        <f>(1+in_cost_escalation_pct)^(CD$4/12)</f>
        <v/>
      </c>
      <c r="CE22" s="36">
        <f>(1+in_cost_escalation_pct)^(CE$4/12)</f>
        <v/>
      </c>
      <c r="CF22" s="36">
        <f>(1+in_cost_escalation_pct)^(CF$4/12)</f>
        <v/>
      </c>
      <c r="CG22" s="36">
        <f>(1+in_cost_escalation_pct)^(CG$4/12)</f>
        <v/>
      </c>
      <c r="CH22" s="36">
        <f>(1+in_cost_escalation_pct)^(CH$4/12)</f>
        <v/>
      </c>
      <c r="CI22" s="36">
        <f>(1+in_cost_escalation_pct)^(CI$4/12)</f>
        <v/>
      </c>
      <c r="CJ22" s="36">
        <f>(1+in_cost_escalation_pct)^(CJ$4/12)</f>
        <v/>
      </c>
      <c r="CK22" s="36">
        <f>(1+in_cost_escalation_pct)^(CK$4/12)</f>
        <v/>
      </c>
      <c r="CL22" s="36">
        <f>(1+in_cost_escalation_pct)^(CL$4/12)</f>
        <v/>
      </c>
      <c r="CM22" s="36">
        <f>(1+in_cost_escalation_pct)^(CM$4/12)</f>
        <v/>
      </c>
      <c r="CN22" s="36">
        <f>(1+in_cost_escalation_pct)^(CN$4/12)</f>
        <v/>
      </c>
      <c r="CO22" s="36">
        <f>(1+in_cost_escalation_pct)^(CO$4/12)</f>
        <v/>
      </c>
      <c r="CP22" s="36">
        <f>(1+in_cost_escalation_pct)^(CP$4/12)</f>
        <v/>
      </c>
      <c r="CQ22" s="36">
        <f>(1+in_cost_escalation_pct)^(CQ$4/12)</f>
        <v/>
      </c>
      <c r="CR22" s="36">
        <f>(1+in_cost_escalation_pct)^(CR$4/12)</f>
        <v/>
      </c>
      <c r="CS22" s="36">
        <f>(1+in_cost_escalation_pct)^(CS$4/12)</f>
        <v/>
      </c>
      <c r="CT22" s="36">
        <f>(1+in_cost_escalation_pct)^(CT$4/12)</f>
        <v/>
      </c>
      <c r="CU22" s="36">
        <f>(1+in_cost_escalation_pct)^(CU$4/12)</f>
        <v/>
      </c>
    </row>
    <row r="23">
      <c r="A23" s="13" t="inlineStr">
        <is>
          <t>Costs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4" t="n"/>
      <c r="CE23" s="14" t="n"/>
      <c r="CF23" s="14" t="n"/>
      <c r="CG23" s="14" t="n"/>
      <c r="CH23" s="14" t="n"/>
      <c r="CI23" s="14" t="n"/>
      <c r="CJ23" s="14" t="n"/>
      <c r="CK23" s="14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</row>
    <row r="24">
      <c r="A24" s="7" t="inlineStr">
        <is>
          <t>Land / property price</t>
        </is>
      </c>
      <c r="B24" s="21">
        <f>SUM(D24:CU24)</f>
        <v/>
      </c>
      <c r="C24" s="11" t="inlineStr"/>
      <c r="D24" s="34">
        <f>IF(SUM(lp_pct)=0,IF(D$4=0,in_site_land_price,0),SUMPRODUCT((lp_month=D$4)*lp_pct)*in_site_land_price)</f>
        <v/>
      </c>
      <c r="E24" s="34">
        <f>IF(SUM(lp_pct)=0,IF(E$4=0,in_site_land_price,0),SUMPRODUCT((lp_month=E$4)*lp_pct)*in_site_land_price)</f>
        <v/>
      </c>
      <c r="F24" s="34">
        <f>IF(SUM(lp_pct)=0,IF(F$4=0,in_site_land_price,0),SUMPRODUCT((lp_month=F$4)*lp_pct)*in_site_land_price)</f>
        <v/>
      </c>
      <c r="G24" s="34">
        <f>IF(SUM(lp_pct)=0,IF(G$4=0,in_site_land_price,0),SUMPRODUCT((lp_month=G$4)*lp_pct)*in_site_land_price)</f>
        <v/>
      </c>
      <c r="H24" s="34">
        <f>IF(SUM(lp_pct)=0,IF(H$4=0,in_site_land_price,0),SUMPRODUCT((lp_month=H$4)*lp_pct)*in_site_land_price)</f>
        <v/>
      </c>
      <c r="I24" s="34">
        <f>IF(SUM(lp_pct)=0,IF(I$4=0,in_site_land_price,0),SUMPRODUCT((lp_month=I$4)*lp_pct)*in_site_land_price)</f>
        <v/>
      </c>
      <c r="J24" s="34">
        <f>IF(SUM(lp_pct)=0,IF(J$4=0,in_site_land_price,0),SUMPRODUCT((lp_month=J$4)*lp_pct)*in_site_land_price)</f>
        <v/>
      </c>
      <c r="K24" s="34">
        <f>IF(SUM(lp_pct)=0,IF(K$4=0,in_site_land_price,0),SUMPRODUCT((lp_month=K$4)*lp_pct)*in_site_land_price)</f>
        <v/>
      </c>
      <c r="L24" s="34">
        <f>IF(SUM(lp_pct)=0,IF(L$4=0,in_site_land_price,0),SUMPRODUCT((lp_month=L$4)*lp_pct)*in_site_land_price)</f>
        <v/>
      </c>
      <c r="M24" s="34">
        <f>IF(SUM(lp_pct)=0,IF(M$4=0,in_site_land_price,0),SUMPRODUCT((lp_month=M$4)*lp_pct)*in_site_land_price)</f>
        <v/>
      </c>
      <c r="N24" s="34">
        <f>IF(SUM(lp_pct)=0,IF(N$4=0,in_site_land_price,0),SUMPRODUCT((lp_month=N$4)*lp_pct)*in_site_land_price)</f>
        <v/>
      </c>
      <c r="O24" s="34">
        <f>IF(SUM(lp_pct)=0,IF(O$4=0,in_site_land_price,0),SUMPRODUCT((lp_month=O$4)*lp_pct)*in_site_land_price)</f>
        <v/>
      </c>
      <c r="P24" s="34">
        <f>IF(SUM(lp_pct)=0,IF(P$4=0,in_site_land_price,0),SUMPRODUCT((lp_month=P$4)*lp_pct)*in_site_land_price)</f>
        <v/>
      </c>
      <c r="Q24" s="34">
        <f>IF(SUM(lp_pct)=0,IF(Q$4=0,in_site_land_price,0),SUMPRODUCT((lp_month=Q$4)*lp_pct)*in_site_land_price)</f>
        <v/>
      </c>
      <c r="R24" s="34">
        <f>IF(SUM(lp_pct)=0,IF(R$4=0,in_site_land_price,0),SUMPRODUCT((lp_month=R$4)*lp_pct)*in_site_land_price)</f>
        <v/>
      </c>
      <c r="S24" s="34">
        <f>IF(SUM(lp_pct)=0,IF(S$4=0,in_site_land_price,0),SUMPRODUCT((lp_month=S$4)*lp_pct)*in_site_land_price)</f>
        <v/>
      </c>
      <c r="T24" s="34">
        <f>IF(SUM(lp_pct)=0,IF(T$4=0,in_site_land_price,0),SUMPRODUCT((lp_month=T$4)*lp_pct)*in_site_land_price)</f>
        <v/>
      </c>
      <c r="U24" s="34">
        <f>IF(SUM(lp_pct)=0,IF(U$4=0,in_site_land_price,0),SUMPRODUCT((lp_month=U$4)*lp_pct)*in_site_land_price)</f>
        <v/>
      </c>
      <c r="V24" s="34">
        <f>IF(SUM(lp_pct)=0,IF(V$4=0,in_site_land_price,0),SUMPRODUCT((lp_month=V$4)*lp_pct)*in_site_land_price)</f>
        <v/>
      </c>
      <c r="W24" s="34">
        <f>IF(SUM(lp_pct)=0,IF(W$4=0,in_site_land_price,0),SUMPRODUCT((lp_month=W$4)*lp_pct)*in_site_land_price)</f>
        <v/>
      </c>
      <c r="X24" s="34">
        <f>IF(SUM(lp_pct)=0,IF(X$4=0,in_site_land_price,0),SUMPRODUCT((lp_month=X$4)*lp_pct)*in_site_land_price)</f>
        <v/>
      </c>
      <c r="Y24" s="34">
        <f>IF(SUM(lp_pct)=0,IF(Y$4=0,in_site_land_price,0),SUMPRODUCT((lp_month=Y$4)*lp_pct)*in_site_land_price)</f>
        <v/>
      </c>
      <c r="Z24" s="34">
        <f>IF(SUM(lp_pct)=0,IF(Z$4=0,in_site_land_price,0),SUMPRODUCT((lp_month=Z$4)*lp_pct)*in_site_land_price)</f>
        <v/>
      </c>
      <c r="AA24" s="34">
        <f>IF(SUM(lp_pct)=0,IF(AA$4=0,in_site_land_price,0),SUMPRODUCT((lp_month=AA$4)*lp_pct)*in_site_land_price)</f>
        <v/>
      </c>
      <c r="AB24" s="34">
        <f>IF(SUM(lp_pct)=0,IF(AB$4=0,in_site_land_price,0),SUMPRODUCT((lp_month=AB$4)*lp_pct)*in_site_land_price)</f>
        <v/>
      </c>
      <c r="AC24" s="34">
        <f>IF(SUM(lp_pct)=0,IF(AC$4=0,in_site_land_price,0),SUMPRODUCT((lp_month=AC$4)*lp_pct)*in_site_land_price)</f>
        <v/>
      </c>
      <c r="AD24" s="34">
        <f>IF(SUM(lp_pct)=0,IF(AD$4=0,in_site_land_price,0),SUMPRODUCT((lp_month=AD$4)*lp_pct)*in_site_land_price)</f>
        <v/>
      </c>
      <c r="AE24" s="34">
        <f>IF(SUM(lp_pct)=0,IF(AE$4=0,in_site_land_price,0),SUMPRODUCT((lp_month=AE$4)*lp_pct)*in_site_land_price)</f>
        <v/>
      </c>
      <c r="AF24" s="34">
        <f>IF(SUM(lp_pct)=0,IF(AF$4=0,in_site_land_price,0),SUMPRODUCT((lp_month=AF$4)*lp_pct)*in_site_land_price)</f>
        <v/>
      </c>
      <c r="AG24" s="34">
        <f>IF(SUM(lp_pct)=0,IF(AG$4=0,in_site_land_price,0),SUMPRODUCT((lp_month=AG$4)*lp_pct)*in_site_land_price)</f>
        <v/>
      </c>
      <c r="AH24" s="34">
        <f>IF(SUM(lp_pct)=0,IF(AH$4=0,in_site_land_price,0),SUMPRODUCT((lp_month=AH$4)*lp_pct)*in_site_land_price)</f>
        <v/>
      </c>
      <c r="AI24" s="34">
        <f>IF(SUM(lp_pct)=0,IF(AI$4=0,in_site_land_price,0),SUMPRODUCT((lp_month=AI$4)*lp_pct)*in_site_land_price)</f>
        <v/>
      </c>
      <c r="AJ24" s="34">
        <f>IF(SUM(lp_pct)=0,IF(AJ$4=0,in_site_land_price,0),SUMPRODUCT((lp_month=AJ$4)*lp_pct)*in_site_land_price)</f>
        <v/>
      </c>
      <c r="AK24" s="34">
        <f>IF(SUM(lp_pct)=0,IF(AK$4=0,in_site_land_price,0),SUMPRODUCT((lp_month=AK$4)*lp_pct)*in_site_land_price)</f>
        <v/>
      </c>
      <c r="AL24" s="34">
        <f>IF(SUM(lp_pct)=0,IF(AL$4=0,in_site_land_price,0),SUMPRODUCT((lp_month=AL$4)*lp_pct)*in_site_land_price)</f>
        <v/>
      </c>
      <c r="AM24" s="34">
        <f>IF(SUM(lp_pct)=0,IF(AM$4=0,in_site_land_price,0),SUMPRODUCT((lp_month=AM$4)*lp_pct)*in_site_land_price)</f>
        <v/>
      </c>
      <c r="AN24" s="34">
        <f>IF(SUM(lp_pct)=0,IF(AN$4=0,in_site_land_price,0),SUMPRODUCT((lp_month=AN$4)*lp_pct)*in_site_land_price)</f>
        <v/>
      </c>
      <c r="AO24" s="34">
        <f>IF(SUM(lp_pct)=0,IF(AO$4=0,in_site_land_price,0),SUMPRODUCT((lp_month=AO$4)*lp_pct)*in_site_land_price)</f>
        <v/>
      </c>
      <c r="AP24" s="34">
        <f>IF(SUM(lp_pct)=0,IF(AP$4=0,in_site_land_price,0),SUMPRODUCT((lp_month=AP$4)*lp_pct)*in_site_land_price)</f>
        <v/>
      </c>
      <c r="AQ24" s="34">
        <f>IF(SUM(lp_pct)=0,IF(AQ$4=0,in_site_land_price,0),SUMPRODUCT((lp_month=AQ$4)*lp_pct)*in_site_land_price)</f>
        <v/>
      </c>
      <c r="AR24" s="34">
        <f>IF(SUM(lp_pct)=0,IF(AR$4=0,in_site_land_price,0),SUMPRODUCT((lp_month=AR$4)*lp_pct)*in_site_land_price)</f>
        <v/>
      </c>
      <c r="AS24" s="34">
        <f>IF(SUM(lp_pct)=0,IF(AS$4=0,in_site_land_price,0),SUMPRODUCT((lp_month=AS$4)*lp_pct)*in_site_land_price)</f>
        <v/>
      </c>
      <c r="AT24" s="34">
        <f>IF(SUM(lp_pct)=0,IF(AT$4=0,in_site_land_price,0),SUMPRODUCT((lp_month=AT$4)*lp_pct)*in_site_land_price)</f>
        <v/>
      </c>
      <c r="AU24" s="34">
        <f>IF(SUM(lp_pct)=0,IF(AU$4=0,in_site_land_price,0),SUMPRODUCT((lp_month=AU$4)*lp_pct)*in_site_land_price)</f>
        <v/>
      </c>
      <c r="AV24" s="34">
        <f>IF(SUM(lp_pct)=0,IF(AV$4=0,in_site_land_price,0),SUMPRODUCT((lp_month=AV$4)*lp_pct)*in_site_land_price)</f>
        <v/>
      </c>
      <c r="AW24" s="34">
        <f>IF(SUM(lp_pct)=0,IF(AW$4=0,in_site_land_price,0),SUMPRODUCT((lp_month=AW$4)*lp_pct)*in_site_land_price)</f>
        <v/>
      </c>
      <c r="AX24" s="34">
        <f>IF(SUM(lp_pct)=0,IF(AX$4=0,in_site_land_price,0),SUMPRODUCT((lp_month=AX$4)*lp_pct)*in_site_land_price)</f>
        <v/>
      </c>
      <c r="AY24" s="34">
        <f>IF(SUM(lp_pct)=0,IF(AY$4=0,in_site_land_price,0),SUMPRODUCT((lp_month=AY$4)*lp_pct)*in_site_land_price)</f>
        <v/>
      </c>
      <c r="AZ24" s="34">
        <f>IF(SUM(lp_pct)=0,IF(AZ$4=0,in_site_land_price,0),SUMPRODUCT((lp_month=AZ$4)*lp_pct)*in_site_land_price)</f>
        <v/>
      </c>
      <c r="BA24" s="34">
        <f>IF(SUM(lp_pct)=0,IF(BA$4=0,in_site_land_price,0),SUMPRODUCT((lp_month=BA$4)*lp_pct)*in_site_land_price)</f>
        <v/>
      </c>
      <c r="BB24" s="34">
        <f>IF(SUM(lp_pct)=0,IF(BB$4=0,in_site_land_price,0),SUMPRODUCT((lp_month=BB$4)*lp_pct)*in_site_land_price)</f>
        <v/>
      </c>
      <c r="BC24" s="34">
        <f>IF(SUM(lp_pct)=0,IF(BC$4=0,in_site_land_price,0),SUMPRODUCT((lp_month=BC$4)*lp_pct)*in_site_land_price)</f>
        <v/>
      </c>
      <c r="BD24" s="34">
        <f>IF(SUM(lp_pct)=0,IF(BD$4=0,in_site_land_price,0),SUMPRODUCT((lp_month=BD$4)*lp_pct)*in_site_land_price)</f>
        <v/>
      </c>
      <c r="BE24" s="34">
        <f>IF(SUM(lp_pct)=0,IF(BE$4=0,in_site_land_price,0),SUMPRODUCT((lp_month=BE$4)*lp_pct)*in_site_land_price)</f>
        <v/>
      </c>
      <c r="BF24" s="34">
        <f>IF(SUM(lp_pct)=0,IF(BF$4=0,in_site_land_price,0),SUMPRODUCT((lp_month=BF$4)*lp_pct)*in_site_land_price)</f>
        <v/>
      </c>
      <c r="BG24" s="34">
        <f>IF(SUM(lp_pct)=0,IF(BG$4=0,in_site_land_price,0),SUMPRODUCT((lp_month=BG$4)*lp_pct)*in_site_land_price)</f>
        <v/>
      </c>
      <c r="BH24" s="34">
        <f>IF(SUM(lp_pct)=0,IF(BH$4=0,in_site_land_price,0),SUMPRODUCT((lp_month=BH$4)*lp_pct)*in_site_land_price)</f>
        <v/>
      </c>
      <c r="BI24" s="34">
        <f>IF(SUM(lp_pct)=0,IF(BI$4=0,in_site_land_price,0),SUMPRODUCT((lp_month=BI$4)*lp_pct)*in_site_land_price)</f>
        <v/>
      </c>
      <c r="BJ24" s="34">
        <f>IF(SUM(lp_pct)=0,IF(BJ$4=0,in_site_land_price,0),SUMPRODUCT((lp_month=BJ$4)*lp_pct)*in_site_land_price)</f>
        <v/>
      </c>
      <c r="BK24" s="34">
        <f>IF(SUM(lp_pct)=0,IF(BK$4=0,in_site_land_price,0),SUMPRODUCT((lp_month=BK$4)*lp_pct)*in_site_land_price)</f>
        <v/>
      </c>
      <c r="BL24" s="34">
        <f>IF(SUM(lp_pct)=0,IF(BL$4=0,in_site_land_price,0),SUMPRODUCT((lp_month=BL$4)*lp_pct)*in_site_land_price)</f>
        <v/>
      </c>
      <c r="BM24" s="34">
        <f>IF(SUM(lp_pct)=0,IF(BM$4=0,in_site_land_price,0),SUMPRODUCT((lp_month=BM$4)*lp_pct)*in_site_land_price)</f>
        <v/>
      </c>
      <c r="BN24" s="34">
        <f>IF(SUM(lp_pct)=0,IF(BN$4=0,in_site_land_price,0),SUMPRODUCT((lp_month=BN$4)*lp_pct)*in_site_land_price)</f>
        <v/>
      </c>
      <c r="BO24" s="34">
        <f>IF(SUM(lp_pct)=0,IF(BO$4=0,in_site_land_price,0),SUMPRODUCT((lp_month=BO$4)*lp_pct)*in_site_land_price)</f>
        <v/>
      </c>
      <c r="BP24" s="34">
        <f>IF(SUM(lp_pct)=0,IF(BP$4=0,in_site_land_price,0),SUMPRODUCT((lp_month=BP$4)*lp_pct)*in_site_land_price)</f>
        <v/>
      </c>
      <c r="BQ24" s="34">
        <f>IF(SUM(lp_pct)=0,IF(BQ$4=0,in_site_land_price,0),SUMPRODUCT((lp_month=BQ$4)*lp_pct)*in_site_land_price)</f>
        <v/>
      </c>
      <c r="BR24" s="34">
        <f>IF(SUM(lp_pct)=0,IF(BR$4=0,in_site_land_price,0),SUMPRODUCT((lp_month=BR$4)*lp_pct)*in_site_land_price)</f>
        <v/>
      </c>
      <c r="BS24" s="34">
        <f>IF(SUM(lp_pct)=0,IF(BS$4=0,in_site_land_price,0),SUMPRODUCT((lp_month=BS$4)*lp_pct)*in_site_land_price)</f>
        <v/>
      </c>
      <c r="BT24" s="34">
        <f>IF(SUM(lp_pct)=0,IF(BT$4=0,in_site_land_price,0),SUMPRODUCT((lp_month=BT$4)*lp_pct)*in_site_land_price)</f>
        <v/>
      </c>
      <c r="BU24" s="34">
        <f>IF(SUM(lp_pct)=0,IF(BU$4=0,in_site_land_price,0),SUMPRODUCT((lp_month=BU$4)*lp_pct)*in_site_land_price)</f>
        <v/>
      </c>
      <c r="BV24" s="34">
        <f>IF(SUM(lp_pct)=0,IF(BV$4=0,in_site_land_price,0),SUMPRODUCT((lp_month=BV$4)*lp_pct)*in_site_land_price)</f>
        <v/>
      </c>
      <c r="BW24" s="34">
        <f>IF(SUM(lp_pct)=0,IF(BW$4=0,in_site_land_price,0),SUMPRODUCT((lp_month=BW$4)*lp_pct)*in_site_land_price)</f>
        <v/>
      </c>
      <c r="BX24" s="34">
        <f>IF(SUM(lp_pct)=0,IF(BX$4=0,in_site_land_price,0),SUMPRODUCT((lp_month=BX$4)*lp_pct)*in_site_land_price)</f>
        <v/>
      </c>
      <c r="BY24" s="34">
        <f>IF(SUM(lp_pct)=0,IF(BY$4=0,in_site_land_price,0),SUMPRODUCT((lp_month=BY$4)*lp_pct)*in_site_land_price)</f>
        <v/>
      </c>
      <c r="BZ24" s="34">
        <f>IF(SUM(lp_pct)=0,IF(BZ$4=0,in_site_land_price,0),SUMPRODUCT((lp_month=BZ$4)*lp_pct)*in_site_land_price)</f>
        <v/>
      </c>
      <c r="CA24" s="34">
        <f>IF(SUM(lp_pct)=0,IF(CA$4=0,in_site_land_price,0),SUMPRODUCT((lp_month=CA$4)*lp_pct)*in_site_land_price)</f>
        <v/>
      </c>
      <c r="CB24" s="34">
        <f>IF(SUM(lp_pct)=0,IF(CB$4=0,in_site_land_price,0),SUMPRODUCT((lp_month=CB$4)*lp_pct)*in_site_land_price)</f>
        <v/>
      </c>
      <c r="CC24" s="34">
        <f>IF(SUM(lp_pct)=0,IF(CC$4=0,in_site_land_price,0),SUMPRODUCT((lp_month=CC$4)*lp_pct)*in_site_land_price)</f>
        <v/>
      </c>
      <c r="CD24" s="34">
        <f>IF(SUM(lp_pct)=0,IF(CD$4=0,in_site_land_price,0),SUMPRODUCT((lp_month=CD$4)*lp_pct)*in_site_land_price)</f>
        <v/>
      </c>
      <c r="CE24" s="34">
        <f>IF(SUM(lp_pct)=0,IF(CE$4=0,in_site_land_price,0),SUMPRODUCT((lp_month=CE$4)*lp_pct)*in_site_land_price)</f>
        <v/>
      </c>
      <c r="CF24" s="34">
        <f>IF(SUM(lp_pct)=0,IF(CF$4=0,in_site_land_price,0),SUMPRODUCT((lp_month=CF$4)*lp_pct)*in_site_land_price)</f>
        <v/>
      </c>
      <c r="CG24" s="34">
        <f>IF(SUM(lp_pct)=0,IF(CG$4=0,in_site_land_price,0),SUMPRODUCT((lp_month=CG$4)*lp_pct)*in_site_land_price)</f>
        <v/>
      </c>
      <c r="CH24" s="34">
        <f>IF(SUM(lp_pct)=0,IF(CH$4=0,in_site_land_price,0),SUMPRODUCT((lp_month=CH$4)*lp_pct)*in_site_land_price)</f>
        <v/>
      </c>
      <c r="CI24" s="34">
        <f>IF(SUM(lp_pct)=0,IF(CI$4=0,in_site_land_price,0),SUMPRODUCT((lp_month=CI$4)*lp_pct)*in_site_land_price)</f>
        <v/>
      </c>
      <c r="CJ24" s="34">
        <f>IF(SUM(lp_pct)=0,IF(CJ$4=0,in_site_land_price,0),SUMPRODUCT((lp_month=CJ$4)*lp_pct)*in_site_land_price)</f>
        <v/>
      </c>
      <c r="CK24" s="34">
        <f>IF(SUM(lp_pct)=0,IF(CK$4=0,in_site_land_price,0),SUMPRODUCT((lp_month=CK$4)*lp_pct)*in_site_land_price)</f>
        <v/>
      </c>
      <c r="CL24" s="34">
        <f>IF(SUM(lp_pct)=0,IF(CL$4=0,in_site_land_price,0),SUMPRODUCT((lp_month=CL$4)*lp_pct)*in_site_land_price)</f>
        <v/>
      </c>
      <c r="CM24" s="34">
        <f>IF(SUM(lp_pct)=0,IF(CM$4=0,in_site_land_price,0),SUMPRODUCT((lp_month=CM$4)*lp_pct)*in_site_land_price)</f>
        <v/>
      </c>
      <c r="CN24" s="34">
        <f>IF(SUM(lp_pct)=0,IF(CN$4=0,in_site_land_price,0),SUMPRODUCT((lp_month=CN$4)*lp_pct)*in_site_land_price)</f>
        <v/>
      </c>
      <c r="CO24" s="34">
        <f>IF(SUM(lp_pct)=0,IF(CO$4=0,in_site_land_price,0),SUMPRODUCT((lp_month=CO$4)*lp_pct)*in_site_land_price)</f>
        <v/>
      </c>
      <c r="CP24" s="34">
        <f>IF(SUM(lp_pct)=0,IF(CP$4=0,in_site_land_price,0),SUMPRODUCT((lp_month=CP$4)*lp_pct)*in_site_land_price)</f>
        <v/>
      </c>
      <c r="CQ24" s="34">
        <f>IF(SUM(lp_pct)=0,IF(CQ$4=0,in_site_land_price,0),SUMPRODUCT((lp_month=CQ$4)*lp_pct)*in_site_land_price)</f>
        <v/>
      </c>
      <c r="CR24" s="34">
        <f>IF(SUM(lp_pct)=0,IF(CR$4=0,in_site_land_price,0),SUMPRODUCT((lp_month=CR$4)*lp_pct)*in_site_land_price)</f>
        <v/>
      </c>
      <c r="CS24" s="34">
        <f>IF(SUM(lp_pct)=0,IF(CS$4=0,in_site_land_price,0),SUMPRODUCT((lp_month=CS$4)*lp_pct)*in_site_land_price)</f>
        <v/>
      </c>
      <c r="CT24" s="34">
        <f>IF(SUM(lp_pct)=0,IF(CT$4=0,in_site_land_price,0),SUMPRODUCT((lp_month=CT$4)*lp_pct)*in_site_land_price)</f>
        <v/>
      </c>
      <c r="CU24" s="34">
        <f>IF(SUM(lp_pct)=0,IF(CU$4=0,in_site_land_price,0),SUMPRODUCT((lp_month=CU$4)*lp_pct)*in_site_land_price)</f>
        <v/>
      </c>
    </row>
    <row r="25">
      <c r="A25" s="7" t="inlineStr">
        <is>
          <t>Acquisition taxes, notary, brokerage &amp; due diligence</t>
        </is>
      </c>
      <c r="B25" s="21">
        <f>SUM(D25:CU25)</f>
        <v/>
      </c>
      <c r="C25" s="11" t="inlineStr"/>
      <c r="D25" s="34">
        <f>IF(D$4=0,in_site_land_price*(in_site_transfer_tax_pct+in_site_legal_notary_pct+in_site_brokerage_pct)+N(in_site_due_diligence),0)</f>
        <v/>
      </c>
      <c r="E25" s="34">
        <f>IF(E$4=0,in_site_land_price*(in_site_transfer_tax_pct+in_site_legal_notary_pct+in_site_brokerage_pct)+N(in_site_due_diligence),0)</f>
        <v/>
      </c>
      <c r="F25" s="34">
        <f>IF(F$4=0,in_site_land_price*(in_site_transfer_tax_pct+in_site_legal_notary_pct+in_site_brokerage_pct)+N(in_site_due_diligence),0)</f>
        <v/>
      </c>
      <c r="G25" s="34">
        <f>IF(G$4=0,in_site_land_price*(in_site_transfer_tax_pct+in_site_legal_notary_pct+in_site_brokerage_pct)+N(in_site_due_diligence),0)</f>
        <v/>
      </c>
      <c r="H25" s="34">
        <f>IF(H$4=0,in_site_land_price*(in_site_transfer_tax_pct+in_site_legal_notary_pct+in_site_brokerage_pct)+N(in_site_due_diligence),0)</f>
        <v/>
      </c>
      <c r="I25" s="34">
        <f>IF(I$4=0,in_site_land_price*(in_site_transfer_tax_pct+in_site_legal_notary_pct+in_site_brokerage_pct)+N(in_site_due_diligence),0)</f>
        <v/>
      </c>
      <c r="J25" s="34">
        <f>IF(J$4=0,in_site_land_price*(in_site_transfer_tax_pct+in_site_legal_notary_pct+in_site_brokerage_pct)+N(in_site_due_diligence),0)</f>
        <v/>
      </c>
      <c r="K25" s="34">
        <f>IF(K$4=0,in_site_land_price*(in_site_transfer_tax_pct+in_site_legal_notary_pct+in_site_brokerage_pct)+N(in_site_due_diligence),0)</f>
        <v/>
      </c>
      <c r="L25" s="34">
        <f>IF(L$4=0,in_site_land_price*(in_site_transfer_tax_pct+in_site_legal_notary_pct+in_site_brokerage_pct)+N(in_site_due_diligence),0)</f>
        <v/>
      </c>
      <c r="M25" s="34">
        <f>IF(M$4=0,in_site_land_price*(in_site_transfer_tax_pct+in_site_legal_notary_pct+in_site_brokerage_pct)+N(in_site_due_diligence),0)</f>
        <v/>
      </c>
      <c r="N25" s="34">
        <f>IF(N$4=0,in_site_land_price*(in_site_transfer_tax_pct+in_site_legal_notary_pct+in_site_brokerage_pct)+N(in_site_due_diligence),0)</f>
        <v/>
      </c>
      <c r="O25" s="34">
        <f>IF(O$4=0,in_site_land_price*(in_site_transfer_tax_pct+in_site_legal_notary_pct+in_site_brokerage_pct)+N(in_site_due_diligence),0)</f>
        <v/>
      </c>
      <c r="P25" s="34">
        <f>IF(P$4=0,in_site_land_price*(in_site_transfer_tax_pct+in_site_legal_notary_pct+in_site_brokerage_pct)+N(in_site_due_diligence),0)</f>
        <v/>
      </c>
      <c r="Q25" s="34">
        <f>IF(Q$4=0,in_site_land_price*(in_site_transfer_tax_pct+in_site_legal_notary_pct+in_site_brokerage_pct)+N(in_site_due_diligence),0)</f>
        <v/>
      </c>
      <c r="R25" s="34">
        <f>IF(R$4=0,in_site_land_price*(in_site_transfer_tax_pct+in_site_legal_notary_pct+in_site_brokerage_pct)+N(in_site_due_diligence),0)</f>
        <v/>
      </c>
      <c r="S25" s="34">
        <f>IF(S$4=0,in_site_land_price*(in_site_transfer_tax_pct+in_site_legal_notary_pct+in_site_brokerage_pct)+N(in_site_due_diligence),0)</f>
        <v/>
      </c>
      <c r="T25" s="34">
        <f>IF(T$4=0,in_site_land_price*(in_site_transfer_tax_pct+in_site_legal_notary_pct+in_site_brokerage_pct)+N(in_site_due_diligence),0)</f>
        <v/>
      </c>
      <c r="U25" s="34">
        <f>IF(U$4=0,in_site_land_price*(in_site_transfer_tax_pct+in_site_legal_notary_pct+in_site_brokerage_pct)+N(in_site_due_diligence),0)</f>
        <v/>
      </c>
      <c r="V25" s="34">
        <f>IF(V$4=0,in_site_land_price*(in_site_transfer_tax_pct+in_site_legal_notary_pct+in_site_brokerage_pct)+N(in_site_due_diligence),0)</f>
        <v/>
      </c>
      <c r="W25" s="34">
        <f>IF(W$4=0,in_site_land_price*(in_site_transfer_tax_pct+in_site_legal_notary_pct+in_site_brokerage_pct)+N(in_site_due_diligence),0)</f>
        <v/>
      </c>
      <c r="X25" s="34">
        <f>IF(X$4=0,in_site_land_price*(in_site_transfer_tax_pct+in_site_legal_notary_pct+in_site_brokerage_pct)+N(in_site_due_diligence),0)</f>
        <v/>
      </c>
      <c r="Y25" s="34">
        <f>IF(Y$4=0,in_site_land_price*(in_site_transfer_tax_pct+in_site_legal_notary_pct+in_site_brokerage_pct)+N(in_site_due_diligence),0)</f>
        <v/>
      </c>
      <c r="Z25" s="34">
        <f>IF(Z$4=0,in_site_land_price*(in_site_transfer_tax_pct+in_site_legal_notary_pct+in_site_brokerage_pct)+N(in_site_due_diligence),0)</f>
        <v/>
      </c>
      <c r="AA25" s="34">
        <f>IF(AA$4=0,in_site_land_price*(in_site_transfer_tax_pct+in_site_legal_notary_pct+in_site_brokerage_pct)+N(in_site_due_diligence),0)</f>
        <v/>
      </c>
      <c r="AB25" s="34">
        <f>IF(AB$4=0,in_site_land_price*(in_site_transfer_tax_pct+in_site_legal_notary_pct+in_site_brokerage_pct)+N(in_site_due_diligence),0)</f>
        <v/>
      </c>
      <c r="AC25" s="34">
        <f>IF(AC$4=0,in_site_land_price*(in_site_transfer_tax_pct+in_site_legal_notary_pct+in_site_brokerage_pct)+N(in_site_due_diligence),0)</f>
        <v/>
      </c>
      <c r="AD25" s="34">
        <f>IF(AD$4=0,in_site_land_price*(in_site_transfer_tax_pct+in_site_legal_notary_pct+in_site_brokerage_pct)+N(in_site_due_diligence),0)</f>
        <v/>
      </c>
      <c r="AE25" s="34">
        <f>IF(AE$4=0,in_site_land_price*(in_site_transfer_tax_pct+in_site_legal_notary_pct+in_site_brokerage_pct)+N(in_site_due_diligence),0)</f>
        <v/>
      </c>
      <c r="AF25" s="34">
        <f>IF(AF$4=0,in_site_land_price*(in_site_transfer_tax_pct+in_site_legal_notary_pct+in_site_brokerage_pct)+N(in_site_due_diligence),0)</f>
        <v/>
      </c>
      <c r="AG25" s="34">
        <f>IF(AG$4=0,in_site_land_price*(in_site_transfer_tax_pct+in_site_legal_notary_pct+in_site_brokerage_pct)+N(in_site_due_diligence),0)</f>
        <v/>
      </c>
      <c r="AH25" s="34">
        <f>IF(AH$4=0,in_site_land_price*(in_site_transfer_tax_pct+in_site_legal_notary_pct+in_site_brokerage_pct)+N(in_site_due_diligence),0)</f>
        <v/>
      </c>
      <c r="AI25" s="34">
        <f>IF(AI$4=0,in_site_land_price*(in_site_transfer_tax_pct+in_site_legal_notary_pct+in_site_brokerage_pct)+N(in_site_due_diligence),0)</f>
        <v/>
      </c>
      <c r="AJ25" s="34">
        <f>IF(AJ$4=0,in_site_land_price*(in_site_transfer_tax_pct+in_site_legal_notary_pct+in_site_brokerage_pct)+N(in_site_due_diligence),0)</f>
        <v/>
      </c>
      <c r="AK25" s="34">
        <f>IF(AK$4=0,in_site_land_price*(in_site_transfer_tax_pct+in_site_legal_notary_pct+in_site_brokerage_pct)+N(in_site_due_diligence),0)</f>
        <v/>
      </c>
      <c r="AL25" s="34">
        <f>IF(AL$4=0,in_site_land_price*(in_site_transfer_tax_pct+in_site_legal_notary_pct+in_site_brokerage_pct)+N(in_site_due_diligence),0)</f>
        <v/>
      </c>
      <c r="AM25" s="34">
        <f>IF(AM$4=0,in_site_land_price*(in_site_transfer_tax_pct+in_site_legal_notary_pct+in_site_brokerage_pct)+N(in_site_due_diligence),0)</f>
        <v/>
      </c>
      <c r="AN25" s="34">
        <f>IF(AN$4=0,in_site_land_price*(in_site_transfer_tax_pct+in_site_legal_notary_pct+in_site_brokerage_pct)+N(in_site_due_diligence),0)</f>
        <v/>
      </c>
      <c r="AO25" s="34">
        <f>IF(AO$4=0,in_site_land_price*(in_site_transfer_tax_pct+in_site_legal_notary_pct+in_site_brokerage_pct)+N(in_site_due_diligence),0)</f>
        <v/>
      </c>
      <c r="AP25" s="34">
        <f>IF(AP$4=0,in_site_land_price*(in_site_transfer_tax_pct+in_site_legal_notary_pct+in_site_brokerage_pct)+N(in_site_due_diligence),0)</f>
        <v/>
      </c>
      <c r="AQ25" s="34">
        <f>IF(AQ$4=0,in_site_land_price*(in_site_transfer_tax_pct+in_site_legal_notary_pct+in_site_brokerage_pct)+N(in_site_due_diligence),0)</f>
        <v/>
      </c>
      <c r="AR25" s="34">
        <f>IF(AR$4=0,in_site_land_price*(in_site_transfer_tax_pct+in_site_legal_notary_pct+in_site_brokerage_pct)+N(in_site_due_diligence),0)</f>
        <v/>
      </c>
      <c r="AS25" s="34">
        <f>IF(AS$4=0,in_site_land_price*(in_site_transfer_tax_pct+in_site_legal_notary_pct+in_site_brokerage_pct)+N(in_site_due_diligence),0)</f>
        <v/>
      </c>
      <c r="AT25" s="34">
        <f>IF(AT$4=0,in_site_land_price*(in_site_transfer_tax_pct+in_site_legal_notary_pct+in_site_brokerage_pct)+N(in_site_due_diligence),0)</f>
        <v/>
      </c>
      <c r="AU25" s="34">
        <f>IF(AU$4=0,in_site_land_price*(in_site_transfer_tax_pct+in_site_legal_notary_pct+in_site_brokerage_pct)+N(in_site_due_diligence),0)</f>
        <v/>
      </c>
      <c r="AV25" s="34">
        <f>IF(AV$4=0,in_site_land_price*(in_site_transfer_tax_pct+in_site_legal_notary_pct+in_site_brokerage_pct)+N(in_site_due_diligence),0)</f>
        <v/>
      </c>
      <c r="AW25" s="34">
        <f>IF(AW$4=0,in_site_land_price*(in_site_transfer_tax_pct+in_site_legal_notary_pct+in_site_brokerage_pct)+N(in_site_due_diligence),0)</f>
        <v/>
      </c>
      <c r="AX25" s="34">
        <f>IF(AX$4=0,in_site_land_price*(in_site_transfer_tax_pct+in_site_legal_notary_pct+in_site_brokerage_pct)+N(in_site_due_diligence),0)</f>
        <v/>
      </c>
      <c r="AY25" s="34">
        <f>IF(AY$4=0,in_site_land_price*(in_site_transfer_tax_pct+in_site_legal_notary_pct+in_site_brokerage_pct)+N(in_site_due_diligence),0)</f>
        <v/>
      </c>
      <c r="AZ25" s="34">
        <f>IF(AZ$4=0,in_site_land_price*(in_site_transfer_tax_pct+in_site_legal_notary_pct+in_site_brokerage_pct)+N(in_site_due_diligence),0)</f>
        <v/>
      </c>
      <c r="BA25" s="34">
        <f>IF(BA$4=0,in_site_land_price*(in_site_transfer_tax_pct+in_site_legal_notary_pct+in_site_brokerage_pct)+N(in_site_due_diligence),0)</f>
        <v/>
      </c>
      <c r="BB25" s="34">
        <f>IF(BB$4=0,in_site_land_price*(in_site_transfer_tax_pct+in_site_legal_notary_pct+in_site_brokerage_pct)+N(in_site_due_diligence),0)</f>
        <v/>
      </c>
      <c r="BC25" s="34">
        <f>IF(BC$4=0,in_site_land_price*(in_site_transfer_tax_pct+in_site_legal_notary_pct+in_site_brokerage_pct)+N(in_site_due_diligence),0)</f>
        <v/>
      </c>
      <c r="BD25" s="34">
        <f>IF(BD$4=0,in_site_land_price*(in_site_transfer_tax_pct+in_site_legal_notary_pct+in_site_brokerage_pct)+N(in_site_due_diligence),0)</f>
        <v/>
      </c>
      <c r="BE25" s="34">
        <f>IF(BE$4=0,in_site_land_price*(in_site_transfer_tax_pct+in_site_legal_notary_pct+in_site_brokerage_pct)+N(in_site_due_diligence),0)</f>
        <v/>
      </c>
      <c r="BF25" s="34">
        <f>IF(BF$4=0,in_site_land_price*(in_site_transfer_tax_pct+in_site_legal_notary_pct+in_site_brokerage_pct)+N(in_site_due_diligence),0)</f>
        <v/>
      </c>
      <c r="BG25" s="34">
        <f>IF(BG$4=0,in_site_land_price*(in_site_transfer_tax_pct+in_site_legal_notary_pct+in_site_brokerage_pct)+N(in_site_due_diligence),0)</f>
        <v/>
      </c>
      <c r="BH25" s="34">
        <f>IF(BH$4=0,in_site_land_price*(in_site_transfer_tax_pct+in_site_legal_notary_pct+in_site_brokerage_pct)+N(in_site_due_diligence),0)</f>
        <v/>
      </c>
      <c r="BI25" s="34">
        <f>IF(BI$4=0,in_site_land_price*(in_site_transfer_tax_pct+in_site_legal_notary_pct+in_site_brokerage_pct)+N(in_site_due_diligence),0)</f>
        <v/>
      </c>
      <c r="BJ25" s="34">
        <f>IF(BJ$4=0,in_site_land_price*(in_site_transfer_tax_pct+in_site_legal_notary_pct+in_site_brokerage_pct)+N(in_site_due_diligence),0)</f>
        <v/>
      </c>
      <c r="BK25" s="34">
        <f>IF(BK$4=0,in_site_land_price*(in_site_transfer_tax_pct+in_site_legal_notary_pct+in_site_brokerage_pct)+N(in_site_due_diligence),0)</f>
        <v/>
      </c>
      <c r="BL25" s="34">
        <f>IF(BL$4=0,in_site_land_price*(in_site_transfer_tax_pct+in_site_legal_notary_pct+in_site_brokerage_pct)+N(in_site_due_diligence),0)</f>
        <v/>
      </c>
      <c r="BM25" s="34">
        <f>IF(BM$4=0,in_site_land_price*(in_site_transfer_tax_pct+in_site_legal_notary_pct+in_site_brokerage_pct)+N(in_site_due_diligence),0)</f>
        <v/>
      </c>
      <c r="BN25" s="34">
        <f>IF(BN$4=0,in_site_land_price*(in_site_transfer_tax_pct+in_site_legal_notary_pct+in_site_brokerage_pct)+N(in_site_due_diligence),0)</f>
        <v/>
      </c>
      <c r="BO25" s="34">
        <f>IF(BO$4=0,in_site_land_price*(in_site_transfer_tax_pct+in_site_legal_notary_pct+in_site_brokerage_pct)+N(in_site_due_diligence),0)</f>
        <v/>
      </c>
      <c r="BP25" s="34">
        <f>IF(BP$4=0,in_site_land_price*(in_site_transfer_tax_pct+in_site_legal_notary_pct+in_site_brokerage_pct)+N(in_site_due_diligence),0)</f>
        <v/>
      </c>
      <c r="BQ25" s="34">
        <f>IF(BQ$4=0,in_site_land_price*(in_site_transfer_tax_pct+in_site_legal_notary_pct+in_site_brokerage_pct)+N(in_site_due_diligence),0)</f>
        <v/>
      </c>
      <c r="BR25" s="34">
        <f>IF(BR$4=0,in_site_land_price*(in_site_transfer_tax_pct+in_site_legal_notary_pct+in_site_brokerage_pct)+N(in_site_due_diligence),0)</f>
        <v/>
      </c>
      <c r="BS25" s="34">
        <f>IF(BS$4=0,in_site_land_price*(in_site_transfer_tax_pct+in_site_legal_notary_pct+in_site_brokerage_pct)+N(in_site_due_diligence),0)</f>
        <v/>
      </c>
      <c r="BT25" s="34">
        <f>IF(BT$4=0,in_site_land_price*(in_site_transfer_tax_pct+in_site_legal_notary_pct+in_site_brokerage_pct)+N(in_site_due_diligence),0)</f>
        <v/>
      </c>
      <c r="BU25" s="34">
        <f>IF(BU$4=0,in_site_land_price*(in_site_transfer_tax_pct+in_site_legal_notary_pct+in_site_brokerage_pct)+N(in_site_due_diligence),0)</f>
        <v/>
      </c>
      <c r="BV25" s="34">
        <f>IF(BV$4=0,in_site_land_price*(in_site_transfer_tax_pct+in_site_legal_notary_pct+in_site_brokerage_pct)+N(in_site_due_diligence),0)</f>
        <v/>
      </c>
      <c r="BW25" s="34">
        <f>IF(BW$4=0,in_site_land_price*(in_site_transfer_tax_pct+in_site_legal_notary_pct+in_site_brokerage_pct)+N(in_site_due_diligence),0)</f>
        <v/>
      </c>
      <c r="BX25" s="34">
        <f>IF(BX$4=0,in_site_land_price*(in_site_transfer_tax_pct+in_site_legal_notary_pct+in_site_brokerage_pct)+N(in_site_due_diligence),0)</f>
        <v/>
      </c>
      <c r="BY25" s="34">
        <f>IF(BY$4=0,in_site_land_price*(in_site_transfer_tax_pct+in_site_legal_notary_pct+in_site_brokerage_pct)+N(in_site_due_diligence),0)</f>
        <v/>
      </c>
      <c r="BZ25" s="34">
        <f>IF(BZ$4=0,in_site_land_price*(in_site_transfer_tax_pct+in_site_legal_notary_pct+in_site_brokerage_pct)+N(in_site_due_diligence),0)</f>
        <v/>
      </c>
      <c r="CA25" s="34">
        <f>IF(CA$4=0,in_site_land_price*(in_site_transfer_tax_pct+in_site_legal_notary_pct+in_site_brokerage_pct)+N(in_site_due_diligence),0)</f>
        <v/>
      </c>
      <c r="CB25" s="34">
        <f>IF(CB$4=0,in_site_land_price*(in_site_transfer_tax_pct+in_site_legal_notary_pct+in_site_brokerage_pct)+N(in_site_due_diligence),0)</f>
        <v/>
      </c>
      <c r="CC25" s="34">
        <f>IF(CC$4=0,in_site_land_price*(in_site_transfer_tax_pct+in_site_legal_notary_pct+in_site_brokerage_pct)+N(in_site_due_diligence),0)</f>
        <v/>
      </c>
      <c r="CD25" s="34">
        <f>IF(CD$4=0,in_site_land_price*(in_site_transfer_tax_pct+in_site_legal_notary_pct+in_site_brokerage_pct)+N(in_site_due_diligence),0)</f>
        <v/>
      </c>
      <c r="CE25" s="34">
        <f>IF(CE$4=0,in_site_land_price*(in_site_transfer_tax_pct+in_site_legal_notary_pct+in_site_brokerage_pct)+N(in_site_due_diligence),0)</f>
        <v/>
      </c>
      <c r="CF25" s="34">
        <f>IF(CF$4=0,in_site_land_price*(in_site_transfer_tax_pct+in_site_legal_notary_pct+in_site_brokerage_pct)+N(in_site_due_diligence),0)</f>
        <v/>
      </c>
      <c r="CG25" s="34">
        <f>IF(CG$4=0,in_site_land_price*(in_site_transfer_tax_pct+in_site_legal_notary_pct+in_site_brokerage_pct)+N(in_site_due_diligence),0)</f>
        <v/>
      </c>
      <c r="CH25" s="34">
        <f>IF(CH$4=0,in_site_land_price*(in_site_transfer_tax_pct+in_site_legal_notary_pct+in_site_brokerage_pct)+N(in_site_due_diligence),0)</f>
        <v/>
      </c>
      <c r="CI25" s="34">
        <f>IF(CI$4=0,in_site_land_price*(in_site_transfer_tax_pct+in_site_legal_notary_pct+in_site_brokerage_pct)+N(in_site_due_diligence),0)</f>
        <v/>
      </c>
      <c r="CJ25" s="34">
        <f>IF(CJ$4=0,in_site_land_price*(in_site_transfer_tax_pct+in_site_legal_notary_pct+in_site_brokerage_pct)+N(in_site_due_diligence),0)</f>
        <v/>
      </c>
      <c r="CK25" s="34">
        <f>IF(CK$4=0,in_site_land_price*(in_site_transfer_tax_pct+in_site_legal_notary_pct+in_site_brokerage_pct)+N(in_site_due_diligence),0)</f>
        <v/>
      </c>
      <c r="CL25" s="34">
        <f>IF(CL$4=0,in_site_land_price*(in_site_transfer_tax_pct+in_site_legal_notary_pct+in_site_brokerage_pct)+N(in_site_due_diligence),0)</f>
        <v/>
      </c>
      <c r="CM25" s="34">
        <f>IF(CM$4=0,in_site_land_price*(in_site_transfer_tax_pct+in_site_legal_notary_pct+in_site_brokerage_pct)+N(in_site_due_diligence),0)</f>
        <v/>
      </c>
      <c r="CN25" s="34">
        <f>IF(CN$4=0,in_site_land_price*(in_site_transfer_tax_pct+in_site_legal_notary_pct+in_site_brokerage_pct)+N(in_site_due_diligence),0)</f>
        <v/>
      </c>
      <c r="CO25" s="34">
        <f>IF(CO$4=0,in_site_land_price*(in_site_transfer_tax_pct+in_site_legal_notary_pct+in_site_brokerage_pct)+N(in_site_due_diligence),0)</f>
        <v/>
      </c>
      <c r="CP25" s="34">
        <f>IF(CP$4=0,in_site_land_price*(in_site_transfer_tax_pct+in_site_legal_notary_pct+in_site_brokerage_pct)+N(in_site_due_diligence),0)</f>
        <v/>
      </c>
      <c r="CQ25" s="34">
        <f>IF(CQ$4=0,in_site_land_price*(in_site_transfer_tax_pct+in_site_legal_notary_pct+in_site_brokerage_pct)+N(in_site_due_diligence),0)</f>
        <v/>
      </c>
      <c r="CR25" s="34">
        <f>IF(CR$4=0,in_site_land_price*(in_site_transfer_tax_pct+in_site_legal_notary_pct+in_site_brokerage_pct)+N(in_site_due_diligence),0)</f>
        <v/>
      </c>
      <c r="CS25" s="34">
        <f>IF(CS$4=0,in_site_land_price*(in_site_transfer_tax_pct+in_site_legal_notary_pct+in_site_brokerage_pct)+N(in_site_due_diligence),0)</f>
        <v/>
      </c>
      <c r="CT25" s="34">
        <f>IF(CT$4=0,in_site_land_price*(in_site_transfer_tax_pct+in_site_legal_notary_pct+in_site_brokerage_pct)+N(in_site_due_diligence),0)</f>
        <v/>
      </c>
      <c r="CU25" s="34">
        <f>IF(CU$4=0,in_site_land_price*(in_site_transfer_tax_pct+in_site_legal_notary_pct+in_site_brokerage_pct)+N(in_site_due_diligence),0)</f>
        <v/>
      </c>
    </row>
    <row r="26">
      <c r="A26" s="7" t="inlineStr">
        <is>
          <t>Hard costs (escalated) incl. sustainability capex</t>
        </is>
      </c>
      <c r="B26" s="21">
        <f>SUM(D26:CU26)</f>
        <v/>
      </c>
      <c r="C26" s="11" t="inlineStr"/>
      <c r="D26" s="34">
        <f>(C_HardAbove+C_HardBelow+in_green_capex)*D21*D22+IF(D$4=IF(T_Con&gt;0,T_ConStart+1,T_ConStart),C_FixedSite,0)</f>
        <v/>
      </c>
      <c r="E26" s="34">
        <f>(C_HardAbove+C_HardBelow+in_green_capex)*E21*E22+IF(E$4=IF(T_Con&gt;0,T_ConStart+1,T_ConStart),C_FixedSite,0)</f>
        <v/>
      </c>
      <c r="F26" s="34">
        <f>(C_HardAbove+C_HardBelow+in_green_capex)*F21*F22+IF(F$4=IF(T_Con&gt;0,T_ConStart+1,T_ConStart),C_FixedSite,0)</f>
        <v/>
      </c>
      <c r="G26" s="34">
        <f>(C_HardAbove+C_HardBelow+in_green_capex)*G21*G22+IF(G$4=IF(T_Con&gt;0,T_ConStart+1,T_ConStart),C_FixedSite,0)</f>
        <v/>
      </c>
      <c r="H26" s="34">
        <f>(C_HardAbove+C_HardBelow+in_green_capex)*H21*H22+IF(H$4=IF(T_Con&gt;0,T_ConStart+1,T_ConStart),C_FixedSite,0)</f>
        <v/>
      </c>
      <c r="I26" s="34">
        <f>(C_HardAbove+C_HardBelow+in_green_capex)*I21*I22+IF(I$4=IF(T_Con&gt;0,T_ConStart+1,T_ConStart),C_FixedSite,0)</f>
        <v/>
      </c>
      <c r="J26" s="34">
        <f>(C_HardAbove+C_HardBelow+in_green_capex)*J21*J22+IF(J$4=IF(T_Con&gt;0,T_ConStart+1,T_ConStart),C_FixedSite,0)</f>
        <v/>
      </c>
      <c r="K26" s="34">
        <f>(C_HardAbove+C_HardBelow+in_green_capex)*K21*K22+IF(K$4=IF(T_Con&gt;0,T_ConStart+1,T_ConStart),C_FixedSite,0)</f>
        <v/>
      </c>
      <c r="L26" s="34">
        <f>(C_HardAbove+C_HardBelow+in_green_capex)*L21*L22+IF(L$4=IF(T_Con&gt;0,T_ConStart+1,T_ConStart),C_FixedSite,0)</f>
        <v/>
      </c>
      <c r="M26" s="34">
        <f>(C_HardAbove+C_HardBelow+in_green_capex)*M21*M22+IF(M$4=IF(T_Con&gt;0,T_ConStart+1,T_ConStart),C_FixedSite,0)</f>
        <v/>
      </c>
      <c r="N26" s="34">
        <f>(C_HardAbove+C_HardBelow+in_green_capex)*N21*N22+IF(N$4=IF(T_Con&gt;0,T_ConStart+1,T_ConStart),C_FixedSite,0)</f>
        <v/>
      </c>
      <c r="O26" s="34">
        <f>(C_HardAbove+C_HardBelow+in_green_capex)*O21*O22+IF(O$4=IF(T_Con&gt;0,T_ConStart+1,T_ConStart),C_FixedSite,0)</f>
        <v/>
      </c>
      <c r="P26" s="34">
        <f>(C_HardAbove+C_HardBelow+in_green_capex)*P21*P22+IF(P$4=IF(T_Con&gt;0,T_ConStart+1,T_ConStart),C_FixedSite,0)</f>
        <v/>
      </c>
      <c r="Q26" s="34">
        <f>(C_HardAbove+C_HardBelow+in_green_capex)*Q21*Q22+IF(Q$4=IF(T_Con&gt;0,T_ConStart+1,T_ConStart),C_FixedSite,0)</f>
        <v/>
      </c>
      <c r="R26" s="34">
        <f>(C_HardAbove+C_HardBelow+in_green_capex)*R21*R22+IF(R$4=IF(T_Con&gt;0,T_ConStart+1,T_ConStart),C_FixedSite,0)</f>
        <v/>
      </c>
      <c r="S26" s="34">
        <f>(C_HardAbove+C_HardBelow+in_green_capex)*S21*S22+IF(S$4=IF(T_Con&gt;0,T_ConStart+1,T_ConStart),C_FixedSite,0)</f>
        <v/>
      </c>
      <c r="T26" s="34">
        <f>(C_HardAbove+C_HardBelow+in_green_capex)*T21*T22+IF(T$4=IF(T_Con&gt;0,T_ConStart+1,T_ConStart),C_FixedSite,0)</f>
        <v/>
      </c>
      <c r="U26" s="34">
        <f>(C_HardAbove+C_HardBelow+in_green_capex)*U21*U22+IF(U$4=IF(T_Con&gt;0,T_ConStart+1,T_ConStart),C_FixedSite,0)</f>
        <v/>
      </c>
      <c r="V26" s="34">
        <f>(C_HardAbove+C_HardBelow+in_green_capex)*V21*V22+IF(V$4=IF(T_Con&gt;0,T_ConStart+1,T_ConStart),C_FixedSite,0)</f>
        <v/>
      </c>
      <c r="W26" s="34">
        <f>(C_HardAbove+C_HardBelow+in_green_capex)*W21*W22+IF(W$4=IF(T_Con&gt;0,T_ConStart+1,T_ConStart),C_FixedSite,0)</f>
        <v/>
      </c>
      <c r="X26" s="34">
        <f>(C_HardAbove+C_HardBelow+in_green_capex)*X21*X22+IF(X$4=IF(T_Con&gt;0,T_ConStart+1,T_ConStart),C_FixedSite,0)</f>
        <v/>
      </c>
      <c r="Y26" s="34">
        <f>(C_HardAbove+C_HardBelow+in_green_capex)*Y21*Y22+IF(Y$4=IF(T_Con&gt;0,T_ConStart+1,T_ConStart),C_FixedSite,0)</f>
        <v/>
      </c>
      <c r="Z26" s="34">
        <f>(C_HardAbove+C_HardBelow+in_green_capex)*Z21*Z22+IF(Z$4=IF(T_Con&gt;0,T_ConStart+1,T_ConStart),C_FixedSite,0)</f>
        <v/>
      </c>
      <c r="AA26" s="34">
        <f>(C_HardAbove+C_HardBelow+in_green_capex)*AA21*AA22+IF(AA$4=IF(T_Con&gt;0,T_ConStart+1,T_ConStart),C_FixedSite,0)</f>
        <v/>
      </c>
      <c r="AB26" s="34">
        <f>(C_HardAbove+C_HardBelow+in_green_capex)*AB21*AB22+IF(AB$4=IF(T_Con&gt;0,T_ConStart+1,T_ConStart),C_FixedSite,0)</f>
        <v/>
      </c>
      <c r="AC26" s="34">
        <f>(C_HardAbove+C_HardBelow+in_green_capex)*AC21*AC22+IF(AC$4=IF(T_Con&gt;0,T_ConStart+1,T_ConStart),C_FixedSite,0)</f>
        <v/>
      </c>
      <c r="AD26" s="34">
        <f>(C_HardAbove+C_HardBelow+in_green_capex)*AD21*AD22+IF(AD$4=IF(T_Con&gt;0,T_ConStart+1,T_ConStart),C_FixedSite,0)</f>
        <v/>
      </c>
      <c r="AE26" s="34">
        <f>(C_HardAbove+C_HardBelow+in_green_capex)*AE21*AE22+IF(AE$4=IF(T_Con&gt;0,T_ConStart+1,T_ConStart),C_FixedSite,0)</f>
        <v/>
      </c>
      <c r="AF26" s="34">
        <f>(C_HardAbove+C_HardBelow+in_green_capex)*AF21*AF22+IF(AF$4=IF(T_Con&gt;0,T_ConStart+1,T_ConStart),C_FixedSite,0)</f>
        <v/>
      </c>
      <c r="AG26" s="34">
        <f>(C_HardAbove+C_HardBelow+in_green_capex)*AG21*AG22+IF(AG$4=IF(T_Con&gt;0,T_ConStart+1,T_ConStart),C_FixedSite,0)</f>
        <v/>
      </c>
      <c r="AH26" s="34">
        <f>(C_HardAbove+C_HardBelow+in_green_capex)*AH21*AH22+IF(AH$4=IF(T_Con&gt;0,T_ConStart+1,T_ConStart),C_FixedSite,0)</f>
        <v/>
      </c>
      <c r="AI26" s="34">
        <f>(C_HardAbove+C_HardBelow+in_green_capex)*AI21*AI22+IF(AI$4=IF(T_Con&gt;0,T_ConStart+1,T_ConStart),C_FixedSite,0)</f>
        <v/>
      </c>
      <c r="AJ26" s="34">
        <f>(C_HardAbove+C_HardBelow+in_green_capex)*AJ21*AJ22+IF(AJ$4=IF(T_Con&gt;0,T_ConStart+1,T_ConStart),C_FixedSite,0)</f>
        <v/>
      </c>
      <c r="AK26" s="34">
        <f>(C_HardAbove+C_HardBelow+in_green_capex)*AK21*AK22+IF(AK$4=IF(T_Con&gt;0,T_ConStart+1,T_ConStart),C_FixedSite,0)</f>
        <v/>
      </c>
      <c r="AL26" s="34">
        <f>(C_HardAbove+C_HardBelow+in_green_capex)*AL21*AL22+IF(AL$4=IF(T_Con&gt;0,T_ConStart+1,T_ConStart),C_FixedSite,0)</f>
        <v/>
      </c>
      <c r="AM26" s="34">
        <f>(C_HardAbove+C_HardBelow+in_green_capex)*AM21*AM22+IF(AM$4=IF(T_Con&gt;0,T_ConStart+1,T_ConStart),C_FixedSite,0)</f>
        <v/>
      </c>
      <c r="AN26" s="34">
        <f>(C_HardAbove+C_HardBelow+in_green_capex)*AN21*AN22+IF(AN$4=IF(T_Con&gt;0,T_ConStart+1,T_ConStart),C_FixedSite,0)</f>
        <v/>
      </c>
      <c r="AO26" s="34">
        <f>(C_HardAbove+C_HardBelow+in_green_capex)*AO21*AO22+IF(AO$4=IF(T_Con&gt;0,T_ConStart+1,T_ConStart),C_FixedSite,0)</f>
        <v/>
      </c>
      <c r="AP26" s="34">
        <f>(C_HardAbove+C_HardBelow+in_green_capex)*AP21*AP22+IF(AP$4=IF(T_Con&gt;0,T_ConStart+1,T_ConStart),C_FixedSite,0)</f>
        <v/>
      </c>
      <c r="AQ26" s="34">
        <f>(C_HardAbove+C_HardBelow+in_green_capex)*AQ21*AQ22+IF(AQ$4=IF(T_Con&gt;0,T_ConStart+1,T_ConStart),C_FixedSite,0)</f>
        <v/>
      </c>
      <c r="AR26" s="34">
        <f>(C_HardAbove+C_HardBelow+in_green_capex)*AR21*AR22+IF(AR$4=IF(T_Con&gt;0,T_ConStart+1,T_ConStart),C_FixedSite,0)</f>
        <v/>
      </c>
      <c r="AS26" s="34">
        <f>(C_HardAbove+C_HardBelow+in_green_capex)*AS21*AS22+IF(AS$4=IF(T_Con&gt;0,T_ConStart+1,T_ConStart),C_FixedSite,0)</f>
        <v/>
      </c>
      <c r="AT26" s="34">
        <f>(C_HardAbove+C_HardBelow+in_green_capex)*AT21*AT22+IF(AT$4=IF(T_Con&gt;0,T_ConStart+1,T_ConStart),C_FixedSite,0)</f>
        <v/>
      </c>
      <c r="AU26" s="34">
        <f>(C_HardAbove+C_HardBelow+in_green_capex)*AU21*AU22+IF(AU$4=IF(T_Con&gt;0,T_ConStart+1,T_ConStart),C_FixedSite,0)</f>
        <v/>
      </c>
      <c r="AV26" s="34">
        <f>(C_HardAbove+C_HardBelow+in_green_capex)*AV21*AV22+IF(AV$4=IF(T_Con&gt;0,T_ConStart+1,T_ConStart),C_FixedSite,0)</f>
        <v/>
      </c>
      <c r="AW26" s="34">
        <f>(C_HardAbove+C_HardBelow+in_green_capex)*AW21*AW22+IF(AW$4=IF(T_Con&gt;0,T_ConStart+1,T_ConStart),C_FixedSite,0)</f>
        <v/>
      </c>
      <c r="AX26" s="34">
        <f>(C_HardAbove+C_HardBelow+in_green_capex)*AX21*AX22+IF(AX$4=IF(T_Con&gt;0,T_ConStart+1,T_ConStart),C_FixedSite,0)</f>
        <v/>
      </c>
      <c r="AY26" s="34">
        <f>(C_HardAbove+C_HardBelow+in_green_capex)*AY21*AY22+IF(AY$4=IF(T_Con&gt;0,T_ConStart+1,T_ConStart),C_FixedSite,0)</f>
        <v/>
      </c>
      <c r="AZ26" s="34">
        <f>(C_HardAbove+C_HardBelow+in_green_capex)*AZ21*AZ22+IF(AZ$4=IF(T_Con&gt;0,T_ConStart+1,T_ConStart),C_FixedSite,0)</f>
        <v/>
      </c>
      <c r="BA26" s="34">
        <f>(C_HardAbove+C_HardBelow+in_green_capex)*BA21*BA22+IF(BA$4=IF(T_Con&gt;0,T_ConStart+1,T_ConStart),C_FixedSite,0)</f>
        <v/>
      </c>
      <c r="BB26" s="34">
        <f>(C_HardAbove+C_HardBelow+in_green_capex)*BB21*BB22+IF(BB$4=IF(T_Con&gt;0,T_ConStart+1,T_ConStart),C_FixedSite,0)</f>
        <v/>
      </c>
      <c r="BC26" s="34">
        <f>(C_HardAbove+C_HardBelow+in_green_capex)*BC21*BC22+IF(BC$4=IF(T_Con&gt;0,T_ConStart+1,T_ConStart),C_FixedSite,0)</f>
        <v/>
      </c>
      <c r="BD26" s="34">
        <f>(C_HardAbove+C_HardBelow+in_green_capex)*BD21*BD22+IF(BD$4=IF(T_Con&gt;0,T_ConStart+1,T_ConStart),C_FixedSite,0)</f>
        <v/>
      </c>
      <c r="BE26" s="34">
        <f>(C_HardAbove+C_HardBelow+in_green_capex)*BE21*BE22+IF(BE$4=IF(T_Con&gt;0,T_ConStart+1,T_ConStart),C_FixedSite,0)</f>
        <v/>
      </c>
      <c r="BF26" s="34">
        <f>(C_HardAbove+C_HardBelow+in_green_capex)*BF21*BF22+IF(BF$4=IF(T_Con&gt;0,T_ConStart+1,T_ConStart),C_FixedSite,0)</f>
        <v/>
      </c>
      <c r="BG26" s="34">
        <f>(C_HardAbove+C_HardBelow+in_green_capex)*BG21*BG22+IF(BG$4=IF(T_Con&gt;0,T_ConStart+1,T_ConStart),C_FixedSite,0)</f>
        <v/>
      </c>
      <c r="BH26" s="34">
        <f>(C_HardAbove+C_HardBelow+in_green_capex)*BH21*BH22+IF(BH$4=IF(T_Con&gt;0,T_ConStart+1,T_ConStart),C_FixedSite,0)</f>
        <v/>
      </c>
      <c r="BI26" s="34">
        <f>(C_HardAbove+C_HardBelow+in_green_capex)*BI21*BI22+IF(BI$4=IF(T_Con&gt;0,T_ConStart+1,T_ConStart),C_FixedSite,0)</f>
        <v/>
      </c>
      <c r="BJ26" s="34">
        <f>(C_HardAbove+C_HardBelow+in_green_capex)*BJ21*BJ22+IF(BJ$4=IF(T_Con&gt;0,T_ConStart+1,T_ConStart),C_FixedSite,0)</f>
        <v/>
      </c>
      <c r="BK26" s="34">
        <f>(C_HardAbove+C_HardBelow+in_green_capex)*BK21*BK22+IF(BK$4=IF(T_Con&gt;0,T_ConStart+1,T_ConStart),C_FixedSite,0)</f>
        <v/>
      </c>
      <c r="BL26" s="34">
        <f>(C_HardAbove+C_HardBelow+in_green_capex)*BL21*BL22+IF(BL$4=IF(T_Con&gt;0,T_ConStart+1,T_ConStart),C_FixedSite,0)</f>
        <v/>
      </c>
      <c r="BM26" s="34">
        <f>(C_HardAbove+C_HardBelow+in_green_capex)*BM21*BM22+IF(BM$4=IF(T_Con&gt;0,T_ConStart+1,T_ConStart),C_FixedSite,0)</f>
        <v/>
      </c>
      <c r="BN26" s="34">
        <f>(C_HardAbove+C_HardBelow+in_green_capex)*BN21*BN22+IF(BN$4=IF(T_Con&gt;0,T_ConStart+1,T_ConStart),C_FixedSite,0)</f>
        <v/>
      </c>
      <c r="BO26" s="34">
        <f>(C_HardAbove+C_HardBelow+in_green_capex)*BO21*BO22+IF(BO$4=IF(T_Con&gt;0,T_ConStart+1,T_ConStart),C_FixedSite,0)</f>
        <v/>
      </c>
      <c r="BP26" s="34">
        <f>(C_HardAbove+C_HardBelow+in_green_capex)*BP21*BP22+IF(BP$4=IF(T_Con&gt;0,T_ConStart+1,T_ConStart),C_FixedSite,0)</f>
        <v/>
      </c>
      <c r="BQ26" s="34">
        <f>(C_HardAbove+C_HardBelow+in_green_capex)*BQ21*BQ22+IF(BQ$4=IF(T_Con&gt;0,T_ConStart+1,T_ConStart),C_FixedSite,0)</f>
        <v/>
      </c>
      <c r="BR26" s="34">
        <f>(C_HardAbove+C_HardBelow+in_green_capex)*BR21*BR22+IF(BR$4=IF(T_Con&gt;0,T_ConStart+1,T_ConStart),C_FixedSite,0)</f>
        <v/>
      </c>
      <c r="BS26" s="34">
        <f>(C_HardAbove+C_HardBelow+in_green_capex)*BS21*BS22+IF(BS$4=IF(T_Con&gt;0,T_ConStart+1,T_ConStart),C_FixedSite,0)</f>
        <v/>
      </c>
      <c r="BT26" s="34">
        <f>(C_HardAbove+C_HardBelow+in_green_capex)*BT21*BT22+IF(BT$4=IF(T_Con&gt;0,T_ConStart+1,T_ConStart),C_FixedSite,0)</f>
        <v/>
      </c>
      <c r="BU26" s="34">
        <f>(C_HardAbove+C_HardBelow+in_green_capex)*BU21*BU22+IF(BU$4=IF(T_Con&gt;0,T_ConStart+1,T_ConStart),C_FixedSite,0)</f>
        <v/>
      </c>
      <c r="BV26" s="34">
        <f>(C_HardAbove+C_HardBelow+in_green_capex)*BV21*BV22+IF(BV$4=IF(T_Con&gt;0,T_ConStart+1,T_ConStart),C_FixedSite,0)</f>
        <v/>
      </c>
      <c r="BW26" s="34">
        <f>(C_HardAbove+C_HardBelow+in_green_capex)*BW21*BW22+IF(BW$4=IF(T_Con&gt;0,T_ConStart+1,T_ConStart),C_FixedSite,0)</f>
        <v/>
      </c>
      <c r="BX26" s="34">
        <f>(C_HardAbove+C_HardBelow+in_green_capex)*BX21*BX22+IF(BX$4=IF(T_Con&gt;0,T_ConStart+1,T_ConStart),C_FixedSite,0)</f>
        <v/>
      </c>
      <c r="BY26" s="34">
        <f>(C_HardAbove+C_HardBelow+in_green_capex)*BY21*BY22+IF(BY$4=IF(T_Con&gt;0,T_ConStart+1,T_ConStart),C_FixedSite,0)</f>
        <v/>
      </c>
      <c r="BZ26" s="34">
        <f>(C_HardAbove+C_HardBelow+in_green_capex)*BZ21*BZ22+IF(BZ$4=IF(T_Con&gt;0,T_ConStart+1,T_ConStart),C_FixedSite,0)</f>
        <v/>
      </c>
      <c r="CA26" s="34">
        <f>(C_HardAbove+C_HardBelow+in_green_capex)*CA21*CA22+IF(CA$4=IF(T_Con&gt;0,T_ConStart+1,T_ConStart),C_FixedSite,0)</f>
        <v/>
      </c>
      <c r="CB26" s="34">
        <f>(C_HardAbove+C_HardBelow+in_green_capex)*CB21*CB22+IF(CB$4=IF(T_Con&gt;0,T_ConStart+1,T_ConStart),C_FixedSite,0)</f>
        <v/>
      </c>
      <c r="CC26" s="34">
        <f>(C_HardAbove+C_HardBelow+in_green_capex)*CC21*CC22+IF(CC$4=IF(T_Con&gt;0,T_ConStart+1,T_ConStart),C_FixedSite,0)</f>
        <v/>
      </c>
      <c r="CD26" s="34">
        <f>(C_HardAbove+C_HardBelow+in_green_capex)*CD21*CD22+IF(CD$4=IF(T_Con&gt;0,T_ConStart+1,T_ConStart),C_FixedSite,0)</f>
        <v/>
      </c>
      <c r="CE26" s="34">
        <f>(C_HardAbove+C_HardBelow+in_green_capex)*CE21*CE22+IF(CE$4=IF(T_Con&gt;0,T_ConStart+1,T_ConStart),C_FixedSite,0)</f>
        <v/>
      </c>
      <c r="CF26" s="34">
        <f>(C_HardAbove+C_HardBelow+in_green_capex)*CF21*CF22+IF(CF$4=IF(T_Con&gt;0,T_ConStart+1,T_ConStart),C_FixedSite,0)</f>
        <v/>
      </c>
      <c r="CG26" s="34">
        <f>(C_HardAbove+C_HardBelow+in_green_capex)*CG21*CG22+IF(CG$4=IF(T_Con&gt;0,T_ConStart+1,T_ConStart),C_FixedSite,0)</f>
        <v/>
      </c>
      <c r="CH26" s="34">
        <f>(C_HardAbove+C_HardBelow+in_green_capex)*CH21*CH22+IF(CH$4=IF(T_Con&gt;0,T_ConStart+1,T_ConStart),C_FixedSite,0)</f>
        <v/>
      </c>
      <c r="CI26" s="34">
        <f>(C_HardAbove+C_HardBelow+in_green_capex)*CI21*CI22+IF(CI$4=IF(T_Con&gt;0,T_ConStart+1,T_ConStart),C_FixedSite,0)</f>
        <v/>
      </c>
      <c r="CJ26" s="34">
        <f>(C_HardAbove+C_HardBelow+in_green_capex)*CJ21*CJ22+IF(CJ$4=IF(T_Con&gt;0,T_ConStart+1,T_ConStart),C_FixedSite,0)</f>
        <v/>
      </c>
      <c r="CK26" s="34">
        <f>(C_HardAbove+C_HardBelow+in_green_capex)*CK21*CK22+IF(CK$4=IF(T_Con&gt;0,T_ConStart+1,T_ConStart),C_FixedSite,0)</f>
        <v/>
      </c>
      <c r="CL26" s="34">
        <f>(C_HardAbove+C_HardBelow+in_green_capex)*CL21*CL22+IF(CL$4=IF(T_Con&gt;0,T_ConStart+1,T_ConStart),C_FixedSite,0)</f>
        <v/>
      </c>
      <c r="CM26" s="34">
        <f>(C_HardAbove+C_HardBelow+in_green_capex)*CM21*CM22+IF(CM$4=IF(T_Con&gt;0,T_ConStart+1,T_ConStart),C_FixedSite,0)</f>
        <v/>
      </c>
      <c r="CN26" s="34">
        <f>(C_HardAbove+C_HardBelow+in_green_capex)*CN21*CN22+IF(CN$4=IF(T_Con&gt;0,T_ConStart+1,T_ConStart),C_FixedSite,0)</f>
        <v/>
      </c>
      <c r="CO26" s="34">
        <f>(C_HardAbove+C_HardBelow+in_green_capex)*CO21*CO22+IF(CO$4=IF(T_Con&gt;0,T_ConStart+1,T_ConStart),C_FixedSite,0)</f>
        <v/>
      </c>
      <c r="CP26" s="34">
        <f>(C_HardAbove+C_HardBelow+in_green_capex)*CP21*CP22+IF(CP$4=IF(T_Con&gt;0,T_ConStart+1,T_ConStart),C_FixedSite,0)</f>
        <v/>
      </c>
      <c r="CQ26" s="34">
        <f>(C_HardAbove+C_HardBelow+in_green_capex)*CQ21*CQ22+IF(CQ$4=IF(T_Con&gt;0,T_ConStart+1,T_ConStart),C_FixedSite,0)</f>
        <v/>
      </c>
      <c r="CR26" s="34">
        <f>(C_HardAbove+C_HardBelow+in_green_capex)*CR21*CR22+IF(CR$4=IF(T_Con&gt;0,T_ConStart+1,T_ConStart),C_FixedSite,0)</f>
        <v/>
      </c>
      <c r="CS26" s="34">
        <f>(C_HardAbove+C_HardBelow+in_green_capex)*CS21*CS22+IF(CS$4=IF(T_Con&gt;0,T_ConStart+1,T_ConStart),C_FixedSite,0)</f>
        <v/>
      </c>
      <c r="CT26" s="34">
        <f>(C_HardAbove+C_HardBelow+in_green_capex)*CT21*CT22+IF(CT$4=IF(T_Con&gt;0,T_ConStart+1,T_ConStart),C_FixedSite,0)</f>
        <v/>
      </c>
      <c r="CU26" s="34">
        <f>(C_HardAbove+C_HardBelow+in_green_capex)*CU21*CU22+IF(CU$4=IF(T_Con&gt;0,T_ConStart+1,T_ConStart),C_FixedSite,0)</f>
        <v/>
      </c>
    </row>
    <row r="27">
      <c r="A27" s="7" t="inlineStr">
        <is>
          <t>Soft costs</t>
        </is>
      </c>
      <c r="B27" s="21">
        <f>SUM(D27:CU27)</f>
        <v/>
      </c>
      <c r="C27" s="11" t="inlineStr"/>
      <c r="D27" s="34">
        <f>IF(T_Predev&gt;0,C_HardBase*in_cost_design_pct*0.6*D19/T_Predev+C_HardBase*in_cost_design_pct*0.4*D20/MAX(T_Con,1),C_HardBase*in_cost_design_pct*D20/MAX(T_Con,1))+IF(D$4=T_ConStart,C_HardBase*in_cost_permits_pct,0)+C_HardBase*(in_cost_pm_supervision_pct+in_cost_insurance_other_pct)*D20/MAX(T_Con,1)</f>
        <v/>
      </c>
      <c r="E27" s="34">
        <f>IF(T_Predev&gt;0,C_HardBase*in_cost_design_pct*0.6*E19/T_Predev+C_HardBase*in_cost_design_pct*0.4*E20/MAX(T_Con,1),C_HardBase*in_cost_design_pct*E20/MAX(T_Con,1))+IF(E$4=T_ConStart,C_HardBase*in_cost_permits_pct,0)+C_HardBase*(in_cost_pm_supervision_pct+in_cost_insurance_other_pct)*E20/MAX(T_Con,1)</f>
        <v/>
      </c>
      <c r="F27" s="34">
        <f>IF(T_Predev&gt;0,C_HardBase*in_cost_design_pct*0.6*F19/T_Predev+C_HardBase*in_cost_design_pct*0.4*F20/MAX(T_Con,1),C_HardBase*in_cost_design_pct*F20/MAX(T_Con,1))+IF(F$4=T_ConStart,C_HardBase*in_cost_permits_pct,0)+C_HardBase*(in_cost_pm_supervision_pct+in_cost_insurance_other_pct)*F20/MAX(T_Con,1)</f>
        <v/>
      </c>
      <c r="G27" s="34">
        <f>IF(T_Predev&gt;0,C_HardBase*in_cost_design_pct*0.6*G19/T_Predev+C_HardBase*in_cost_design_pct*0.4*G20/MAX(T_Con,1),C_HardBase*in_cost_design_pct*G20/MAX(T_Con,1))+IF(G$4=T_ConStart,C_HardBase*in_cost_permits_pct,0)+C_HardBase*(in_cost_pm_supervision_pct+in_cost_insurance_other_pct)*G20/MAX(T_Con,1)</f>
        <v/>
      </c>
      <c r="H27" s="34">
        <f>IF(T_Predev&gt;0,C_HardBase*in_cost_design_pct*0.6*H19/T_Predev+C_HardBase*in_cost_design_pct*0.4*H20/MAX(T_Con,1),C_HardBase*in_cost_design_pct*H20/MAX(T_Con,1))+IF(H$4=T_ConStart,C_HardBase*in_cost_permits_pct,0)+C_HardBase*(in_cost_pm_supervision_pct+in_cost_insurance_other_pct)*H20/MAX(T_Con,1)</f>
        <v/>
      </c>
      <c r="I27" s="34">
        <f>IF(T_Predev&gt;0,C_HardBase*in_cost_design_pct*0.6*I19/T_Predev+C_HardBase*in_cost_design_pct*0.4*I20/MAX(T_Con,1),C_HardBase*in_cost_design_pct*I20/MAX(T_Con,1))+IF(I$4=T_ConStart,C_HardBase*in_cost_permits_pct,0)+C_HardBase*(in_cost_pm_supervision_pct+in_cost_insurance_other_pct)*I20/MAX(T_Con,1)</f>
        <v/>
      </c>
      <c r="J27" s="34">
        <f>IF(T_Predev&gt;0,C_HardBase*in_cost_design_pct*0.6*J19/T_Predev+C_HardBase*in_cost_design_pct*0.4*J20/MAX(T_Con,1),C_HardBase*in_cost_design_pct*J20/MAX(T_Con,1))+IF(J$4=T_ConStart,C_HardBase*in_cost_permits_pct,0)+C_HardBase*(in_cost_pm_supervision_pct+in_cost_insurance_other_pct)*J20/MAX(T_Con,1)</f>
        <v/>
      </c>
      <c r="K27" s="34">
        <f>IF(T_Predev&gt;0,C_HardBase*in_cost_design_pct*0.6*K19/T_Predev+C_HardBase*in_cost_design_pct*0.4*K20/MAX(T_Con,1),C_HardBase*in_cost_design_pct*K20/MAX(T_Con,1))+IF(K$4=T_ConStart,C_HardBase*in_cost_permits_pct,0)+C_HardBase*(in_cost_pm_supervision_pct+in_cost_insurance_other_pct)*K20/MAX(T_Con,1)</f>
        <v/>
      </c>
      <c r="L27" s="34">
        <f>IF(T_Predev&gt;0,C_HardBase*in_cost_design_pct*0.6*L19/T_Predev+C_HardBase*in_cost_design_pct*0.4*L20/MAX(T_Con,1),C_HardBase*in_cost_design_pct*L20/MAX(T_Con,1))+IF(L$4=T_ConStart,C_HardBase*in_cost_permits_pct,0)+C_HardBase*(in_cost_pm_supervision_pct+in_cost_insurance_other_pct)*L20/MAX(T_Con,1)</f>
        <v/>
      </c>
      <c r="M27" s="34">
        <f>IF(T_Predev&gt;0,C_HardBase*in_cost_design_pct*0.6*M19/T_Predev+C_HardBase*in_cost_design_pct*0.4*M20/MAX(T_Con,1),C_HardBase*in_cost_design_pct*M20/MAX(T_Con,1))+IF(M$4=T_ConStart,C_HardBase*in_cost_permits_pct,0)+C_HardBase*(in_cost_pm_supervision_pct+in_cost_insurance_other_pct)*M20/MAX(T_Con,1)</f>
        <v/>
      </c>
      <c r="N27" s="34">
        <f>IF(T_Predev&gt;0,C_HardBase*in_cost_design_pct*0.6*N19/T_Predev+C_HardBase*in_cost_design_pct*0.4*N20/MAX(T_Con,1),C_HardBase*in_cost_design_pct*N20/MAX(T_Con,1))+IF(N$4=T_ConStart,C_HardBase*in_cost_permits_pct,0)+C_HardBase*(in_cost_pm_supervision_pct+in_cost_insurance_other_pct)*N20/MAX(T_Con,1)</f>
        <v/>
      </c>
      <c r="O27" s="34">
        <f>IF(T_Predev&gt;0,C_HardBase*in_cost_design_pct*0.6*O19/T_Predev+C_HardBase*in_cost_design_pct*0.4*O20/MAX(T_Con,1),C_HardBase*in_cost_design_pct*O20/MAX(T_Con,1))+IF(O$4=T_ConStart,C_HardBase*in_cost_permits_pct,0)+C_HardBase*(in_cost_pm_supervision_pct+in_cost_insurance_other_pct)*O20/MAX(T_Con,1)</f>
        <v/>
      </c>
      <c r="P27" s="34">
        <f>IF(T_Predev&gt;0,C_HardBase*in_cost_design_pct*0.6*P19/T_Predev+C_HardBase*in_cost_design_pct*0.4*P20/MAX(T_Con,1),C_HardBase*in_cost_design_pct*P20/MAX(T_Con,1))+IF(P$4=T_ConStart,C_HardBase*in_cost_permits_pct,0)+C_HardBase*(in_cost_pm_supervision_pct+in_cost_insurance_other_pct)*P20/MAX(T_Con,1)</f>
        <v/>
      </c>
      <c r="Q27" s="34">
        <f>IF(T_Predev&gt;0,C_HardBase*in_cost_design_pct*0.6*Q19/T_Predev+C_HardBase*in_cost_design_pct*0.4*Q20/MAX(T_Con,1),C_HardBase*in_cost_design_pct*Q20/MAX(T_Con,1))+IF(Q$4=T_ConStart,C_HardBase*in_cost_permits_pct,0)+C_HardBase*(in_cost_pm_supervision_pct+in_cost_insurance_other_pct)*Q20/MAX(T_Con,1)</f>
        <v/>
      </c>
      <c r="R27" s="34">
        <f>IF(T_Predev&gt;0,C_HardBase*in_cost_design_pct*0.6*R19/T_Predev+C_HardBase*in_cost_design_pct*0.4*R20/MAX(T_Con,1),C_HardBase*in_cost_design_pct*R20/MAX(T_Con,1))+IF(R$4=T_ConStart,C_HardBase*in_cost_permits_pct,0)+C_HardBase*(in_cost_pm_supervision_pct+in_cost_insurance_other_pct)*R20/MAX(T_Con,1)</f>
        <v/>
      </c>
      <c r="S27" s="34">
        <f>IF(T_Predev&gt;0,C_HardBase*in_cost_design_pct*0.6*S19/T_Predev+C_HardBase*in_cost_design_pct*0.4*S20/MAX(T_Con,1),C_HardBase*in_cost_design_pct*S20/MAX(T_Con,1))+IF(S$4=T_ConStart,C_HardBase*in_cost_permits_pct,0)+C_HardBase*(in_cost_pm_supervision_pct+in_cost_insurance_other_pct)*S20/MAX(T_Con,1)</f>
        <v/>
      </c>
      <c r="T27" s="34">
        <f>IF(T_Predev&gt;0,C_HardBase*in_cost_design_pct*0.6*T19/T_Predev+C_HardBase*in_cost_design_pct*0.4*T20/MAX(T_Con,1),C_HardBase*in_cost_design_pct*T20/MAX(T_Con,1))+IF(T$4=T_ConStart,C_HardBase*in_cost_permits_pct,0)+C_HardBase*(in_cost_pm_supervision_pct+in_cost_insurance_other_pct)*T20/MAX(T_Con,1)</f>
        <v/>
      </c>
      <c r="U27" s="34">
        <f>IF(T_Predev&gt;0,C_HardBase*in_cost_design_pct*0.6*U19/T_Predev+C_HardBase*in_cost_design_pct*0.4*U20/MAX(T_Con,1),C_HardBase*in_cost_design_pct*U20/MAX(T_Con,1))+IF(U$4=T_ConStart,C_HardBase*in_cost_permits_pct,0)+C_HardBase*(in_cost_pm_supervision_pct+in_cost_insurance_other_pct)*U20/MAX(T_Con,1)</f>
        <v/>
      </c>
      <c r="V27" s="34">
        <f>IF(T_Predev&gt;0,C_HardBase*in_cost_design_pct*0.6*V19/T_Predev+C_HardBase*in_cost_design_pct*0.4*V20/MAX(T_Con,1),C_HardBase*in_cost_design_pct*V20/MAX(T_Con,1))+IF(V$4=T_ConStart,C_HardBase*in_cost_permits_pct,0)+C_HardBase*(in_cost_pm_supervision_pct+in_cost_insurance_other_pct)*V20/MAX(T_Con,1)</f>
        <v/>
      </c>
      <c r="W27" s="34">
        <f>IF(T_Predev&gt;0,C_HardBase*in_cost_design_pct*0.6*W19/T_Predev+C_HardBase*in_cost_design_pct*0.4*W20/MAX(T_Con,1),C_HardBase*in_cost_design_pct*W20/MAX(T_Con,1))+IF(W$4=T_ConStart,C_HardBase*in_cost_permits_pct,0)+C_HardBase*(in_cost_pm_supervision_pct+in_cost_insurance_other_pct)*W20/MAX(T_Con,1)</f>
        <v/>
      </c>
      <c r="X27" s="34">
        <f>IF(T_Predev&gt;0,C_HardBase*in_cost_design_pct*0.6*X19/T_Predev+C_HardBase*in_cost_design_pct*0.4*X20/MAX(T_Con,1),C_HardBase*in_cost_design_pct*X20/MAX(T_Con,1))+IF(X$4=T_ConStart,C_HardBase*in_cost_permits_pct,0)+C_HardBase*(in_cost_pm_supervision_pct+in_cost_insurance_other_pct)*X20/MAX(T_Con,1)</f>
        <v/>
      </c>
      <c r="Y27" s="34">
        <f>IF(T_Predev&gt;0,C_HardBase*in_cost_design_pct*0.6*Y19/T_Predev+C_HardBase*in_cost_design_pct*0.4*Y20/MAX(T_Con,1),C_HardBase*in_cost_design_pct*Y20/MAX(T_Con,1))+IF(Y$4=T_ConStart,C_HardBase*in_cost_permits_pct,0)+C_HardBase*(in_cost_pm_supervision_pct+in_cost_insurance_other_pct)*Y20/MAX(T_Con,1)</f>
        <v/>
      </c>
      <c r="Z27" s="34">
        <f>IF(T_Predev&gt;0,C_HardBase*in_cost_design_pct*0.6*Z19/T_Predev+C_HardBase*in_cost_design_pct*0.4*Z20/MAX(T_Con,1),C_HardBase*in_cost_design_pct*Z20/MAX(T_Con,1))+IF(Z$4=T_ConStart,C_HardBase*in_cost_permits_pct,0)+C_HardBase*(in_cost_pm_supervision_pct+in_cost_insurance_other_pct)*Z20/MAX(T_Con,1)</f>
        <v/>
      </c>
      <c r="AA27" s="34">
        <f>IF(T_Predev&gt;0,C_HardBase*in_cost_design_pct*0.6*AA19/T_Predev+C_HardBase*in_cost_design_pct*0.4*AA20/MAX(T_Con,1),C_HardBase*in_cost_design_pct*AA20/MAX(T_Con,1))+IF(AA$4=T_ConStart,C_HardBase*in_cost_permits_pct,0)+C_HardBase*(in_cost_pm_supervision_pct+in_cost_insurance_other_pct)*AA20/MAX(T_Con,1)</f>
        <v/>
      </c>
      <c r="AB27" s="34">
        <f>IF(T_Predev&gt;0,C_HardBase*in_cost_design_pct*0.6*AB19/T_Predev+C_HardBase*in_cost_design_pct*0.4*AB20/MAX(T_Con,1),C_HardBase*in_cost_design_pct*AB20/MAX(T_Con,1))+IF(AB$4=T_ConStart,C_HardBase*in_cost_permits_pct,0)+C_HardBase*(in_cost_pm_supervision_pct+in_cost_insurance_other_pct)*AB20/MAX(T_Con,1)</f>
        <v/>
      </c>
      <c r="AC27" s="34">
        <f>IF(T_Predev&gt;0,C_HardBase*in_cost_design_pct*0.6*AC19/T_Predev+C_HardBase*in_cost_design_pct*0.4*AC20/MAX(T_Con,1),C_HardBase*in_cost_design_pct*AC20/MAX(T_Con,1))+IF(AC$4=T_ConStart,C_HardBase*in_cost_permits_pct,0)+C_HardBase*(in_cost_pm_supervision_pct+in_cost_insurance_other_pct)*AC20/MAX(T_Con,1)</f>
        <v/>
      </c>
      <c r="AD27" s="34">
        <f>IF(T_Predev&gt;0,C_HardBase*in_cost_design_pct*0.6*AD19/T_Predev+C_HardBase*in_cost_design_pct*0.4*AD20/MAX(T_Con,1),C_HardBase*in_cost_design_pct*AD20/MAX(T_Con,1))+IF(AD$4=T_ConStart,C_HardBase*in_cost_permits_pct,0)+C_HardBase*(in_cost_pm_supervision_pct+in_cost_insurance_other_pct)*AD20/MAX(T_Con,1)</f>
        <v/>
      </c>
      <c r="AE27" s="34">
        <f>IF(T_Predev&gt;0,C_HardBase*in_cost_design_pct*0.6*AE19/T_Predev+C_HardBase*in_cost_design_pct*0.4*AE20/MAX(T_Con,1),C_HardBase*in_cost_design_pct*AE20/MAX(T_Con,1))+IF(AE$4=T_ConStart,C_HardBase*in_cost_permits_pct,0)+C_HardBase*(in_cost_pm_supervision_pct+in_cost_insurance_other_pct)*AE20/MAX(T_Con,1)</f>
        <v/>
      </c>
      <c r="AF27" s="34">
        <f>IF(T_Predev&gt;0,C_HardBase*in_cost_design_pct*0.6*AF19/T_Predev+C_HardBase*in_cost_design_pct*0.4*AF20/MAX(T_Con,1),C_HardBase*in_cost_design_pct*AF20/MAX(T_Con,1))+IF(AF$4=T_ConStart,C_HardBase*in_cost_permits_pct,0)+C_HardBase*(in_cost_pm_supervision_pct+in_cost_insurance_other_pct)*AF20/MAX(T_Con,1)</f>
        <v/>
      </c>
      <c r="AG27" s="34">
        <f>IF(T_Predev&gt;0,C_HardBase*in_cost_design_pct*0.6*AG19/T_Predev+C_HardBase*in_cost_design_pct*0.4*AG20/MAX(T_Con,1),C_HardBase*in_cost_design_pct*AG20/MAX(T_Con,1))+IF(AG$4=T_ConStart,C_HardBase*in_cost_permits_pct,0)+C_HardBase*(in_cost_pm_supervision_pct+in_cost_insurance_other_pct)*AG20/MAX(T_Con,1)</f>
        <v/>
      </c>
      <c r="AH27" s="34">
        <f>IF(T_Predev&gt;0,C_HardBase*in_cost_design_pct*0.6*AH19/T_Predev+C_HardBase*in_cost_design_pct*0.4*AH20/MAX(T_Con,1),C_HardBase*in_cost_design_pct*AH20/MAX(T_Con,1))+IF(AH$4=T_ConStart,C_HardBase*in_cost_permits_pct,0)+C_HardBase*(in_cost_pm_supervision_pct+in_cost_insurance_other_pct)*AH20/MAX(T_Con,1)</f>
        <v/>
      </c>
      <c r="AI27" s="34">
        <f>IF(T_Predev&gt;0,C_HardBase*in_cost_design_pct*0.6*AI19/T_Predev+C_HardBase*in_cost_design_pct*0.4*AI20/MAX(T_Con,1),C_HardBase*in_cost_design_pct*AI20/MAX(T_Con,1))+IF(AI$4=T_ConStart,C_HardBase*in_cost_permits_pct,0)+C_HardBase*(in_cost_pm_supervision_pct+in_cost_insurance_other_pct)*AI20/MAX(T_Con,1)</f>
        <v/>
      </c>
      <c r="AJ27" s="34">
        <f>IF(T_Predev&gt;0,C_HardBase*in_cost_design_pct*0.6*AJ19/T_Predev+C_HardBase*in_cost_design_pct*0.4*AJ20/MAX(T_Con,1),C_HardBase*in_cost_design_pct*AJ20/MAX(T_Con,1))+IF(AJ$4=T_ConStart,C_HardBase*in_cost_permits_pct,0)+C_HardBase*(in_cost_pm_supervision_pct+in_cost_insurance_other_pct)*AJ20/MAX(T_Con,1)</f>
        <v/>
      </c>
      <c r="AK27" s="34">
        <f>IF(T_Predev&gt;0,C_HardBase*in_cost_design_pct*0.6*AK19/T_Predev+C_HardBase*in_cost_design_pct*0.4*AK20/MAX(T_Con,1),C_HardBase*in_cost_design_pct*AK20/MAX(T_Con,1))+IF(AK$4=T_ConStart,C_HardBase*in_cost_permits_pct,0)+C_HardBase*(in_cost_pm_supervision_pct+in_cost_insurance_other_pct)*AK20/MAX(T_Con,1)</f>
        <v/>
      </c>
      <c r="AL27" s="34">
        <f>IF(T_Predev&gt;0,C_HardBase*in_cost_design_pct*0.6*AL19/T_Predev+C_HardBase*in_cost_design_pct*0.4*AL20/MAX(T_Con,1),C_HardBase*in_cost_design_pct*AL20/MAX(T_Con,1))+IF(AL$4=T_ConStart,C_HardBase*in_cost_permits_pct,0)+C_HardBase*(in_cost_pm_supervision_pct+in_cost_insurance_other_pct)*AL20/MAX(T_Con,1)</f>
        <v/>
      </c>
      <c r="AM27" s="34">
        <f>IF(T_Predev&gt;0,C_HardBase*in_cost_design_pct*0.6*AM19/T_Predev+C_HardBase*in_cost_design_pct*0.4*AM20/MAX(T_Con,1),C_HardBase*in_cost_design_pct*AM20/MAX(T_Con,1))+IF(AM$4=T_ConStart,C_HardBase*in_cost_permits_pct,0)+C_HardBase*(in_cost_pm_supervision_pct+in_cost_insurance_other_pct)*AM20/MAX(T_Con,1)</f>
        <v/>
      </c>
      <c r="AN27" s="34">
        <f>IF(T_Predev&gt;0,C_HardBase*in_cost_design_pct*0.6*AN19/T_Predev+C_HardBase*in_cost_design_pct*0.4*AN20/MAX(T_Con,1),C_HardBase*in_cost_design_pct*AN20/MAX(T_Con,1))+IF(AN$4=T_ConStart,C_HardBase*in_cost_permits_pct,0)+C_HardBase*(in_cost_pm_supervision_pct+in_cost_insurance_other_pct)*AN20/MAX(T_Con,1)</f>
        <v/>
      </c>
      <c r="AO27" s="34">
        <f>IF(T_Predev&gt;0,C_HardBase*in_cost_design_pct*0.6*AO19/T_Predev+C_HardBase*in_cost_design_pct*0.4*AO20/MAX(T_Con,1),C_HardBase*in_cost_design_pct*AO20/MAX(T_Con,1))+IF(AO$4=T_ConStart,C_HardBase*in_cost_permits_pct,0)+C_HardBase*(in_cost_pm_supervision_pct+in_cost_insurance_other_pct)*AO20/MAX(T_Con,1)</f>
        <v/>
      </c>
      <c r="AP27" s="34">
        <f>IF(T_Predev&gt;0,C_HardBase*in_cost_design_pct*0.6*AP19/T_Predev+C_HardBase*in_cost_design_pct*0.4*AP20/MAX(T_Con,1),C_HardBase*in_cost_design_pct*AP20/MAX(T_Con,1))+IF(AP$4=T_ConStart,C_HardBase*in_cost_permits_pct,0)+C_HardBase*(in_cost_pm_supervision_pct+in_cost_insurance_other_pct)*AP20/MAX(T_Con,1)</f>
        <v/>
      </c>
      <c r="AQ27" s="34">
        <f>IF(T_Predev&gt;0,C_HardBase*in_cost_design_pct*0.6*AQ19/T_Predev+C_HardBase*in_cost_design_pct*0.4*AQ20/MAX(T_Con,1),C_HardBase*in_cost_design_pct*AQ20/MAX(T_Con,1))+IF(AQ$4=T_ConStart,C_HardBase*in_cost_permits_pct,0)+C_HardBase*(in_cost_pm_supervision_pct+in_cost_insurance_other_pct)*AQ20/MAX(T_Con,1)</f>
        <v/>
      </c>
      <c r="AR27" s="34">
        <f>IF(T_Predev&gt;0,C_HardBase*in_cost_design_pct*0.6*AR19/T_Predev+C_HardBase*in_cost_design_pct*0.4*AR20/MAX(T_Con,1),C_HardBase*in_cost_design_pct*AR20/MAX(T_Con,1))+IF(AR$4=T_ConStart,C_HardBase*in_cost_permits_pct,0)+C_HardBase*(in_cost_pm_supervision_pct+in_cost_insurance_other_pct)*AR20/MAX(T_Con,1)</f>
        <v/>
      </c>
      <c r="AS27" s="34">
        <f>IF(T_Predev&gt;0,C_HardBase*in_cost_design_pct*0.6*AS19/T_Predev+C_HardBase*in_cost_design_pct*0.4*AS20/MAX(T_Con,1),C_HardBase*in_cost_design_pct*AS20/MAX(T_Con,1))+IF(AS$4=T_ConStart,C_HardBase*in_cost_permits_pct,0)+C_HardBase*(in_cost_pm_supervision_pct+in_cost_insurance_other_pct)*AS20/MAX(T_Con,1)</f>
        <v/>
      </c>
      <c r="AT27" s="34">
        <f>IF(T_Predev&gt;0,C_HardBase*in_cost_design_pct*0.6*AT19/T_Predev+C_HardBase*in_cost_design_pct*0.4*AT20/MAX(T_Con,1),C_HardBase*in_cost_design_pct*AT20/MAX(T_Con,1))+IF(AT$4=T_ConStart,C_HardBase*in_cost_permits_pct,0)+C_HardBase*(in_cost_pm_supervision_pct+in_cost_insurance_other_pct)*AT20/MAX(T_Con,1)</f>
        <v/>
      </c>
      <c r="AU27" s="34">
        <f>IF(T_Predev&gt;0,C_HardBase*in_cost_design_pct*0.6*AU19/T_Predev+C_HardBase*in_cost_design_pct*0.4*AU20/MAX(T_Con,1),C_HardBase*in_cost_design_pct*AU20/MAX(T_Con,1))+IF(AU$4=T_ConStart,C_HardBase*in_cost_permits_pct,0)+C_HardBase*(in_cost_pm_supervision_pct+in_cost_insurance_other_pct)*AU20/MAX(T_Con,1)</f>
        <v/>
      </c>
      <c r="AV27" s="34">
        <f>IF(T_Predev&gt;0,C_HardBase*in_cost_design_pct*0.6*AV19/T_Predev+C_HardBase*in_cost_design_pct*0.4*AV20/MAX(T_Con,1),C_HardBase*in_cost_design_pct*AV20/MAX(T_Con,1))+IF(AV$4=T_ConStart,C_HardBase*in_cost_permits_pct,0)+C_HardBase*(in_cost_pm_supervision_pct+in_cost_insurance_other_pct)*AV20/MAX(T_Con,1)</f>
        <v/>
      </c>
      <c r="AW27" s="34">
        <f>IF(T_Predev&gt;0,C_HardBase*in_cost_design_pct*0.6*AW19/T_Predev+C_HardBase*in_cost_design_pct*0.4*AW20/MAX(T_Con,1),C_HardBase*in_cost_design_pct*AW20/MAX(T_Con,1))+IF(AW$4=T_ConStart,C_HardBase*in_cost_permits_pct,0)+C_HardBase*(in_cost_pm_supervision_pct+in_cost_insurance_other_pct)*AW20/MAX(T_Con,1)</f>
        <v/>
      </c>
      <c r="AX27" s="34">
        <f>IF(T_Predev&gt;0,C_HardBase*in_cost_design_pct*0.6*AX19/T_Predev+C_HardBase*in_cost_design_pct*0.4*AX20/MAX(T_Con,1),C_HardBase*in_cost_design_pct*AX20/MAX(T_Con,1))+IF(AX$4=T_ConStart,C_HardBase*in_cost_permits_pct,0)+C_HardBase*(in_cost_pm_supervision_pct+in_cost_insurance_other_pct)*AX20/MAX(T_Con,1)</f>
        <v/>
      </c>
      <c r="AY27" s="34">
        <f>IF(T_Predev&gt;0,C_HardBase*in_cost_design_pct*0.6*AY19/T_Predev+C_HardBase*in_cost_design_pct*0.4*AY20/MAX(T_Con,1),C_HardBase*in_cost_design_pct*AY20/MAX(T_Con,1))+IF(AY$4=T_ConStart,C_HardBase*in_cost_permits_pct,0)+C_HardBase*(in_cost_pm_supervision_pct+in_cost_insurance_other_pct)*AY20/MAX(T_Con,1)</f>
        <v/>
      </c>
      <c r="AZ27" s="34">
        <f>IF(T_Predev&gt;0,C_HardBase*in_cost_design_pct*0.6*AZ19/T_Predev+C_HardBase*in_cost_design_pct*0.4*AZ20/MAX(T_Con,1),C_HardBase*in_cost_design_pct*AZ20/MAX(T_Con,1))+IF(AZ$4=T_ConStart,C_HardBase*in_cost_permits_pct,0)+C_HardBase*(in_cost_pm_supervision_pct+in_cost_insurance_other_pct)*AZ20/MAX(T_Con,1)</f>
        <v/>
      </c>
      <c r="BA27" s="34">
        <f>IF(T_Predev&gt;0,C_HardBase*in_cost_design_pct*0.6*BA19/T_Predev+C_HardBase*in_cost_design_pct*0.4*BA20/MAX(T_Con,1),C_HardBase*in_cost_design_pct*BA20/MAX(T_Con,1))+IF(BA$4=T_ConStart,C_HardBase*in_cost_permits_pct,0)+C_HardBase*(in_cost_pm_supervision_pct+in_cost_insurance_other_pct)*BA20/MAX(T_Con,1)</f>
        <v/>
      </c>
      <c r="BB27" s="34">
        <f>IF(T_Predev&gt;0,C_HardBase*in_cost_design_pct*0.6*BB19/T_Predev+C_HardBase*in_cost_design_pct*0.4*BB20/MAX(T_Con,1),C_HardBase*in_cost_design_pct*BB20/MAX(T_Con,1))+IF(BB$4=T_ConStart,C_HardBase*in_cost_permits_pct,0)+C_HardBase*(in_cost_pm_supervision_pct+in_cost_insurance_other_pct)*BB20/MAX(T_Con,1)</f>
        <v/>
      </c>
      <c r="BC27" s="34">
        <f>IF(T_Predev&gt;0,C_HardBase*in_cost_design_pct*0.6*BC19/T_Predev+C_HardBase*in_cost_design_pct*0.4*BC20/MAX(T_Con,1),C_HardBase*in_cost_design_pct*BC20/MAX(T_Con,1))+IF(BC$4=T_ConStart,C_HardBase*in_cost_permits_pct,0)+C_HardBase*(in_cost_pm_supervision_pct+in_cost_insurance_other_pct)*BC20/MAX(T_Con,1)</f>
        <v/>
      </c>
      <c r="BD27" s="34">
        <f>IF(T_Predev&gt;0,C_HardBase*in_cost_design_pct*0.6*BD19/T_Predev+C_HardBase*in_cost_design_pct*0.4*BD20/MAX(T_Con,1),C_HardBase*in_cost_design_pct*BD20/MAX(T_Con,1))+IF(BD$4=T_ConStart,C_HardBase*in_cost_permits_pct,0)+C_HardBase*(in_cost_pm_supervision_pct+in_cost_insurance_other_pct)*BD20/MAX(T_Con,1)</f>
        <v/>
      </c>
      <c r="BE27" s="34">
        <f>IF(T_Predev&gt;0,C_HardBase*in_cost_design_pct*0.6*BE19/T_Predev+C_HardBase*in_cost_design_pct*0.4*BE20/MAX(T_Con,1),C_HardBase*in_cost_design_pct*BE20/MAX(T_Con,1))+IF(BE$4=T_ConStart,C_HardBase*in_cost_permits_pct,0)+C_HardBase*(in_cost_pm_supervision_pct+in_cost_insurance_other_pct)*BE20/MAX(T_Con,1)</f>
        <v/>
      </c>
      <c r="BF27" s="34">
        <f>IF(T_Predev&gt;0,C_HardBase*in_cost_design_pct*0.6*BF19/T_Predev+C_HardBase*in_cost_design_pct*0.4*BF20/MAX(T_Con,1),C_HardBase*in_cost_design_pct*BF20/MAX(T_Con,1))+IF(BF$4=T_ConStart,C_HardBase*in_cost_permits_pct,0)+C_HardBase*(in_cost_pm_supervision_pct+in_cost_insurance_other_pct)*BF20/MAX(T_Con,1)</f>
        <v/>
      </c>
      <c r="BG27" s="34">
        <f>IF(T_Predev&gt;0,C_HardBase*in_cost_design_pct*0.6*BG19/T_Predev+C_HardBase*in_cost_design_pct*0.4*BG20/MAX(T_Con,1),C_HardBase*in_cost_design_pct*BG20/MAX(T_Con,1))+IF(BG$4=T_ConStart,C_HardBase*in_cost_permits_pct,0)+C_HardBase*(in_cost_pm_supervision_pct+in_cost_insurance_other_pct)*BG20/MAX(T_Con,1)</f>
        <v/>
      </c>
      <c r="BH27" s="34">
        <f>IF(T_Predev&gt;0,C_HardBase*in_cost_design_pct*0.6*BH19/T_Predev+C_HardBase*in_cost_design_pct*0.4*BH20/MAX(T_Con,1),C_HardBase*in_cost_design_pct*BH20/MAX(T_Con,1))+IF(BH$4=T_ConStart,C_HardBase*in_cost_permits_pct,0)+C_HardBase*(in_cost_pm_supervision_pct+in_cost_insurance_other_pct)*BH20/MAX(T_Con,1)</f>
        <v/>
      </c>
      <c r="BI27" s="34">
        <f>IF(T_Predev&gt;0,C_HardBase*in_cost_design_pct*0.6*BI19/T_Predev+C_HardBase*in_cost_design_pct*0.4*BI20/MAX(T_Con,1),C_HardBase*in_cost_design_pct*BI20/MAX(T_Con,1))+IF(BI$4=T_ConStart,C_HardBase*in_cost_permits_pct,0)+C_HardBase*(in_cost_pm_supervision_pct+in_cost_insurance_other_pct)*BI20/MAX(T_Con,1)</f>
        <v/>
      </c>
      <c r="BJ27" s="34">
        <f>IF(T_Predev&gt;0,C_HardBase*in_cost_design_pct*0.6*BJ19/T_Predev+C_HardBase*in_cost_design_pct*0.4*BJ20/MAX(T_Con,1),C_HardBase*in_cost_design_pct*BJ20/MAX(T_Con,1))+IF(BJ$4=T_ConStart,C_HardBase*in_cost_permits_pct,0)+C_HardBase*(in_cost_pm_supervision_pct+in_cost_insurance_other_pct)*BJ20/MAX(T_Con,1)</f>
        <v/>
      </c>
      <c r="BK27" s="34">
        <f>IF(T_Predev&gt;0,C_HardBase*in_cost_design_pct*0.6*BK19/T_Predev+C_HardBase*in_cost_design_pct*0.4*BK20/MAX(T_Con,1),C_HardBase*in_cost_design_pct*BK20/MAX(T_Con,1))+IF(BK$4=T_ConStart,C_HardBase*in_cost_permits_pct,0)+C_HardBase*(in_cost_pm_supervision_pct+in_cost_insurance_other_pct)*BK20/MAX(T_Con,1)</f>
        <v/>
      </c>
      <c r="BL27" s="34">
        <f>IF(T_Predev&gt;0,C_HardBase*in_cost_design_pct*0.6*BL19/T_Predev+C_HardBase*in_cost_design_pct*0.4*BL20/MAX(T_Con,1),C_HardBase*in_cost_design_pct*BL20/MAX(T_Con,1))+IF(BL$4=T_ConStart,C_HardBase*in_cost_permits_pct,0)+C_HardBase*(in_cost_pm_supervision_pct+in_cost_insurance_other_pct)*BL20/MAX(T_Con,1)</f>
        <v/>
      </c>
      <c r="BM27" s="34">
        <f>IF(T_Predev&gt;0,C_HardBase*in_cost_design_pct*0.6*BM19/T_Predev+C_HardBase*in_cost_design_pct*0.4*BM20/MAX(T_Con,1),C_HardBase*in_cost_design_pct*BM20/MAX(T_Con,1))+IF(BM$4=T_ConStart,C_HardBase*in_cost_permits_pct,0)+C_HardBase*(in_cost_pm_supervision_pct+in_cost_insurance_other_pct)*BM20/MAX(T_Con,1)</f>
        <v/>
      </c>
      <c r="BN27" s="34">
        <f>IF(T_Predev&gt;0,C_HardBase*in_cost_design_pct*0.6*BN19/T_Predev+C_HardBase*in_cost_design_pct*0.4*BN20/MAX(T_Con,1),C_HardBase*in_cost_design_pct*BN20/MAX(T_Con,1))+IF(BN$4=T_ConStart,C_HardBase*in_cost_permits_pct,0)+C_HardBase*(in_cost_pm_supervision_pct+in_cost_insurance_other_pct)*BN20/MAX(T_Con,1)</f>
        <v/>
      </c>
      <c r="BO27" s="34">
        <f>IF(T_Predev&gt;0,C_HardBase*in_cost_design_pct*0.6*BO19/T_Predev+C_HardBase*in_cost_design_pct*0.4*BO20/MAX(T_Con,1),C_HardBase*in_cost_design_pct*BO20/MAX(T_Con,1))+IF(BO$4=T_ConStart,C_HardBase*in_cost_permits_pct,0)+C_HardBase*(in_cost_pm_supervision_pct+in_cost_insurance_other_pct)*BO20/MAX(T_Con,1)</f>
        <v/>
      </c>
      <c r="BP27" s="34">
        <f>IF(T_Predev&gt;0,C_HardBase*in_cost_design_pct*0.6*BP19/T_Predev+C_HardBase*in_cost_design_pct*0.4*BP20/MAX(T_Con,1),C_HardBase*in_cost_design_pct*BP20/MAX(T_Con,1))+IF(BP$4=T_ConStart,C_HardBase*in_cost_permits_pct,0)+C_HardBase*(in_cost_pm_supervision_pct+in_cost_insurance_other_pct)*BP20/MAX(T_Con,1)</f>
        <v/>
      </c>
      <c r="BQ27" s="34">
        <f>IF(T_Predev&gt;0,C_HardBase*in_cost_design_pct*0.6*BQ19/T_Predev+C_HardBase*in_cost_design_pct*0.4*BQ20/MAX(T_Con,1),C_HardBase*in_cost_design_pct*BQ20/MAX(T_Con,1))+IF(BQ$4=T_ConStart,C_HardBase*in_cost_permits_pct,0)+C_HardBase*(in_cost_pm_supervision_pct+in_cost_insurance_other_pct)*BQ20/MAX(T_Con,1)</f>
        <v/>
      </c>
      <c r="BR27" s="34">
        <f>IF(T_Predev&gt;0,C_HardBase*in_cost_design_pct*0.6*BR19/T_Predev+C_HardBase*in_cost_design_pct*0.4*BR20/MAX(T_Con,1),C_HardBase*in_cost_design_pct*BR20/MAX(T_Con,1))+IF(BR$4=T_ConStart,C_HardBase*in_cost_permits_pct,0)+C_HardBase*(in_cost_pm_supervision_pct+in_cost_insurance_other_pct)*BR20/MAX(T_Con,1)</f>
        <v/>
      </c>
      <c r="BS27" s="34">
        <f>IF(T_Predev&gt;0,C_HardBase*in_cost_design_pct*0.6*BS19/T_Predev+C_HardBase*in_cost_design_pct*0.4*BS20/MAX(T_Con,1),C_HardBase*in_cost_design_pct*BS20/MAX(T_Con,1))+IF(BS$4=T_ConStart,C_HardBase*in_cost_permits_pct,0)+C_HardBase*(in_cost_pm_supervision_pct+in_cost_insurance_other_pct)*BS20/MAX(T_Con,1)</f>
        <v/>
      </c>
      <c r="BT27" s="34">
        <f>IF(T_Predev&gt;0,C_HardBase*in_cost_design_pct*0.6*BT19/T_Predev+C_HardBase*in_cost_design_pct*0.4*BT20/MAX(T_Con,1),C_HardBase*in_cost_design_pct*BT20/MAX(T_Con,1))+IF(BT$4=T_ConStart,C_HardBase*in_cost_permits_pct,0)+C_HardBase*(in_cost_pm_supervision_pct+in_cost_insurance_other_pct)*BT20/MAX(T_Con,1)</f>
        <v/>
      </c>
      <c r="BU27" s="34">
        <f>IF(T_Predev&gt;0,C_HardBase*in_cost_design_pct*0.6*BU19/T_Predev+C_HardBase*in_cost_design_pct*0.4*BU20/MAX(T_Con,1),C_HardBase*in_cost_design_pct*BU20/MAX(T_Con,1))+IF(BU$4=T_ConStart,C_HardBase*in_cost_permits_pct,0)+C_HardBase*(in_cost_pm_supervision_pct+in_cost_insurance_other_pct)*BU20/MAX(T_Con,1)</f>
        <v/>
      </c>
      <c r="BV27" s="34">
        <f>IF(T_Predev&gt;0,C_HardBase*in_cost_design_pct*0.6*BV19/T_Predev+C_HardBase*in_cost_design_pct*0.4*BV20/MAX(T_Con,1),C_HardBase*in_cost_design_pct*BV20/MAX(T_Con,1))+IF(BV$4=T_ConStart,C_HardBase*in_cost_permits_pct,0)+C_HardBase*(in_cost_pm_supervision_pct+in_cost_insurance_other_pct)*BV20/MAX(T_Con,1)</f>
        <v/>
      </c>
      <c r="BW27" s="34">
        <f>IF(T_Predev&gt;0,C_HardBase*in_cost_design_pct*0.6*BW19/T_Predev+C_HardBase*in_cost_design_pct*0.4*BW20/MAX(T_Con,1),C_HardBase*in_cost_design_pct*BW20/MAX(T_Con,1))+IF(BW$4=T_ConStart,C_HardBase*in_cost_permits_pct,0)+C_HardBase*(in_cost_pm_supervision_pct+in_cost_insurance_other_pct)*BW20/MAX(T_Con,1)</f>
        <v/>
      </c>
      <c r="BX27" s="34">
        <f>IF(T_Predev&gt;0,C_HardBase*in_cost_design_pct*0.6*BX19/T_Predev+C_HardBase*in_cost_design_pct*0.4*BX20/MAX(T_Con,1),C_HardBase*in_cost_design_pct*BX20/MAX(T_Con,1))+IF(BX$4=T_ConStart,C_HardBase*in_cost_permits_pct,0)+C_HardBase*(in_cost_pm_supervision_pct+in_cost_insurance_other_pct)*BX20/MAX(T_Con,1)</f>
        <v/>
      </c>
      <c r="BY27" s="34">
        <f>IF(T_Predev&gt;0,C_HardBase*in_cost_design_pct*0.6*BY19/T_Predev+C_HardBase*in_cost_design_pct*0.4*BY20/MAX(T_Con,1),C_HardBase*in_cost_design_pct*BY20/MAX(T_Con,1))+IF(BY$4=T_ConStart,C_HardBase*in_cost_permits_pct,0)+C_HardBase*(in_cost_pm_supervision_pct+in_cost_insurance_other_pct)*BY20/MAX(T_Con,1)</f>
        <v/>
      </c>
      <c r="BZ27" s="34">
        <f>IF(T_Predev&gt;0,C_HardBase*in_cost_design_pct*0.6*BZ19/T_Predev+C_HardBase*in_cost_design_pct*0.4*BZ20/MAX(T_Con,1),C_HardBase*in_cost_design_pct*BZ20/MAX(T_Con,1))+IF(BZ$4=T_ConStart,C_HardBase*in_cost_permits_pct,0)+C_HardBase*(in_cost_pm_supervision_pct+in_cost_insurance_other_pct)*BZ20/MAX(T_Con,1)</f>
        <v/>
      </c>
      <c r="CA27" s="34">
        <f>IF(T_Predev&gt;0,C_HardBase*in_cost_design_pct*0.6*CA19/T_Predev+C_HardBase*in_cost_design_pct*0.4*CA20/MAX(T_Con,1),C_HardBase*in_cost_design_pct*CA20/MAX(T_Con,1))+IF(CA$4=T_ConStart,C_HardBase*in_cost_permits_pct,0)+C_HardBase*(in_cost_pm_supervision_pct+in_cost_insurance_other_pct)*CA20/MAX(T_Con,1)</f>
        <v/>
      </c>
      <c r="CB27" s="34">
        <f>IF(T_Predev&gt;0,C_HardBase*in_cost_design_pct*0.6*CB19/T_Predev+C_HardBase*in_cost_design_pct*0.4*CB20/MAX(T_Con,1),C_HardBase*in_cost_design_pct*CB20/MAX(T_Con,1))+IF(CB$4=T_ConStart,C_HardBase*in_cost_permits_pct,0)+C_HardBase*(in_cost_pm_supervision_pct+in_cost_insurance_other_pct)*CB20/MAX(T_Con,1)</f>
        <v/>
      </c>
      <c r="CC27" s="34">
        <f>IF(T_Predev&gt;0,C_HardBase*in_cost_design_pct*0.6*CC19/T_Predev+C_HardBase*in_cost_design_pct*0.4*CC20/MAX(T_Con,1),C_HardBase*in_cost_design_pct*CC20/MAX(T_Con,1))+IF(CC$4=T_ConStart,C_HardBase*in_cost_permits_pct,0)+C_HardBase*(in_cost_pm_supervision_pct+in_cost_insurance_other_pct)*CC20/MAX(T_Con,1)</f>
        <v/>
      </c>
      <c r="CD27" s="34">
        <f>IF(T_Predev&gt;0,C_HardBase*in_cost_design_pct*0.6*CD19/T_Predev+C_HardBase*in_cost_design_pct*0.4*CD20/MAX(T_Con,1),C_HardBase*in_cost_design_pct*CD20/MAX(T_Con,1))+IF(CD$4=T_ConStart,C_HardBase*in_cost_permits_pct,0)+C_HardBase*(in_cost_pm_supervision_pct+in_cost_insurance_other_pct)*CD20/MAX(T_Con,1)</f>
        <v/>
      </c>
      <c r="CE27" s="34">
        <f>IF(T_Predev&gt;0,C_HardBase*in_cost_design_pct*0.6*CE19/T_Predev+C_HardBase*in_cost_design_pct*0.4*CE20/MAX(T_Con,1),C_HardBase*in_cost_design_pct*CE20/MAX(T_Con,1))+IF(CE$4=T_ConStart,C_HardBase*in_cost_permits_pct,0)+C_HardBase*(in_cost_pm_supervision_pct+in_cost_insurance_other_pct)*CE20/MAX(T_Con,1)</f>
        <v/>
      </c>
      <c r="CF27" s="34">
        <f>IF(T_Predev&gt;0,C_HardBase*in_cost_design_pct*0.6*CF19/T_Predev+C_HardBase*in_cost_design_pct*0.4*CF20/MAX(T_Con,1),C_HardBase*in_cost_design_pct*CF20/MAX(T_Con,1))+IF(CF$4=T_ConStart,C_HardBase*in_cost_permits_pct,0)+C_HardBase*(in_cost_pm_supervision_pct+in_cost_insurance_other_pct)*CF20/MAX(T_Con,1)</f>
        <v/>
      </c>
      <c r="CG27" s="34">
        <f>IF(T_Predev&gt;0,C_HardBase*in_cost_design_pct*0.6*CG19/T_Predev+C_HardBase*in_cost_design_pct*0.4*CG20/MAX(T_Con,1),C_HardBase*in_cost_design_pct*CG20/MAX(T_Con,1))+IF(CG$4=T_ConStart,C_HardBase*in_cost_permits_pct,0)+C_HardBase*(in_cost_pm_supervision_pct+in_cost_insurance_other_pct)*CG20/MAX(T_Con,1)</f>
        <v/>
      </c>
      <c r="CH27" s="34">
        <f>IF(T_Predev&gt;0,C_HardBase*in_cost_design_pct*0.6*CH19/T_Predev+C_HardBase*in_cost_design_pct*0.4*CH20/MAX(T_Con,1),C_HardBase*in_cost_design_pct*CH20/MAX(T_Con,1))+IF(CH$4=T_ConStart,C_HardBase*in_cost_permits_pct,0)+C_HardBase*(in_cost_pm_supervision_pct+in_cost_insurance_other_pct)*CH20/MAX(T_Con,1)</f>
        <v/>
      </c>
      <c r="CI27" s="34">
        <f>IF(T_Predev&gt;0,C_HardBase*in_cost_design_pct*0.6*CI19/T_Predev+C_HardBase*in_cost_design_pct*0.4*CI20/MAX(T_Con,1),C_HardBase*in_cost_design_pct*CI20/MAX(T_Con,1))+IF(CI$4=T_ConStart,C_HardBase*in_cost_permits_pct,0)+C_HardBase*(in_cost_pm_supervision_pct+in_cost_insurance_other_pct)*CI20/MAX(T_Con,1)</f>
        <v/>
      </c>
      <c r="CJ27" s="34">
        <f>IF(T_Predev&gt;0,C_HardBase*in_cost_design_pct*0.6*CJ19/T_Predev+C_HardBase*in_cost_design_pct*0.4*CJ20/MAX(T_Con,1),C_HardBase*in_cost_design_pct*CJ20/MAX(T_Con,1))+IF(CJ$4=T_ConStart,C_HardBase*in_cost_permits_pct,0)+C_HardBase*(in_cost_pm_supervision_pct+in_cost_insurance_other_pct)*CJ20/MAX(T_Con,1)</f>
        <v/>
      </c>
      <c r="CK27" s="34">
        <f>IF(T_Predev&gt;0,C_HardBase*in_cost_design_pct*0.6*CK19/T_Predev+C_HardBase*in_cost_design_pct*0.4*CK20/MAX(T_Con,1),C_HardBase*in_cost_design_pct*CK20/MAX(T_Con,1))+IF(CK$4=T_ConStart,C_HardBase*in_cost_permits_pct,0)+C_HardBase*(in_cost_pm_supervision_pct+in_cost_insurance_other_pct)*CK20/MAX(T_Con,1)</f>
        <v/>
      </c>
      <c r="CL27" s="34">
        <f>IF(T_Predev&gt;0,C_HardBase*in_cost_design_pct*0.6*CL19/T_Predev+C_HardBase*in_cost_design_pct*0.4*CL20/MAX(T_Con,1),C_HardBase*in_cost_design_pct*CL20/MAX(T_Con,1))+IF(CL$4=T_ConStart,C_HardBase*in_cost_permits_pct,0)+C_HardBase*(in_cost_pm_supervision_pct+in_cost_insurance_other_pct)*CL20/MAX(T_Con,1)</f>
        <v/>
      </c>
      <c r="CM27" s="34">
        <f>IF(T_Predev&gt;0,C_HardBase*in_cost_design_pct*0.6*CM19/T_Predev+C_HardBase*in_cost_design_pct*0.4*CM20/MAX(T_Con,1),C_HardBase*in_cost_design_pct*CM20/MAX(T_Con,1))+IF(CM$4=T_ConStart,C_HardBase*in_cost_permits_pct,0)+C_HardBase*(in_cost_pm_supervision_pct+in_cost_insurance_other_pct)*CM20/MAX(T_Con,1)</f>
        <v/>
      </c>
      <c r="CN27" s="34">
        <f>IF(T_Predev&gt;0,C_HardBase*in_cost_design_pct*0.6*CN19/T_Predev+C_HardBase*in_cost_design_pct*0.4*CN20/MAX(T_Con,1),C_HardBase*in_cost_design_pct*CN20/MAX(T_Con,1))+IF(CN$4=T_ConStart,C_HardBase*in_cost_permits_pct,0)+C_HardBase*(in_cost_pm_supervision_pct+in_cost_insurance_other_pct)*CN20/MAX(T_Con,1)</f>
        <v/>
      </c>
      <c r="CO27" s="34">
        <f>IF(T_Predev&gt;0,C_HardBase*in_cost_design_pct*0.6*CO19/T_Predev+C_HardBase*in_cost_design_pct*0.4*CO20/MAX(T_Con,1),C_HardBase*in_cost_design_pct*CO20/MAX(T_Con,1))+IF(CO$4=T_ConStart,C_HardBase*in_cost_permits_pct,0)+C_HardBase*(in_cost_pm_supervision_pct+in_cost_insurance_other_pct)*CO20/MAX(T_Con,1)</f>
        <v/>
      </c>
      <c r="CP27" s="34">
        <f>IF(T_Predev&gt;0,C_HardBase*in_cost_design_pct*0.6*CP19/T_Predev+C_HardBase*in_cost_design_pct*0.4*CP20/MAX(T_Con,1),C_HardBase*in_cost_design_pct*CP20/MAX(T_Con,1))+IF(CP$4=T_ConStart,C_HardBase*in_cost_permits_pct,0)+C_HardBase*(in_cost_pm_supervision_pct+in_cost_insurance_other_pct)*CP20/MAX(T_Con,1)</f>
        <v/>
      </c>
      <c r="CQ27" s="34">
        <f>IF(T_Predev&gt;0,C_HardBase*in_cost_design_pct*0.6*CQ19/T_Predev+C_HardBase*in_cost_design_pct*0.4*CQ20/MAX(T_Con,1),C_HardBase*in_cost_design_pct*CQ20/MAX(T_Con,1))+IF(CQ$4=T_ConStart,C_HardBase*in_cost_permits_pct,0)+C_HardBase*(in_cost_pm_supervision_pct+in_cost_insurance_other_pct)*CQ20/MAX(T_Con,1)</f>
        <v/>
      </c>
      <c r="CR27" s="34">
        <f>IF(T_Predev&gt;0,C_HardBase*in_cost_design_pct*0.6*CR19/T_Predev+C_HardBase*in_cost_design_pct*0.4*CR20/MAX(T_Con,1),C_HardBase*in_cost_design_pct*CR20/MAX(T_Con,1))+IF(CR$4=T_ConStart,C_HardBase*in_cost_permits_pct,0)+C_HardBase*(in_cost_pm_supervision_pct+in_cost_insurance_other_pct)*CR20/MAX(T_Con,1)</f>
        <v/>
      </c>
      <c r="CS27" s="34">
        <f>IF(T_Predev&gt;0,C_HardBase*in_cost_design_pct*0.6*CS19/T_Predev+C_HardBase*in_cost_design_pct*0.4*CS20/MAX(T_Con,1),C_HardBase*in_cost_design_pct*CS20/MAX(T_Con,1))+IF(CS$4=T_ConStart,C_HardBase*in_cost_permits_pct,0)+C_HardBase*(in_cost_pm_supervision_pct+in_cost_insurance_other_pct)*CS20/MAX(T_Con,1)</f>
        <v/>
      </c>
      <c r="CT27" s="34">
        <f>IF(T_Predev&gt;0,C_HardBase*in_cost_design_pct*0.6*CT19/T_Predev+C_HardBase*in_cost_design_pct*0.4*CT20/MAX(T_Con,1),C_HardBase*in_cost_design_pct*CT20/MAX(T_Con,1))+IF(CT$4=T_ConStart,C_HardBase*in_cost_permits_pct,0)+C_HardBase*(in_cost_pm_supervision_pct+in_cost_insurance_other_pct)*CT20/MAX(T_Con,1)</f>
        <v/>
      </c>
      <c r="CU27" s="34">
        <f>IF(T_Predev&gt;0,C_HardBase*in_cost_design_pct*0.6*CU19/T_Predev+C_HardBase*in_cost_design_pct*0.4*CU20/MAX(T_Con,1),C_HardBase*in_cost_design_pct*CU20/MAX(T_Con,1))+IF(CU$4=T_ConStart,C_HardBase*in_cost_permits_pct,0)+C_HardBase*(in_cost_pm_supervision_pct+in_cost_insurance_other_pct)*CU20/MAX(T_Con,1)</f>
        <v/>
      </c>
    </row>
    <row r="28">
      <c r="A28" s="7" t="inlineStr">
        <is>
          <t>Contingency</t>
        </is>
      </c>
      <c r="B28" s="21">
        <f>SUM(D28:CU28)</f>
        <v/>
      </c>
      <c r="C28" s="11" t="inlineStr"/>
      <c r="D28" s="34">
        <f>C_Contingency*D21</f>
        <v/>
      </c>
      <c r="E28" s="34">
        <f>C_Contingency*E21</f>
        <v/>
      </c>
      <c r="F28" s="34">
        <f>C_Contingency*F21</f>
        <v/>
      </c>
      <c r="G28" s="34">
        <f>C_Contingency*G21</f>
        <v/>
      </c>
      <c r="H28" s="34">
        <f>C_Contingency*H21</f>
        <v/>
      </c>
      <c r="I28" s="34">
        <f>C_Contingency*I21</f>
        <v/>
      </c>
      <c r="J28" s="34">
        <f>C_Contingency*J21</f>
        <v/>
      </c>
      <c r="K28" s="34">
        <f>C_Contingency*K21</f>
        <v/>
      </c>
      <c r="L28" s="34">
        <f>C_Contingency*L21</f>
        <v/>
      </c>
      <c r="M28" s="34">
        <f>C_Contingency*M21</f>
        <v/>
      </c>
      <c r="N28" s="34">
        <f>C_Contingency*N21</f>
        <v/>
      </c>
      <c r="O28" s="34">
        <f>C_Contingency*O21</f>
        <v/>
      </c>
      <c r="P28" s="34">
        <f>C_Contingency*P21</f>
        <v/>
      </c>
      <c r="Q28" s="34">
        <f>C_Contingency*Q21</f>
        <v/>
      </c>
      <c r="R28" s="34">
        <f>C_Contingency*R21</f>
        <v/>
      </c>
      <c r="S28" s="34">
        <f>C_Contingency*S21</f>
        <v/>
      </c>
      <c r="T28" s="34">
        <f>C_Contingency*T21</f>
        <v/>
      </c>
      <c r="U28" s="34">
        <f>C_Contingency*U21</f>
        <v/>
      </c>
      <c r="V28" s="34">
        <f>C_Contingency*V21</f>
        <v/>
      </c>
      <c r="W28" s="34">
        <f>C_Contingency*W21</f>
        <v/>
      </c>
      <c r="X28" s="34">
        <f>C_Contingency*X21</f>
        <v/>
      </c>
      <c r="Y28" s="34">
        <f>C_Contingency*Y21</f>
        <v/>
      </c>
      <c r="Z28" s="34">
        <f>C_Contingency*Z21</f>
        <v/>
      </c>
      <c r="AA28" s="34">
        <f>C_Contingency*AA21</f>
        <v/>
      </c>
      <c r="AB28" s="34">
        <f>C_Contingency*AB21</f>
        <v/>
      </c>
      <c r="AC28" s="34">
        <f>C_Contingency*AC21</f>
        <v/>
      </c>
      <c r="AD28" s="34">
        <f>C_Contingency*AD21</f>
        <v/>
      </c>
      <c r="AE28" s="34">
        <f>C_Contingency*AE21</f>
        <v/>
      </c>
      <c r="AF28" s="34">
        <f>C_Contingency*AF21</f>
        <v/>
      </c>
      <c r="AG28" s="34">
        <f>C_Contingency*AG21</f>
        <v/>
      </c>
      <c r="AH28" s="34">
        <f>C_Contingency*AH21</f>
        <v/>
      </c>
      <c r="AI28" s="34">
        <f>C_Contingency*AI21</f>
        <v/>
      </c>
      <c r="AJ28" s="34">
        <f>C_Contingency*AJ21</f>
        <v/>
      </c>
      <c r="AK28" s="34">
        <f>C_Contingency*AK21</f>
        <v/>
      </c>
      <c r="AL28" s="34">
        <f>C_Contingency*AL21</f>
        <v/>
      </c>
      <c r="AM28" s="34">
        <f>C_Contingency*AM21</f>
        <v/>
      </c>
      <c r="AN28" s="34">
        <f>C_Contingency*AN21</f>
        <v/>
      </c>
      <c r="AO28" s="34">
        <f>C_Contingency*AO21</f>
        <v/>
      </c>
      <c r="AP28" s="34">
        <f>C_Contingency*AP21</f>
        <v/>
      </c>
      <c r="AQ28" s="34">
        <f>C_Contingency*AQ21</f>
        <v/>
      </c>
      <c r="AR28" s="34">
        <f>C_Contingency*AR21</f>
        <v/>
      </c>
      <c r="AS28" s="34">
        <f>C_Contingency*AS21</f>
        <v/>
      </c>
      <c r="AT28" s="34">
        <f>C_Contingency*AT21</f>
        <v/>
      </c>
      <c r="AU28" s="34">
        <f>C_Contingency*AU21</f>
        <v/>
      </c>
      <c r="AV28" s="34">
        <f>C_Contingency*AV21</f>
        <v/>
      </c>
      <c r="AW28" s="34">
        <f>C_Contingency*AW21</f>
        <v/>
      </c>
      <c r="AX28" s="34">
        <f>C_Contingency*AX21</f>
        <v/>
      </c>
      <c r="AY28" s="34">
        <f>C_Contingency*AY21</f>
        <v/>
      </c>
      <c r="AZ28" s="34">
        <f>C_Contingency*AZ21</f>
        <v/>
      </c>
      <c r="BA28" s="34">
        <f>C_Contingency*BA21</f>
        <v/>
      </c>
      <c r="BB28" s="34">
        <f>C_Contingency*BB21</f>
        <v/>
      </c>
      <c r="BC28" s="34">
        <f>C_Contingency*BC21</f>
        <v/>
      </c>
      <c r="BD28" s="34">
        <f>C_Contingency*BD21</f>
        <v/>
      </c>
      <c r="BE28" s="34">
        <f>C_Contingency*BE21</f>
        <v/>
      </c>
      <c r="BF28" s="34">
        <f>C_Contingency*BF21</f>
        <v/>
      </c>
      <c r="BG28" s="34">
        <f>C_Contingency*BG21</f>
        <v/>
      </c>
      <c r="BH28" s="34">
        <f>C_Contingency*BH21</f>
        <v/>
      </c>
      <c r="BI28" s="34">
        <f>C_Contingency*BI21</f>
        <v/>
      </c>
      <c r="BJ28" s="34">
        <f>C_Contingency*BJ21</f>
        <v/>
      </c>
      <c r="BK28" s="34">
        <f>C_Contingency*BK21</f>
        <v/>
      </c>
      <c r="BL28" s="34">
        <f>C_Contingency*BL21</f>
        <v/>
      </c>
      <c r="BM28" s="34">
        <f>C_Contingency*BM21</f>
        <v/>
      </c>
      <c r="BN28" s="34">
        <f>C_Contingency*BN21</f>
        <v/>
      </c>
      <c r="BO28" s="34">
        <f>C_Contingency*BO21</f>
        <v/>
      </c>
      <c r="BP28" s="34">
        <f>C_Contingency*BP21</f>
        <v/>
      </c>
      <c r="BQ28" s="34">
        <f>C_Contingency*BQ21</f>
        <v/>
      </c>
      <c r="BR28" s="34">
        <f>C_Contingency*BR21</f>
        <v/>
      </c>
      <c r="BS28" s="34">
        <f>C_Contingency*BS21</f>
        <v/>
      </c>
      <c r="BT28" s="34">
        <f>C_Contingency*BT21</f>
        <v/>
      </c>
      <c r="BU28" s="34">
        <f>C_Contingency*BU21</f>
        <v/>
      </c>
      <c r="BV28" s="34">
        <f>C_Contingency*BV21</f>
        <v/>
      </c>
      <c r="BW28" s="34">
        <f>C_Contingency*BW21</f>
        <v/>
      </c>
      <c r="BX28" s="34">
        <f>C_Contingency*BX21</f>
        <v/>
      </c>
      <c r="BY28" s="34">
        <f>C_Contingency*BY21</f>
        <v/>
      </c>
      <c r="BZ28" s="34">
        <f>C_Contingency*BZ21</f>
        <v/>
      </c>
      <c r="CA28" s="34">
        <f>C_Contingency*CA21</f>
        <v/>
      </c>
      <c r="CB28" s="34">
        <f>C_Contingency*CB21</f>
        <v/>
      </c>
      <c r="CC28" s="34">
        <f>C_Contingency*CC21</f>
        <v/>
      </c>
      <c r="CD28" s="34">
        <f>C_Contingency*CD21</f>
        <v/>
      </c>
      <c r="CE28" s="34">
        <f>C_Contingency*CE21</f>
        <v/>
      </c>
      <c r="CF28" s="34">
        <f>C_Contingency*CF21</f>
        <v/>
      </c>
      <c r="CG28" s="34">
        <f>C_Contingency*CG21</f>
        <v/>
      </c>
      <c r="CH28" s="34">
        <f>C_Contingency*CH21</f>
        <v/>
      </c>
      <c r="CI28" s="34">
        <f>C_Contingency*CI21</f>
        <v/>
      </c>
      <c r="CJ28" s="34">
        <f>C_Contingency*CJ21</f>
        <v/>
      </c>
      <c r="CK28" s="34">
        <f>C_Contingency*CK21</f>
        <v/>
      </c>
      <c r="CL28" s="34">
        <f>C_Contingency*CL21</f>
        <v/>
      </c>
      <c r="CM28" s="34">
        <f>C_Contingency*CM21</f>
        <v/>
      </c>
      <c r="CN28" s="34">
        <f>C_Contingency*CN21</f>
        <v/>
      </c>
      <c r="CO28" s="34">
        <f>C_Contingency*CO21</f>
        <v/>
      </c>
      <c r="CP28" s="34">
        <f>C_Contingency*CP21</f>
        <v/>
      </c>
      <c r="CQ28" s="34">
        <f>C_Contingency*CQ21</f>
        <v/>
      </c>
      <c r="CR28" s="34">
        <f>C_Contingency*CR21</f>
        <v/>
      </c>
      <c r="CS28" s="34">
        <f>C_Contingency*CS21</f>
        <v/>
      </c>
      <c r="CT28" s="34">
        <f>C_Contingency*CT21</f>
        <v/>
      </c>
      <c r="CU28" s="34">
        <f>C_Contingency*CU21</f>
        <v/>
      </c>
    </row>
    <row r="29">
      <c r="A29" s="7" t="inlineStr">
        <is>
          <t>Developer fee</t>
        </is>
      </c>
      <c r="B29" s="21">
        <f>SUM(D29:CU29)</f>
        <v/>
      </c>
      <c r="C29" s="11" t="inlineStr"/>
      <c r="D29" s="34">
        <f>C_DevFee*D20/MAX(T_Con,1)</f>
        <v/>
      </c>
      <c r="E29" s="34">
        <f>C_DevFee*E20/MAX(T_Con,1)</f>
        <v/>
      </c>
      <c r="F29" s="34">
        <f>C_DevFee*F20/MAX(T_Con,1)</f>
        <v/>
      </c>
      <c r="G29" s="34">
        <f>C_DevFee*G20/MAX(T_Con,1)</f>
        <v/>
      </c>
      <c r="H29" s="34">
        <f>C_DevFee*H20/MAX(T_Con,1)</f>
        <v/>
      </c>
      <c r="I29" s="34">
        <f>C_DevFee*I20/MAX(T_Con,1)</f>
        <v/>
      </c>
      <c r="J29" s="34">
        <f>C_DevFee*J20/MAX(T_Con,1)</f>
        <v/>
      </c>
      <c r="K29" s="34">
        <f>C_DevFee*K20/MAX(T_Con,1)</f>
        <v/>
      </c>
      <c r="L29" s="34">
        <f>C_DevFee*L20/MAX(T_Con,1)</f>
        <v/>
      </c>
      <c r="M29" s="34">
        <f>C_DevFee*M20/MAX(T_Con,1)</f>
        <v/>
      </c>
      <c r="N29" s="34">
        <f>C_DevFee*N20/MAX(T_Con,1)</f>
        <v/>
      </c>
      <c r="O29" s="34">
        <f>C_DevFee*O20/MAX(T_Con,1)</f>
        <v/>
      </c>
      <c r="P29" s="34">
        <f>C_DevFee*P20/MAX(T_Con,1)</f>
        <v/>
      </c>
      <c r="Q29" s="34">
        <f>C_DevFee*Q20/MAX(T_Con,1)</f>
        <v/>
      </c>
      <c r="R29" s="34">
        <f>C_DevFee*R20/MAX(T_Con,1)</f>
        <v/>
      </c>
      <c r="S29" s="34">
        <f>C_DevFee*S20/MAX(T_Con,1)</f>
        <v/>
      </c>
      <c r="T29" s="34">
        <f>C_DevFee*T20/MAX(T_Con,1)</f>
        <v/>
      </c>
      <c r="U29" s="34">
        <f>C_DevFee*U20/MAX(T_Con,1)</f>
        <v/>
      </c>
      <c r="V29" s="34">
        <f>C_DevFee*V20/MAX(T_Con,1)</f>
        <v/>
      </c>
      <c r="W29" s="34">
        <f>C_DevFee*W20/MAX(T_Con,1)</f>
        <v/>
      </c>
      <c r="X29" s="34">
        <f>C_DevFee*X20/MAX(T_Con,1)</f>
        <v/>
      </c>
      <c r="Y29" s="34">
        <f>C_DevFee*Y20/MAX(T_Con,1)</f>
        <v/>
      </c>
      <c r="Z29" s="34">
        <f>C_DevFee*Z20/MAX(T_Con,1)</f>
        <v/>
      </c>
      <c r="AA29" s="34">
        <f>C_DevFee*AA20/MAX(T_Con,1)</f>
        <v/>
      </c>
      <c r="AB29" s="34">
        <f>C_DevFee*AB20/MAX(T_Con,1)</f>
        <v/>
      </c>
      <c r="AC29" s="34">
        <f>C_DevFee*AC20/MAX(T_Con,1)</f>
        <v/>
      </c>
      <c r="AD29" s="34">
        <f>C_DevFee*AD20/MAX(T_Con,1)</f>
        <v/>
      </c>
      <c r="AE29" s="34">
        <f>C_DevFee*AE20/MAX(T_Con,1)</f>
        <v/>
      </c>
      <c r="AF29" s="34">
        <f>C_DevFee*AF20/MAX(T_Con,1)</f>
        <v/>
      </c>
      <c r="AG29" s="34">
        <f>C_DevFee*AG20/MAX(T_Con,1)</f>
        <v/>
      </c>
      <c r="AH29" s="34">
        <f>C_DevFee*AH20/MAX(T_Con,1)</f>
        <v/>
      </c>
      <c r="AI29" s="34">
        <f>C_DevFee*AI20/MAX(T_Con,1)</f>
        <v/>
      </c>
      <c r="AJ29" s="34">
        <f>C_DevFee*AJ20/MAX(T_Con,1)</f>
        <v/>
      </c>
      <c r="AK29" s="34">
        <f>C_DevFee*AK20/MAX(T_Con,1)</f>
        <v/>
      </c>
      <c r="AL29" s="34">
        <f>C_DevFee*AL20/MAX(T_Con,1)</f>
        <v/>
      </c>
      <c r="AM29" s="34">
        <f>C_DevFee*AM20/MAX(T_Con,1)</f>
        <v/>
      </c>
      <c r="AN29" s="34">
        <f>C_DevFee*AN20/MAX(T_Con,1)</f>
        <v/>
      </c>
      <c r="AO29" s="34">
        <f>C_DevFee*AO20/MAX(T_Con,1)</f>
        <v/>
      </c>
      <c r="AP29" s="34">
        <f>C_DevFee*AP20/MAX(T_Con,1)</f>
        <v/>
      </c>
      <c r="AQ29" s="34">
        <f>C_DevFee*AQ20/MAX(T_Con,1)</f>
        <v/>
      </c>
      <c r="AR29" s="34">
        <f>C_DevFee*AR20/MAX(T_Con,1)</f>
        <v/>
      </c>
      <c r="AS29" s="34">
        <f>C_DevFee*AS20/MAX(T_Con,1)</f>
        <v/>
      </c>
      <c r="AT29" s="34">
        <f>C_DevFee*AT20/MAX(T_Con,1)</f>
        <v/>
      </c>
      <c r="AU29" s="34">
        <f>C_DevFee*AU20/MAX(T_Con,1)</f>
        <v/>
      </c>
      <c r="AV29" s="34">
        <f>C_DevFee*AV20/MAX(T_Con,1)</f>
        <v/>
      </c>
      <c r="AW29" s="34">
        <f>C_DevFee*AW20/MAX(T_Con,1)</f>
        <v/>
      </c>
      <c r="AX29" s="34">
        <f>C_DevFee*AX20/MAX(T_Con,1)</f>
        <v/>
      </c>
      <c r="AY29" s="34">
        <f>C_DevFee*AY20/MAX(T_Con,1)</f>
        <v/>
      </c>
      <c r="AZ29" s="34">
        <f>C_DevFee*AZ20/MAX(T_Con,1)</f>
        <v/>
      </c>
      <c r="BA29" s="34">
        <f>C_DevFee*BA20/MAX(T_Con,1)</f>
        <v/>
      </c>
      <c r="BB29" s="34">
        <f>C_DevFee*BB20/MAX(T_Con,1)</f>
        <v/>
      </c>
      <c r="BC29" s="34">
        <f>C_DevFee*BC20/MAX(T_Con,1)</f>
        <v/>
      </c>
      <c r="BD29" s="34">
        <f>C_DevFee*BD20/MAX(T_Con,1)</f>
        <v/>
      </c>
      <c r="BE29" s="34">
        <f>C_DevFee*BE20/MAX(T_Con,1)</f>
        <v/>
      </c>
      <c r="BF29" s="34">
        <f>C_DevFee*BF20/MAX(T_Con,1)</f>
        <v/>
      </c>
      <c r="BG29" s="34">
        <f>C_DevFee*BG20/MAX(T_Con,1)</f>
        <v/>
      </c>
      <c r="BH29" s="34">
        <f>C_DevFee*BH20/MAX(T_Con,1)</f>
        <v/>
      </c>
      <c r="BI29" s="34">
        <f>C_DevFee*BI20/MAX(T_Con,1)</f>
        <v/>
      </c>
      <c r="BJ29" s="34">
        <f>C_DevFee*BJ20/MAX(T_Con,1)</f>
        <v/>
      </c>
      <c r="BK29" s="34">
        <f>C_DevFee*BK20/MAX(T_Con,1)</f>
        <v/>
      </c>
      <c r="BL29" s="34">
        <f>C_DevFee*BL20/MAX(T_Con,1)</f>
        <v/>
      </c>
      <c r="BM29" s="34">
        <f>C_DevFee*BM20/MAX(T_Con,1)</f>
        <v/>
      </c>
      <c r="BN29" s="34">
        <f>C_DevFee*BN20/MAX(T_Con,1)</f>
        <v/>
      </c>
      <c r="BO29" s="34">
        <f>C_DevFee*BO20/MAX(T_Con,1)</f>
        <v/>
      </c>
      <c r="BP29" s="34">
        <f>C_DevFee*BP20/MAX(T_Con,1)</f>
        <v/>
      </c>
      <c r="BQ29" s="34">
        <f>C_DevFee*BQ20/MAX(T_Con,1)</f>
        <v/>
      </c>
      <c r="BR29" s="34">
        <f>C_DevFee*BR20/MAX(T_Con,1)</f>
        <v/>
      </c>
      <c r="BS29" s="34">
        <f>C_DevFee*BS20/MAX(T_Con,1)</f>
        <v/>
      </c>
      <c r="BT29" s="34">
        <f>C_DevFee*BT20/MAX(T_Con,1)</f>
        <v/>
      </c>
      <c r="BU29" s="34">
        <f>C_DevFee*BU20/MAX(T_Con,1)</f>
        <v/>
      </c>
      <c r="BV29" s="34">
        <f>C_DevFee*BV20/MAX(T_Con,1)</f>
        <v/>
      </c>
      <c r="BW29" s="34">
        <f>C_DevFee*BW20/MAX(T_Con,1)</f>
        <v/>
      </c>
      <c r="BX29" s="34">
        <f>C_DevFee*BX20/MAX(T_Con,1)</f>
        <v/>
      </c>
      <c r="BY29" s="34">
        <f>C_DevFee*BY20/MAX(T_Con,1)</f>
        <v/>
      </c>
      <c r="BZ29" s="34">
        <f>C_DevFee*BZ20/MAX(T_Con,1)</f>
        <v/>
      </c>
      <c r="CA29" s="34">
        <f>C_DevFee*CA20/MAX(T_Con,1)</f>
        <v/>
      </c>
      <c r="CB29" s="34">
        <f>C_DevFee*CB20/MAX(T_Con,1)</f>
        <v/>
      </c>
      <c r="CC29" s="34">
        <f>C_DevFee*CC20/MAX(T_Con,1)</f>
        <v/>
      </c>
      <c r="CD29" s="34">
        <f>C_DevFee*CD20/MAX(T_Con,1)</f>
        <v/>
      </c>
      <c r="CE29" s="34">
        <f>C_DevFee*CE20/MAX(T_Con,1)</f>
        <v/>
      </c>
      <c r="CF29" s="34">
        <f>C_DevFee*CF20/MAX(T_Con,1)</f>
        <v/>
      </c>
      <c r="CG29" s="34">
        <f>C_DevFee*CG20/MAX(T_Con,1)</f>
        <v/>
      </c>
      <c r="CH29" s="34">
        <f>C_DevFee*CH20/MAX(T_Con,1)</f>
        <v/>
      </c>
      <c r="CI29" s="34">
        <f>C_DevFee*CI20/MAX(T_Con,1)</f>
        <v/>
      </c>
      <c r="CJ29" s="34">
        <f>C_DevFee*CJ20/MAX(T_Con,1)</f>
        <v/>
      </c>
      <c r="CK29" s="34">
        <f>C_DevFee*CK20/MAX(T_Con,1)</f>
        <v/>
      </c>
      <c r="CL29" s="34">
        <f>C_DevFee*CL20/MAX(T_Con,1)</f>
        <v/>
      </c>
      <c r="CM29" s="34">
        <f>C_DevFee*CM20/MAX(T_Con,1)</f>
        <v/>
      </c>
      <c r="CN29" s="34">
        <f>C_DevFee*CN20/MAX(T_Con,1)</f>
        <v/>
      </c>
      <c r="CO29" s="34">
        <f>C_DevFee*CO20/MAX(T_Con,1)</f>
        <v/>
      </c>
      <c r="CP29" s="34">
        <f>C_DevFee*CP20/MAX(T_Con,1)</f>
        <v/>
      </c>
      <c r="CQ29" s="34">
        <f>C_DevFee*CQ20/MAX(T_Con,1)</f>
        <v/>
      </c>
      <c r="CR29" s="34">
        <f>C_DevFee*CR20/MAX(T_Con,1)</f>
        <v/>
      </c>
      <c r="CS29" s="34">
        <f>C_DevFee*CS20/MAX(T_Con,1)</f>
        <v/>
      </c>
      <c r="CT29" s="34">
        <f>C_DevFee*CT20/MAX(T_Con,1)</f>
        <v/>
      </c>
      <c r="CU29" s="34">
        <f>C_DevFee*CU20/MAX(T_Con,1)</f>
        <v/>
      </c>
    </row>
    <row r="30">
      <c r="A30" s="7" t="inlineStr">
        <is>
          <t>User-defined variable costs</t>
        </is>
      </c>
      <c r="B30" s="21">
        <f>SUM(D30:CU30)</f>
        <v/>
      </c>
      <c r="C30" s="11" t="inlineStr"/>
      <c r="D30" s="34">
        <f>C_CVSpread*D21+SUMPRODUCT((cv_effect="cost_fixed")*(cv_timing="anchor")*(cv_start=D$4)*cv_value)+SUMPRODUCT((cv_effect="cost_monthly")*(cv_start&lt;=D$4)*(cv_end&gt;D$4)*cv_value)</f>
        <v/>
      </c>
      <c r="E30" s="34">
        <f>C_CVSpread*E21+SUMPRODUCT((cv_effect="cost_fixed")*(cv_timing="anchor")*(cv_start=E$4)*cv_value)+SUMPRODUCT((cv_effect="cost_monthly")*(cv_start&lt;=E$4)*(cv_end&gt;E$4)*cv_value)</f>
        <v/>
      </c>
      <c r="F30" s="34">
        <f>C_CVSpread*F21+SUMPRODUCT((cv_effect="cost_fixed")*(cv_timing="anchor")*(cv_start=F$4)*cv_value)+SUMPRODUCT((cv_effect="cost_monthly")*(cv_start&lt;=F$4)*(cv_end&gt;F$4)*cv_value)</f>
        <v/>
      </c>
      <c r="G30" s="34">
        <f>C_CVSpread*G21+SUMPRODUCT((cv_effect="cost_fixed")*(cv_timing="anchor")*(cv_start=G$4)*cv_value)+SUMPRODUCT((cv_effect="cost_monthly")*(cv_start&lt;=G$4)*(cv_end&gt;G$4)*cv_value)</f>
        <v/>
      </c>
      <c r="H30" s="34">
        <f>C_CVSpread*H21+SUMPRODUCT((cv_effect="cost_fixed")*(cv_timing="anchor")*(cv_start=H$4)*cv_value)+SUMPRODUCT((cv_effect="cost_monthly")*(cv_start&lt;=H$4)*(cv_end&gt;H$4)*cv_value)</f>
        <v/>
      </c>
      <c r="I30" s="34">
        <f>C_CVSpread*I21+SUMPRODUCT((cv_effect="cost_fixed")*(cv_timing="anchor")*(cv_start=I$4)*cv_value)+SUMPRODUCT((cv_effect="cost_monthly")*(cv_start&lt;=I$4)*(cv_end&gt;I$4)*cv_value)</f>
        <v/>
      </c>
      <c r="J30" s="34">
        <f>C_CVSpread*J21+SUMPRODUCT((cv_effect="cost_fixed")*(cv_timing="anchor")*(cv_start=J$4)*cv_value)+SUMPRODUCT((cv_effect="cost_monthly")*(cv_start&lt;=J$4)*(cv_end&gt;J$4)*cv_value)</f>
        <v/>
      </c>
      <c r="K30" s="34">
        <f>C_CVSpread*K21+SUMPRODUCT((cv_effect="cost_fixed")*(cv_timing="anchor")*(cv_start=K$4)*cv_value)+SUMPRODUCT((cv_effect="cost_monthly")*(cv_start&lt;=K$4)*(cv_end&gt;K$4)*cv_value)</f>
        <v/>
      </c>
      <c r="L30" s="34">
        <f>C_CVSpread*L21+SUMPRODUCT((cv_effect="cost_fixed")*(cv_timing="anchor")*(cv_start=L$4)*cv_value)+SUMPRODUCT((cv_effect="cost_monthly")*(cv_start&lt;=L$4)*(cv_end&gt;L$4)*cv_value)</f>
        <v/>
      </c>
      <c r="M30" s="34">
        <f>C_CVSpread*M21+SUMPRODUCT((cv_effect="cost_fixed")*(cv_timing="anchor")*(cv_start=M$4)*cv_value)+SUMPRODUCT((cv_effect="cost_monthly")*(cv_start&lt;=M$4)*(cv_end&gt;M$4)*cv_value)</f>
        <v/>
      </c>
      <c r="N30" s="34">
        <f>C_CVSpread*N21+SUMPRODUCT((cv_effect="cost_fixed")*(cv_timing="anchor")*(cv_start=N$4)*cv_value)+SUMPRODUCT((cv_effect="cost_monthly")*(cv_start&lt;=N$4)*(cv_end&gt;N$4)*cv_value)</f>
        <v/>
      </c>
      <c r="O30" s="34">
        <f>C_CVSpread*O21+SUMPRODUCT((cv_effect="cost_fixed")*(cv_timing="anchor")*(cv_start=O$4)*cv_value)+SUMPRODUCT((cv_effect="cost_monthly")*(cv_start&lt;=O$4)*(cv_end&gt;O$4)*cv_value)</f>
        <v/>
      </c>
      <c r="P30" s="34">
        <f>C_CVSpread*P21+SUMPRODUCT((cv_effect="cost_fixed")*(cv_timing="anchor")*(cv_start=P$4)*cv_value)+SUMPRODUCT((cv_effect="cost_monthly")*(cv_start&lt;=P$4)*(cv_end&gt;P$4)*cv_value)</f>
        <v/>
      </c>
      <c r="Q30" s="34">
        <f>C_CVSpread*Q21+SUMPRODUCT((cv_effect="cost_fixed")*(cv_timing="anchor")*(cv_start=Q$4)*cv_value)+SUMPRODUCT((cv_effect="cost_monthly")*(cv_start&lt;=Q$4)*(cv_end&gt;Q$4)*cv_value)</f>
        <v/>
      </c>
      <c r="R30" s="34">
        <f>C_CVSpread*R21+SUMPRODUCT((cv_effect="cost_fixed")*(cv_timing="anchor")*(cv_start=R$4)*cv_value)+SUMPRODUCT((cv_effect="cost_monthly")*(cv_start&lt;=R$4)*(cv_end&gt;R$4)*cv_value)</f>
        <v/>
      </c>
      <c r="S30" s="34">
        <f>C_CVSpread*S21+SUMPRODUCT((cv_effect="cost_fixed")*(cv_timing="anchor")*(cv_start=S$4)*cv_value)+SUMPRODUCT((cv_effect="cost_monthly")*(cv_start&lt;=S$4)*(cv_end&gt;S$4)*cv_value)</f>
        <v/>
      </c>
      <c r="T30" s="34">
        <f>C_CVSpread*T21+SUMPRODUCT((cv_effect="cost_fixed")*(cv_timing="anchor")*(cv_start=T$4)*cv_value)+SUMPRODUCT((cv_effect="cost_monthly")*(cv_start&lt;=T$4)*(cv_end&gt;T$4)*cv_value)</f>
        <v/>
      </c>
      <c r="U30" s="34">
        <f>C_CVSpread*U21+SUMPRODUCT((cv_effect="cost_fixed")*(cv_timing="anchor")*(cv_start=U$4)*cv_value)+SUMPRODUCT((cv_effect="cost_monthly")*(cv_start&lt;=U$4)*(cv_end&gt;U$4)*cv_value)</f>
        <v/>
      </c>
      <c r="V30" s="34">
        <f>C_CVSpread*V21+SUMPRODUCT((cv_effect="cost_fixed")*(cv_timing="anchor")*(cv_start=V$4)*cv_value)+SUMPRODUCT((cv_effect="cost_monthly")*(cv_start&lt;=V$4)*(cv_end&gt;V$4)*cv_value)</f>
        <v/>
      </c>
      <c r="W30" s="34">
        <f>C_CVSpread*W21+SUMPRODUCT((cv_effect="cost_fixed")*(cv_timing="anchor")*(cv_start=W$4)*cv_value)+SUMPRODUCT((cv_effect="cost_monthly")*(cv_start&lt;=W$4)*(cv_end&gt;W$4)*cv_value)</f>
        <v/>
      </c>
      <c r="X30" s="34">
        <f>C_CVSpread*X21+SUMPRODUCT((cv_effect="cost_fixed")*(cv_timing="anchor")*(cv_start=X$4)*cv_value)+SUMPRODUCT((cv_effect="cost_monthly")*(cv_start&lt;=X$4)*(cv_end&gt;X$4)*cv_value)</f>
        <v/>
      </c>
      <c r="Y30" s="34">
        <f>C_CVSpread*Y21+SUMPRODUCT((cv_effect="cost_fixed")*(cv_timing="anchor")*(cv_start=Y$4)*cv_value)+SUMPRODUCT((cv_effect="cost_monthly")*(cv_start&lt;=Y$4)*(cv_end&gt;Y$4)*cv_value)</f>
        <v/>
      </c>
      <c r="Z30" s="34">
        <f>C_CVSpread*Z21+SUMPRODUCT((cv_effect="cost_fixed")*(cv_timing="anchor")*(cv_start=Z$4)*cv_value)+SUMPRODUCT((cv_effect="cost_monthly")*(cv_start&lt;=Z$4)*(cv_end&gt;Z$4)*cv_value)</f>
        <v/>
      </c>
      <c r="AA30" s="34">
        <f>C_CVSpread*AA21+SUMPRODUCT((cv_effect="cost_fixed")*(cv_timing="anchor")*(cv_start=AA$4)*cv_value)+SUMPRODUCT((cv_effect="cost_monthly")*(cv_start&lt;=AA$4)*(cv_end&gt;AA$4)*cv_value)</f>
        <v/>
      </c>
      <c r="AB30" s="34">
        <f>C_CVSpread*AB21+SUMPRODUCT((cv_effect="cost_fixed")*(cv_timing="anchor")*(cv_start=AB$4)*cv_value)+SUMPRODUCT((cv_effect="cost_monthly")*(cv_start&lt;=AB$4)*(cv_end&gt;AB$4)*cv_value)</f>
        <v/>
      </c>
      <c r="AC30" s="34">
        <f>C_CVSpread*AC21+SUMPRODUCT((cv_effect="cost_fixed")*(cv_timing="anchor")*(cv_start=AC$4)*cv_value)+SUMPRODUCT((cv_effect="cost_monthly")*(cv_start&lt;=AC$4)*(cv_end&gt;AC$4)*cv_value)</f>
        <v/>
      </c>
      <c r="AD30" s="34">
        <f>C_CVSpread*AD21+SUMPRODUCT((cv_effect="cost_fixed")*(cv_timing="anchor")*(cv_start=AD$4)*cv_value)+SUMPRODUCT((cv_effect="cost_monthly")*(cv_start&lt;=AD$4)*(cv_end&gt;AD$4)*cv_value)</f>
        <v/>
      </c>
      <c r="AE30" s="34">
        <f>C_CVSpread*AE21+SUMPRODUCT((cv_effect="cost_fixed")*(cv_timing="anchor")*(cv_start=AE$4)*cv_value)+SUMPRODUCT((cv_effect="cost_monthly")*(cv_start&lt;=AE$4)*(cv_end&gt;AE$4)*cv_value)</f>
        <v/>
      </c>
      <c r="AF30" s="34">
        <f>C_CVSpread*AF21+SUMPRODUCT((cv_effect="cost_fixed")*(cv_timing="anchor")*(cv_start=AF$4)*cv_value)+SUMPRODUCT((cv_effect="cost_monthly")*(cv_start&lt;=AF$4)*(cv_end&gt;AF$4)*cv_value)</f>
        <v/>
      </c>
      <c r="AG30" s="34">
        <f>C_CVSpread*AG21+SUMPRODUCT((cv_effect="cost_fixed")*(cv_timing="anchor")*(cv_start=AG$4)*cv_value)+SUMPRODUCT((cv_effect="cost_monthly")*(cv_start&lt;=AG$4)*(cv_end&gt;AG$4)*cv_value)</f>
        <v/>
      </c>
      <c r="AH30" s="34">
        <f>C_CVSpread*AH21+SUMPRODUCT((cv_effect="cost_fixed")*(cv_timing="anchor")*(cv_start=AH$4)*cv_value)+SUMPRODUCT((cv_effect="cost_monthly")*(cv_start&lt;=AH$4)*(cv_end&gt;AH$4)*cv_value)</f>
        <v/>
      </c>
      <c r="AI30" s="34">
        <f>C_CVSpread*AI21+SUMPRODUCT((cv_effect="cost_fixed")*(cv_timing="anchor")*(cv_start=AI$4)*cv_value)+SUMPRODUCT((cv_effect="cost_monthly")*(cv_start&lt;=AI$4)*(cv_end&gt;AI$4)*cv_value)</f>
        <v/>
      </c>
      <c r="AJ30" s="34">
        <f>C_CVSpread*AJ21+SUMPRODUCT((cv_effect="cost_fixed")*(cv_timing="anchor")*(cv_start=AJ$4)*cv_value)+SUMPRODUCT((cv_effect="cost_monthly")*(cv_start&lt;=AJ$4)*(cv_end&gt;AJ$4)*cv_value)</f>
        <v/>
      </c>
      <c r="AK30" s="34">
        <f>C_CVSpread*AK21+SUMPRODUCT((cv_effect="cost_fixed")*(cv_timing="anchor")*(cv_start=AK$4)*cv_value)+SUMPRODUCT((cv_effect="cost_monthly")*(cv_start&lt;=AK$4)*(cv_end&gt;AK$4)*cv_value)</f>
        <v/>
      </c>
      <c r="AL30" s="34">
        <f>C_CVSpread*AL21+SUMPRODUCT((cv_effect="cost_fixed")*(cv_timing="anchor")*(cv_start=AL$4)*cv_value)+SUMPRODUCT((cv_effect="cost_monthly")*(cv_start&lt;=AL$4)*(cv_end&gt;AL$4)*cv_value)</f>
        <v/>
      </c>
      <c r="AM30" s="34">
        <f>C_CVSpread*AM21+SUMPRODUCT((cv_effect="cost_fixed")*(cv_timing="anchor")*(cv_start=AM$4)*cv_value)+SUMPRODUCT((cv_effect="cost_monthly")*(cv_start&lt;=AM$4)*(cv_end&gt;AM$4)*cv_value)</f>
        <v/>
      </c>
      <c r="AN30" s="34">
        <f>C_CVSpread*AN21+SUMPRODUCT((cv_effect="cost_fixed")*(cv_timing="anchor")*(cv_start=AN$4)*cv_value)+SUMPRODUCT((cv_effect="cost_monthly")*(cv_start&lt;=AN$4)*(cv_end&gt;AN$4)*cv_value)</f>
        <v/>
      </c>
      <c r="AO30" s="34">
        <f>C_CVSpread*AO21+SUMPRODUCT((cv_effect="cost_fixed")*(cv_timing="anchor")*(cv_start=AO$4)*cv_value)+SUMPRODUCT((cv_effect="cost_monthly")*(cv_start&lt;=AO$4)*(cv_end&gt;AO$4)*cv_value)</f>
        <v/>
      </c>
      <c r="AP30" s="34">
        <f>C_CVSpread*AP21+SUMPRODUCT((cv_effect="cost_fixed")*(cv_timing="anchor")*(cv_start=AP$4)*cv_value)+SUMPRODUCT((cv_effect="cost_monthly")*(cv_start&lt;=AP$4)*(cv_end&gt;AP$4)*cv_value)</f>
        <v/>
      </c>
      <c r="AQ30" s="34">
        <f>C_CVSpread*AQ21+SUMPRODUCT((cv_effect="cost_fixed")*(cv_timing="anchor")*(cv_start=AQ$4)*cv_value)+SUMPRODUCT((cv_effect="cost_monthly")*(cv_start&lt;=AQ$4)*(cv_end&gt;AQ$4)*cv_value)</f>
        <v/>
      </c>
      <c r="AR30" s="34">
        <f>C_CVSpread*AR21+SUMPRODUCT((cv_effect="cost_fixed")*(cv_timing="anchor")*(cv_start=AR$4)*cv_value)+SUMPRODUCT((cv_effect="cost_monthly")*(cv_start&lt;=AR$4)*(cv_end&gt;AR$4)*cv_value)</f>
        <v/>
      </c>
      <c r="AS30" s="34">
        <f>C_CVSpread*AS21+SUMPRODUCT((cv_effect="cost_fixed")*(cv_timing="anchor")*(cv_start=AS$4)*cv_value)+SUMPRODUCT((cv_effect="cost_monthly")*(cv_start&lt;=AS$4)*(cv_end&gt;AS$4)*cv_value)</f>
        <v/>
      </c>
      <c r="AT30" s="34">
        <f>C_CVSpread*AT21+SUMPRODUCT((cv_effect="cost_fixed")*(cv_timing="anchor")*(cv_start=AT$4)*cv_value)+SUMPRODUCT((cv_effect="cost_monthly")*(cv_start&lt;=AT$4)*(cv_end&gt;AT$4)*cv_value)</f>
        <v/>
      </c>
      <c r="AU30" s="34">
        <f>C_CVSpread*AU21+SUMPRODUCT((cv_effect="cost_fixed")*(cv_timing="anchor")*(cv_start=AU$4)*cv_value)+SUMPRODUCT((cv_effect="cost_monthly")*(cv_start&lt;=AU$4)*(cv_end&gt;AU$4)*cv_value)</f>
        <v/>
      </c>
      <c r="AV30" s="34">
        <f>C_CVSpread*AV21+SUMPRODUCT((cv_effect="cost_fixed")*(cv_timing="anchor")*(cv_start=AV$4)*cv_value)+SUMPRODUCT((cv_effect="cost_monthly")*(cv_start&lt;=AV$4)*(cv_end&gt;AV$4)*cv_value)</f>
        <v/>
      </c>
      <c r="AW30" s="34">
        <f>C_CVSpread*AW21+SUMPRODUCT((cv_effect="cost_fixed")*(cv_timing="anchor")*(cv_start=AW$4)*cv_value)+SUMPRODUCT((cv_effect="cost_monthly")*(cv_start&lt;=AW$4)*(cv_end&gt;AW$4)*cv_value)</f>
        <v/>
      </c>
      <c r="AX30" s="34">
        <f>C_CVSpread*AX21+SUMPRODUCT((cv_effect="cost_fixed")*(cv_timing="anchor")*(cv_start=AX$4)*cv_value)+SUMPRODUCT((cv_effect="cost_monthly")*(cv_start&lt;=AX$4)*(cv_end&gt;AX$4)*cv_value)</f>
        <v/>
      </c>
      <c r="AY30" s="34">
        <f>C_CVSpread*AY21+SUMPRODUCT((cv_effect="cost_fixed")*(cv_timing="anchor")*(cv_start=AY$4)*cv_value)+SUMPRODUCT((cv_effect="cost_monthly")*(cv_start&lt;=AY$4)*(cv_end&gt;AY$4)*cv_value)</f>
        <v/>
      </c>
      <c r="AZ30" s="34">
        <f>C_CVSpread*AZ21+SUMPRODUCT((cv_effect="cost_fixed")*(cv_timing="anchor")*(cv_start=AZ$4)*cv_value)+SUMPRODUCT((cv_effect="cost_monthly")*(cv_start&lt;=AZ$4)*(cv_end&gt;AZ$4)*cv_value)</f>
        <v/>
      </c>
      <c r="BA30" s="34">
        <f>C_CVSpread*BA21+SUMPRODUCT((cv_effect="cost_fixed")*(cv_timing="anchor")*(cv_start=BA$4)*cv_value)+SUMPRODUCT((cv_effect="cost_monthly")*(cv_start&lt;=BA$4)*(cv_end&gt;BA$4)*cv_value)</f>
        <v/>
      </c>
      <c r="BB30" s="34">
        <f>C_CVSpread*BB21+SUMPRODUCT((cv_effect="cost_fixed")*(cv_timing="anchor")*(cv_start=BB$4)*cv_value)+SUMPRODUCT((cv_effect="cost_monthly")*(cv_start&lt;=BB$4)*(cv_end&gt;BB$4)*cv_value)</f>
        <v/>
      </c>
      <c r="BC30" s="34">
        <f>C_CVSpread*BC21+SUMPRODUCT((cv_effect="cost_fixed")*(cv_timing="anchor")*(cv_start=BC$4)*cv_value)+SUMPRODUCT((cv_effect="cost_monthly")*(cv_start&lt;=BC$4)*(cv_end&gt;BC$4)*cv_value)</f>
        <v/>
      </c>
      <c r="BD30" s="34">
        <f>C_CVSpread*BD21+SUMPRODUCT((cv_effect="cost_fixed")*(cv_timing="anchor")*(cv_start=BD$4)*cv_value)+SUMPRODUCT((cv_effect="cost_monthly")*(cv_start&lt;=BD$4)*(cv_end&gt;BD$4)*cv_value)</f>
        <v/>
      </c>
      <c r="BE30" s="34">
        <f>C_CVSpread*BE21+SUMPRODUCT((cv_effect="cost_fixed")*(cv_timing="anchor")*(cv_start=BE$4)*cv_value)+SUMPRODUCT((cv_effect="cost_monthly")*(cv_start&lt;=BE$4)*(cv_end&gt;BE$4)*cv_value)</f>
        <v/>
      </c>
      <c r="BF30" s="34">
        <f>C_CVSpread*BF21+SUMPRODUCT((cv_effect="cost_fixed")*(cv_timing="anchor")*(cv_start=BF$4)*cv_value)+SUMPRODUCT((cv_effect="cost_monthly")*(cv_start&lt;=BF$4)*(cv_end&gt;BF$4)*cv_value)</f>
        <v/>
      </c>
      <c r="BG30" s="34">
        <f>C_CVSpread*BG21+SUMPRODUCT((cv_effect="cost_fixed")*(cv_timing="anchor")*(cv_start=BG$4)*cv_value)+SUMPRODUCT((cv_effect="cost_monthly")*(cv_start&lt;=BG$4)*(cv_end&gt;BG$4)*cv_value)</f>
        <v/>
      </c>
      <c r="BH30" s="34">
        <f>C_CVSpread*BH21+SUMPRODUCT((cv_effect="cost_fixed")*(cv_timing="anchor")*(cv_start=BH$4)*cv_value)+SUMPRODUCT((cv_effect="cost_monthly")*(cv_start&lt;=BH$4)*(cv_end&gt;BH$4)*cv_value)</f>
        <v/>
      </c>
      <c r="BI30" s="34">
        <f>C_CVSpread*BI21+SUMPRODUCT((cv_effect="cost_fixed")*(cv_timing="anchor")*(cv_start=BI$4)*cv_value)+SUMPRODUCT((cv_effect="cost_monthly")*(cv_start&lt;=BI$4)*(cv_end&gt;BI$4)*cv_value)</f>
        <v/>
      </c>
      <c r="BJ30" s="34">
        <f>C_CVSpread*BJ21+SUMPRODUCT((cv_effect="cost_fixed")*(cv_timing="anchor")*(cv_start=BJ$4)*cv_value)+SUMPRODUCT((cv_effect="cost_monthly")*(cv_start&lt;=BJ$4)*(cv_end&gt;BJ$4)*cv_value)</f>
        <v/>
      </c>
      <c r="BK30" s="34">
        <f>C_CVSpread*BK21+SUMPRODUCT((cv_effect="cost_fixed")*(cv_timing="anchor")*(cv_start=BK$4)*cv_value)+SUMPRODUCT((cv_effect="cost_monthly")*(cv_start&lt;=BK$4)*(cv_end&gt;BK$4)*cv_value)</f>
        <v/>
      </c>
      <c r="BL30" s="34">
        <f>C_CVSpread*BL21+SUMPRODUCT((cv_effect="cost_fixed")*(cv_timing="anchor")*(cv_start=BL$4)*cv_value)+SUMPRODUCT((cv_effect="cost_monthly")*(cv_start&lt;=BL$4)*(cv_end&gt;BL$4)*cv_value)</f>
        <v/>
      </c>
      <c r="BM30" s="34">
        <f>C_CVSpread*BM21+SUMPRODUCT((cv_effect="cost_fixed")*(cv_timing="anchor")*(cv_start=BM$4)*cv_value)+SUMPRODUCT((cv_effect="cost_monthly")*(cv_start&lt;=BM$4)*(cv_end&gt;BM$4)*cv_value)</f>
        <v/>
      </c>
      <c r="BN30" s="34">
        <f>C_CVSpread*BN21+SUMPRODUCT((cv_effect="cost_fixed")*(cv_timing="anchor")*(cv_start=BN$4)*cv_value)+SUMPRODUCT((cv_effect="cost_monthly")*(cv_start&lt;=BN$4)*(cv_end&gt;BN$4)*cv_value)</f>
        <v/>
      </c>
      <c r="BO30" s="34">
        <f>C_CVSpread*BO21+SUMPRODUCT((cv_effect="cost_fixed")*(cv_timing="anchor")*(cv_start=BO$4)*cv_value)+SUMPRODUCT((cv_effect="cost_monthly")*(cv_start&lt;=BO$4)*(cv_end&gt;BO$4)*cv_value)</f>
        <v/>
      </c>
      <c r="BP30" s="34">
        <f>C_CVSpread*BP21+SUMPRODUCT((cv_effect="cost_fixed")*(cv_timing="anchor")*(cv_start=BP$4)*cv_value)+SUMPRODUCT((cv_effect="cost_monthly")*(cv_start&lt;=BP$4)*(cv_end&gt;BP$4)*cv_value)</f>
        <v/>
      </c>
      <c r="BQ30" s="34">
        <f>C_CVSpread*BQ21+SUMPRODUCT((cv_effect="cost_fixed")*(cv_timing="anchor")*(cv_start=BQ$4)*cv_value)+SUMPRODUCT((cv_effect="cost_monthly")*(cv_start&lt;=BQ$4)*(cv_end&gt;BQ$4)*cv_value)</f>
        <v/>
      </c>
      <c r="BR30" s="34">
        <f>C_CVSpread*BR21+SUMPRODUCT((cv_effect="cost_fixed")*(cv_timing="anchor")*(cv_start=BR$4)*cv_value)+SUMPRODUCT((cv_effect="cost_monthly")*(cv_start&lt;=BR$4)*(cv_end&gt;BR$4)*cv_value)</f>
        <v/>
      </c>
      <c r="BS30" s="34">
        <f>C_CVSpread*BS21+SUMPRODUCT((cv_effect="cost_fixed")*(cv_timing="anchor")*(cv_start=BS$4)*cv_value)+SUMPRODUCT((cv_effect="cost_monthly")*(cv_start&lt;=BS$4)*(cv_end&gt;BS$4)*cv_value)</f>
        <v/>
      </c>
      <c r="BT30" s="34">
        <f>C_CVSpread*BT21+SUMPRODUCT((cv_effect="cost_fixed")*(cv_timing="anchor")*(cv_start=BT$4)*cv_value)+SUMPRODUCT((cv_effect="cost_monthly")*(cv_start&lt;=BT$4)*(cv_end&gt;BT$4)*cv_value)</f>
        <v/>
      </c>
      <c r="BU30" s="34">
        <f>C_CVSpread*BU21+SUMPRODUCT((cv_effect="cost_fixed")*(cv_timing="anchor")*(cv_start=BU$4)*cv_value)+SUMPRODUCT((cv_effect="cost_monthly")*(cv_start&lt;=BU$4)*(cv_end&gt;BU$4)*cv_value)</f>
        <v/>
      </c>
      <c r="BV30" s="34">
        <f>C_CVSpread*BV21+SUMPRODUCT((cv_effect="cost_fixed")*(cv_timing="anchor")*(cv_start=BV$4)*cv_value)+SUMPRODUCT((cv_effect="cost_monthly")*(cv_start&lt;=BV$4)*(cv_end&gt;BV$4)*cv_value)</f>
        <v/>
      </c>
      <c r="BW30" s="34">
        <f>C_CVSpread*BW21+SUMPRODUCT((cv_effect="cost_fixed")*(cv_timing="anchor")*(cv_start=BW$4)*cv_value)+SUMPRODUCT((cv_effect="cost_monthly")*(cv_start&lt;=BW$4)*(cv_end&gt;BW$4)*cv_value)</f>
        <v/>
      </c>
      <c r="BX30" s="34">
        <f>C_CVSpread*BX21+SUMPRODUCT((cv_effect="cost_fixed")*(cv_timing="anchor")*(cv_start=BX$4)*cv_value)+SUMPRODUCT((cv_effect="cost_monthly")*(cv_start&lt;=BX$4)*(cv_end&gt;BX$4)*cv_value)</f>
        <v/>
      </c>
      <c r="BY30" s="34">
        <f>C_CVSpread*BY21+SUMPRODUCT((cv_effect="cost_fixed")*(cv_timing="anchor")*(cv_start=BY$4)*cv_value)+SUMPRODUCT((cv_effect="cost_monthly")*(cv_start&lt;=BY$4)*(cv_end&gt;BY$4)*cv_value)</f>
        <v/>
      </c>
      <c r="BZ30" s="34">
        <f>C_CVSpread*BZ21+SUMPRODUCT((cv_effect="cost_fixed")*(cv_timing="anchor")*(cv_start=BZ$4)*cv_value)+SUMPRODUCT((cv_effect="cost_monthly")*(cv_start&lt;=BZ$4)*(cv_end&gt;BZ$4)*cv_value)</f>
        <v/>
      </c>
      <c r="CA30" s="34">
        <f>C_CVSpread*CA21+SUMPRODUCT((cv_effect="cost_fixed")*(cv_timing="anchor")*(cv_start=CA$4)*cv_value)+SUMPRODUCT((cv_effect="cost_monthly")*(cv_start&lt;=CA$4)*(cv_end&gt;CA$4)*cv_value)</f>
        <v/>
      </c>
      <c r="CB30" s="34">
        <f>C_CVSpread*CB21+SUMPRODUCT((cv_effect="cost_fixed")*(cv_timing="anchor")*(cv_start=CB$4)*cv_value)+SUMPRODUCT((cv_effect="cost_monthly")*(cv_start&lt;=CB$4)*(cv_end&gt;CB$4)*cv_value)</f>
        <v/>
      </c>
      <c r="CC30" s="34">
        <f>C_CVSpread*CC21+SUMPRODUCT((cv_effect="cost_fixed")*(cv_timing="anchor")*(cv_start=CC$4)*cv_value)+SUMPRODUCT((cv_effect="cost_monthly")*(cv_start&lt;=CC$4)*(cv_end&gt;CC$4)*cv_value)</f>
        <v/>
      </c>
      <c r="CD30" s="34">
        <f>C_CVSpread*CD21+SUMPRODUCT((cv_effect="cost_fixed")*(cv_timing="anchor")*(cv_start=CD$4)*cv_value)+SUMPRODUCT((cv_effect="cost_monthly")*(cv_start&lt;=CD$4)*(cv_end&gt;CD$4)*cv_value)</f>
        <v/>
      </c>
      <c r="CE30" s="34">
        <f>C_CVSpread*CE21+SUMPRODUCT((cv_effect="cost_fixed")*(cv_timing="anchor")*(cv_start=CE$4)*cv_value)+SUMPRODUCT((cv_effect="cost_monthly")*(cv_start&lt;=CE$4)*(cv_end&gt;CE$4)*cv_value)</f>
        <v/>
      </c>
      <c r="CF30" s="34">
        <f>C_CVSpread*CF21+SUMPRODUCT((cv_effect="cost_fixed")*(cv_timing="anchor")*(cv_start=CF$4)*cv_value)+SUMPRODUCT((cv_effect="cost_monthly")*(cv_start&lt;=CF$4)*(cv_end&gt;CF$4)*cv_value)</f>
        <v/>
      </c>
      <c r="CG30" s="34">
        <f>C_CVSpread*CG21+SUMPRODUCT((cv_effect="cost_fixed")*(cv_timing="anchor")*(cv_start=CG$4)*cv_value)+SUMPRODUCT((cv_effect="cost_monthly")*(cv_start&lt;=CG$4)*(cv_end&gt;CG$4)*cv_value)</f>
        <v/>
      </c>
      <c r="CH30" s="34">
        <f>C_CVSpread*CH21+SUMPRODUCT((cv_effect="cost_fixed")*(cv_timing="anchor")*(cv_start=CH$4)*cv_value)+SUMPRODUCT((cv_effect="cost_monthly")*(cv_start&lt;=CH$4)*(cv_end&gt;CH$4)*cv_value)</f>
        <v/>
      </c>
      <c r="CI30" s="34">
        <f>C_CVSpread*CI21+SUMPRODUCT((cv_effect="cost_fixed")*(cv_timing="anchor")*(cv_start=CI$4)*cv_value)+SUMPRODUCT((cv_effect="cost_monthly")*(cv_start&lt;=CI$4)*(cv_end&gt;CI$4)*cv_value)</f>
        <v/>
      </c>
      <c r="CJ30" s="34">
        <f>C_CVSpread*CJ21+SUMPRODUCT((cv_effect="cost_fixed")*(cv_timing="anchor")*(cv_start=CJ$4)*cv_value)+SUMPRODUCT((cv_effect="cost_monthly")*(cv_start&lt;=CJ$4)*(cv_end&gt;CJ$4)*cv_value)</f>
        <v/>
      </c>
      <c r="CK30" s="34">
        <f>C_CVSpread*CK21+SUMPRODUCT((cv_effect="cost_fixed")*(cv_timing="anchor")*(cv_start=CK$4)*cv_value)+SUMPRODUCT((cv_effect="cost_monthly")*(cv_start&lt;=CK$4)*(cv_end&gt;CK$4)*cv_value)</f>
        <v/>
      </c>
      <c r="CL30" s="34">
        <f>C_CVSpread*CL21+SUMPRODUCT((cv_effect="cost_fixed")*(cv_timing="anchor")*(cv_start=CL$4)*cv_value)+SUMPRODUCT((cv_effect="cost_monthly")*(cv_start&lt;=CL$4)*(cv_end&gt;CL$4)*cv_value)</f>
        <v/>
      </c>
      <c r="CM30" s="34">
        <f>C_CVSpread*CM21+SUMPRODUCT((cv_effect="cost_fixed")*(cv_timing="anchor")*(cv_start=CM$4)*cv_value)+SUMPRODUCT((cv_effect="cost_monthly")*(cv_start&lt;=CM$4)*(cv_end&gt;CM$4)*cv_value)</f>
        <v/>
      </c>
      <c r="CN30" s="34">
        <f>C_CVSpread*CN21+SUMPRODUCT((cv_effect="cost_fixed")*(cv_timing="anchor")*(cv_start=CN$4)*cv_value)+SUMPRODUCT((cv_effect="cost_monthly")*(cv_start&lt;=CN$4)*(cv_end&gt;CN$4)*cv_value)</f>
        <v/>
      </c>
      <c r="CO30" s="34">
        <f>C_CVSpread*CO21+SUMPRODUCT((cv_effect="cost_fixed")*(cv_timing="anchor")*(cv_start=CO$4)*cv_value)+SUMPRODUCT((cv_effect="cost_monthly")*(cv_start&lt;=CO$4)*(cv_end&gt;CO$4)*cv_value)</f>
        <v/>
      </c>
      <c r="CP30" s="34">
        <f>C_CVSpread*CP21+SUMPRODUCT((cv_effect="cost_fixed")*(cv_timing="anchor")*(cv_start=CP$4)*cv_value)+SUMPRODUCT((cv_effect="cost_monthly")*(cv_start&lt;=CP$4)*(cv_end&gt;CP$4)*cv_value)</f>
        <v/>
      </c>
      <c r="CQ30" s="34">
        <f>C_CVSpread*CQ21+SUMPRODUCT((cv_effect="cost_fixed")*(cv_timing="anchor")*(cv_start=CQ$4)*cv_value)+SUMPRODUCT((cv_effect="cost_monthly")*(cv_start&lt;=CQ$4)*(cv_end&gt;CQ$4)*cv_value)</f>
        <v/>
      </c>
      <c r="CR30" s="34">
        <f>C_CVSpread*CR21+SUMPRODUCT((cv_effect="cost_fixed")*(cv_timing="anchor")*(cv_start=CR$4)*cv_value)+SUMPRODUCT((cv_effect="cost_monthly")*(cv_start&lt;=CR$4)*(cv_end&gt;CR$4)*cv_value)</f>
        <v/>
      </c>
      <c r="CS30" s="34">
        <f>C_CVSpread*CS21+SUMPRODUCT((cv_effect="cost_fixed")*(cv_timing="anchor")*(cv_start=CS$4)*cv_value)+SUMPRODUCT((cv_effect="cost_monthly")*(cv_start&lt;=CS$4)*(cv_end&gt;CS$4)*cv_value)</f>
        <v/>
      </c>
      <c r="CT30" s="34">
        <f>C_CVSpread*CT21+SUMPRODUCT((cv_effect="cost_fixed")*(cv_timing="anchor")*(cv_start=CT$4)*cv_value)+SUMPRODUCT((cv_effect="cost_monthly")*(cv_start&lt;=CT$4)*(cv_end&gt;CT$4)*cv_value)</f>
        <v/>
      </c>
      <c r="CU30" s="34">
        <f>C_CVSpread*CU21+SUMPRODUCT((cv_effect="cost_fixed")*(cv_timing="anchor")*(cv_start=CU$4)*cv_value)+SUMPRODUCT((cv_effect="cost_monthly")*(cv_start&lt;=CU$4)*(cv_end&gt;CU$4)*cv_value)</f>
        <v/>
      </c>
    </row>
    <row r="31">
      <c r="A31" s="7" t="inlineStr">
        <is>
          <t>Custom one-off costs</t>
        </is>
      </c>
      <c r="B31" s="21">
        <f>SUM(D31:CU31)</f>
        <v/>
      </c>
      <c r="C31" s="11" t="inlineStr"/>
      <c r="D31" s="34">
        <f>SUMPRODUCT((cf_type="cost")*(cf_month=D$4)*cf_amount)</f>
        <v/>
      </c>
      <c r="E31" s="34">
        <f>SUMPRODUCT((cf_type="cost")*(cf_month=E$4)*cf_amount)</f>
        <v/>
      </c>
      <c r="F31" s="34">
        <f>SUMPRODUCT((cf_type="cost")*(cf_month=F$4)*cf_amount)</f>
        <v/>
      </c>
      <c r="G31" s="34">
        <f>SUMPRODUCT((cf_type="cost")*(cf_month=G$4)*cf_amount)</f>
        <v/>
      </c>
      <c r="H31" s="34">
        <f>SUMPRODUCT((cf_type="cost")*(cf_month=H$4)*cf_amount)</f>
        <v/>
      </c>
      <c r="I31" s="34">
        <f>SUMPRODUCT((cf_type="cost")*(cf_month=I$4)*cf_amount)</f>
        <v/>
      </c>
      <c r="J31" s="34">
        <f>SUMPRODUCT((cf_type="cost")*(cf_month=J$4)*cf_amount)</f>
        <v/>
      </c>
      <c r="K31" s="34">
        <f>SUMPRODUCT((cf_type="cost")*(cf_month=K$4)*cf_amount)</f>
        <v/>
      </c>
      <c r="L31" s="34">
        <f>SUMPRODUCT((cf_type="cost")*(cf_month=L$4)*cf_amount)</f>
        <v/>
      </c>
      <c r="M31" s="34">
        <f>SUMPRODUCT((cf_type="cost")*(cf_month=M$4)*cf_amount)</f>
        <v/>
      </c>
      <c r="N31" s="34">
        <f>SUMPRODUCT((cf_type="cost")*(cf_month=N$4)*cf_amount)</f>
        <v/>
      </c>
      <c r="O31" s="34">
        <f>SUMPRODUCT((cf_type="cost")*(cf_month=O$4)*cf_amount)</f>
        <v/>
      </c>
      <c r="P31" s="34">
        <f>SUMPRODUCT((cf_type="cost")*(cf_month=P$4)*cf_amount)</f>
        <v/>
      </c>
      <c r="Q31" s="34">
        <f>SUMPRODUCT((cf_type="cost")*(cf_month=Q$4)*cf_amount)</f>
        <v/>
      </c>
      <c r="R31" s="34">
        <f>SUMPRODUCT((cf_type="cost")*(cf_month=R$4)*cf_amount)</f>
        <v/>
      </c>
      <c r="S31" s="34">
        <f>SUMPRODUCT((cf_type="cost")*(cf_month=S$4)*cf_amount)</f>
        <v/>
      </c>
      <c r="T31" s="34">
        <f>SUMPRODUCT((cf_type="cost")*(cf_month=T$4)*cf_amount)</f>
        <v/>
      </c>
      <c r="U31" s="34">
        <f>SUMPRODUCT((cf_type="cost")*(cf_month=U$4)*cf_amount)</f>
        <v/>
      </c>
      <c r="V31" s="34">
        <f>SUMPRODUCT((cf_type="cost")*(cf_month=V$4)*cf_amount)</f>
        <v/>
      </c>
      <c r="W31" s="34">
        <f>SUMPRODUCT((cf_type="cost")*(cf_month=W$4)*cf_amount)</f>
        <v/>
      </c>
      <c r="X31" s="34">
        <f>SUMPRODUCT((cf_type="cost")*(cf_month=X$4)*cf_amount)</f>
        <v/>
      </c>
      <c r="Y31" s="34">
        <f>SUMPRODUCT((cf_type="cost")*(cf_month=Y$4)*cf_amount)</f>
        <v/>
      </c>
      <c r="Z31" s="34">
        <f>SUMPRODUCT((cf_type="cost")*(cf_month=Z$4)*cf_amount)</f>
        <v/>
      </c>
      <c r="AA31" s="34">
        <f>SUMPRODUCT((cf_type="cost")*(cf_month=AA$4)*cf_amount)</f>
        <v/>
      </c>
      <c r="AB31" s="34">
        <f>SUMPRODUCT((cf_type="cost")*(cf_month=AB$4)*cf_amount)</f>
        <v/>
      </c>
      <c r="AC31" s="34">
        <f>SUMPRODUCT((cf_type="cost")*(cf_month=AC$4)*cf_amount)</f>
        <v/>
      </c>
      <c r="AD31" s="34">
        <f>SUMPRODUCT((cf_type="cost")*(cf_month=AD$4)*cf_amount)</f>
        <v/>
      </c>
      <c r="AE31" s="34">
        <f>SUMPRODUCT((cf_type="cost")*(cf_month=AE$4)*cf_amount)</f>
        <v/>
      </c>
      <c r="AF31" s="34">
        <f>SUMPRODUCT((cf_type="cost")*(cf_month=AF$4)*cf_amount)</f>
        <v/>
      </c>
      <c r="AG31" s="34">
        <f>SUMPRODUCT((cf_type="cost")*(cf_month=AG$4)*cf_amount)</f>
        <v/>
      </c>
      <c r="AH31" s="34">
        <f>SUMPRODUCT((cf_type="cost")*(cf_month=AH$4)*cf_amount)</f>
        <v/>
      </c>
      <c r="AI31" s="34">
        <f>SUMPRODUCT((cf_type="cost")*(cf_month=AI$4)*cf_amount)</f>
        <v/>
      </c>
      <c r="AJ31" s="34">
        <f>SUMPRODUCT((cf_type="cost")*(cf_month=AJ$4)*cf_amount)</f>
        <v/>
      </c>
      <c r="AK31" s="34">
        <f>SUMPRODUCT((cf_type="cost")*(cf_month=AK$4)*cf_amount)</f>
        <v/>
      </c>
      <c r="AL31" s="34">
        <f>SUMPRODUCT((cf_type="cost")*(cf_month=AL$4)*cf_amount)</f>
        <v/>
      </c>
      <c r="AM31" s="34">
        <f>SUMPRODUCT((cf_type="cost")*(cf_month=AM$4)*cf_amount)</f>
        <v/>
      </c>
      <c r="AN31" s="34">
        <f>SUMPRODUCT((cf_type="cost")*(cf_month=AN$4)*cf_amount)</f>
        <v/>
      </c>
      <c r="AO31" s="34">
        <f>SUMPRODUCT((cf_type="cost")*(cf_month=AO$4)*cf_amount)</f>
        <v/>
      </c>
      <c r="AP31" s="34">
        <f>SUMPRODUCT((cf_type="cost")*(cf_month=AP$4)*cf_amount)</f>
        <v/>
      </c>
      <c r="AQ31" s="34">
        <f>SUMPRODUCT((cf_type="cost")*(cf_month=AQ$4)*cf_amount)</f>
        <v/>
      </c>
      <c r="AR31" s="34">
        <f>SUMPRODUCT((cf_type="cost")*(cf_month=AR$4)*cf_amount)</f>
        <v/>
      </c>
      <c r="AS31" s="34">
        <f>SUMPRODUCT((cf_type="cost")*(cf_month=AS$4)*cf_amount)</f>
        <v/>
      </c>
      <c r="AT31" s="34">
        <f>SUMPRODUCT((cf_type="cost")*(cf_month=AT$4)*cf_amount)</f>
        <v/>
      </c>
      <c r="AU31" s="34">
        <f>SUMPRODUCT((cf_type="cost")*(cf_month=AU$4)*cf_amount)</f>
        <v/>
      </c>
      <c r="AV31" s="34">
        <f>SUMPRODUCT((cf_type="cost")*(cf_month=AV$4)*cf_amount)</f>
        <v/>
      </c>
      <c r="AW31" s="34">
        <f>SUMPRODUCT((cf_type="cost")*(cf_month=AW$4)*cf_amount)</f>
        <v/>
      </c>
      <c r="AX31" s="34">
        <f>SUMPRODUCT((cf_type="cost")*(cf_month=AX$4)*cf_amount)</f>
        <v/>
      </c>
      <c r="AY31" s="34">
        <f>SUMPRODUCT((cf_type="cost")*(cf_month=AY$4)*cf_amount)</f>
        <v/>
      </c>
      <c r="AZ31" s="34">
        <f>SUMPRODUCT((cf_type="cost")*(cf_month=AZ$4)*cf_amount)</f>
        <v/>
      </c>
      <c r="BA31" s="34">
        <f>SUMPRODUCT((cf_type="cost")*(cf_month=BA$4)*cf_amount)</f>
        <v/>
      </c>
      <c r="BB31" s="34">
        <f>SUMPRODUCT((cf_type="cost")*(cf_month=BB$4)*cf_amount)</f>
        <v/>
      </c>
      <c r="BC31" s="34">
        <f>SUMPRODUCT((cf_type="cost")*(cf_month=BC$4)*cf_amount)</f>
        <v/>
      </c>
      <c r="BD31" s="34">
        <f>SUMPRODUCT((cf_type="cost")*(cf_month=BD$4)*cf_amount)</f>
        <v/>
      </c>
      <c r="BE31" s="34">
        <f>SUMPRODUCT((cf_type="cost")*(cf_month=BE$4)*cf_amount)</f>
        <v/>
      </c>
      <c r="BF31" s="34">
        <f>SUMPRODUCT((cf_type="cost")*(cf_month=BF$4)*cf_amount)</f>
        <v/>
      </c>
      <c r="BG31" s="34">
        <f>SUMPRODUCT((cf_type="cost")*(cf_month=BG$4)*cf_amount)</f>
        <v/>
      </c>
      <c r="BH31" s="34">
        <f>SUMPRODUCT((cf_type="cost")*(cf_month=BH$4)*cf_amount)</f>
        <v/>
      </c>
      <c r="BI31" s="34">
        <f>SUMPRODUCT((cf_type="cost")*(cf_month=BI$4)*cf_amount)</f>
        <v/>
      </c>
      <c r="BJ31" s="34">
        <f>SUMPRODUCT((cf_type="cost")*(cf_month=BJ$4)*cf_amount)</f>
        <v/>
      </c>
      <c r="BK31" s="34">
        <f>SUMPRODUCT((cf_type="cost")*(cf_month=BK$4)*cf_amount)</f>
        <v/>
      </c>
      <c r="BL31" s="34">
        <f>SUMPRODUCT((cf_type="cost")*(cf_month=BL$4)*cf_amount)</f>
        <v/>
      </c>
      <c r="BM31" s="34">
        <f>SUMPRODUCT((cf_type="cost")*(cf_month=BM$4)*cf_amount)</f>
        <v/>
      </c>
      <c r="BN31" s="34">
        <f>SUMPRODUCT((cf_type="cost")*(cf_month=BN$4)*cf_amount)</f>
        <v/>
      </c>
      <c r="BO31" s="34">
        <f>SUMPRODUCT((cf_type="cost")*(cf_month=BO$4)*cf_amount)</f>
        <v/>
      </c>
      <c r="BP31" s="34">
        <f>SUMPRODUCT((cf_type="cost")*(cf_month=BP$4)*cf_amount)</f>
        <v/>
      </c>
      <c r="BQ31" s="34">
        <f>SUMPRODUCT((cf_type="cost")*(cf_month=BQ$4)*cf_amount)</f>
        <v/>
      </c>
      <c r="BR31" s="34">
        <f>SUMPRODUCT((cf_type="cost")*(cf_month=BR$4)*cf_amount)</f>
        <v/>
      </c>
      <c r="BS31" s="34">
        <f>SUMPRODUCT((cf_type="cost")*(cf_month=BS$4)*cf_amount)</f>
        <v/>
      </c>
      <c r="BT31" s="34">
        <f>SUMPRODUCT((cf_type="cost")*(cf_month=BT$4)*cf_amount)</f>
        <v/>
      </c>
      <c r="BU31" s="34">
        <f>SUMPRODUCT((cf_type="cost")*(cf_month=BU$4)*cf_amount)</f>
        <v/>
      </c>
      <c r="BV31" s="34">
        <f>SUMPRODUCT((cf_type="cost")*(cf_month=BV$4)*cf_amount)</f>
        <v/>
      </c>
      <c r="BW31" s="34">
        <f>SUMPRODUCT((cf_type="cost")*(cf_month=BW$4)*cf_amount)</f>
        <v/>
      </c>
      <c r="BX31" s="34">
        <f>SUMPRODUCT((cf_type="cost")*(cf_month=BX$4)*cf_amount)</f>
        <v/>
      </c>
      <c r="BY31" s="34">
        <f>SUMPRODUCT((cf_type="cost")*(cf_month=BY$4)*cf_amount)</f>
        <v/>
      </c>
      <c r="BZ31" s="34">
        <f>SUMPRODUCT((cf_type="cost")*(cf_month=BZ$4)*cf_amount)</f>
        <v/>
      </c>
      <c r="CA31" s="34">
        <f>SUMPRODUCT((cf_type="cost")*(cf_month=CA$4)*cf_amount)</f>
        <v/>
      </c>
      <c r="CB31" s="34">
        <f>SUMPRODUCT((cf_type="cost")*(cf_month=CB$4)*cf_amount)</f>
        <v/>
      </c>
      <c r="CC31" s="34">
        <f>SUMPRODUCT((cf_type="cost")*(cf_month=CC$4)*cf_amount)</f>
        <v/>
      </c>
      <c r="CD31" s="34">
        <f>SUMPRODUCT((cf_type="cost")*(cf_month=CD$4)*cf_amount)</f>
        <v/>
      </c>
      <c r="CE31" s="34">
        <f>SUMPRODUCT((cf_type="cost")*(cf_month=CE$4)*cf_amount)</f>
        <v/>
      </c>
      <c r="CF31" s="34">
        <f>SUMPRODUCT((cf_type="cost")*(cf_month=CF$4)*cf_amount)</f>
        <v/>
      </c>
      <c r="CG31" s="34">
        <f>SUMPRODUCT((cf_type="cost")*(cf_month=CG$4)*cf_amount)</f>
        <v/>
      </c>
      <c r="CH31" s="34">
        <f>SUMPRODUCT((cf_type="cost")*(cf_month=CH$4)*cf_amount)</f>
        <v/>
      </c>
      <c r="CI31" s="34">
        <f>SUMPRODUCT((cf_type="cost")*(cf_month=CI$4)*cf_amount)</f>
        <v/>
      </c>
      <c r="CJ31" s="34">
        <f>SUMPRODUCT((cf_type="cost")*(cf_month=CJ$4)*cf_amount)</f>
        <v/>
      </c>
      <c r="CK31" s="34">
        <f>SUMPRODUCT((cf_type="cost")*(cf_month=CK$4)*cf_amount)</f>
        <v/>
      </c>
      <c r="CL31" s="34">
        <f>SUMPRODUCT((cf_type="cost")*(cf_month=CL$4)*cf_amount)</f>
        <v/>
      </c>
      <c r="CM31" s="34">
        <f>SUMPRODUCT((cf_type="cost")*(cf_month=CM$4)*cf_amount)</f>
        <v/>
      </c>
      <c r="CN31" s="34">
        <f>SUMPRODUCT((cf_type="cost")*(cf_month=CN$4)*cf_amount)</f>
        <v/>
      </c>
      <c r="CO31" s="34">
        <f>SUMPRODUCT((cf_type="cost")*(cf_month=CO$4)*cf_amount)</f>
        <v/>
      </c>
      <c r="CP31" s="34">
        <f>SUMPRODUCT((cf_type="cost")*(cf_month=CP$4)*cf_amount)</f>
        <v/>
      </c>
      <c r="CQ31" s="34">
        <f>SUMPRODUCT((cf_type="cost")*(cf_month=CQ$4)*cf_amount)</f>
        <v/>
      </c>
      <c r="CR31" s="34">
        <f>SUMPRODUCT((cf_type="cost")*(cf_month=CR$4)*cf_amount)</f>
        <v/>
      </c>
      <c r="CS31" s="34">
        <f>SUMPRODUCT((cf_type="cost")*(cf_month=CS$4)*cf_amount)</f>
        <v/>
      </c>
      <c r="CT31" s="34">
        <f>SUMPRODUCT((cf_type="cost")*(cf_month=CT$4)*cf_amount)</f>
        <v/>
      </c>
      <c r="CU31" s="34">
        <f>SUMPRODUCT((cf_type="cost")*(cf_month=CU$4)*cf_amount)</f>
        <v/>
      </c>
    </row>
    <row r="32">
      <c r="A32" s="38" t="inlineStr">
        <is>
          <t>Total development costs (before sales costs and financing)</t>
        </is>
      </c>
      <c r="B32" s="39">
        <f>SUM(D32:CU32)</f>
        <v/>
      </c>
      <c r="C32" s="40" t="inlineStr"/>
      <c r="D32" s="39">
        <f>D24+D25+D26+D27+D28+D29+D30+D31</f>
        <v/>
      </c>
      <c r="E32" s="39">
        <f>E24+E25+E26+E27+E28+E29+E30+E31</f>
        <v/>
      </c>
      <c r="F32" s="39">
        <f>F24+F25+F26+F27+F28+F29+F30+F31</f>
        <v/>
      </c>
      <c r="G32" s="39">
        <f>G24+G25+G26+G27+G28+G29+G30+G31</f>
        <v/>
      </c>
      <c r="H32" s="39">
        <f>H24+H25+H26+H27+H28+H29+H30+H31</f>
        <v/>
      </c>
      <c r="I32" s="39">
        <f>I24+I25+I26+I27+I28+I29+I30+I31</f>
        <v/>
      </c>
      <c r="J32" s="39">
        <f>J24+J25+J26+J27+J28+J29+J30+J31</f>
        <v/>
      </c>
      <c r="K32" s="39">
        <f>K24+K25+K26+K27+K28+K29+K30+K31</f>
        <v/>
      </c>
      <c r="L32" s="39">
        <f>L24+L25+L26+L27+L28+L29+L30+L31</f>
        <v/>
      </c>
      <c r="M32" s="39">
        <f>M24+M25+M26+M27+M28+M29+M30+M31</f>
        <v/>
      </c>
      <c r="N32" s="39">
        <f>N24+N25+N26+N27+N28+N29+N30+N31</f>
        <v/>
      </c>
      <c r="O32" s="39">
        <f>O24+O25+O26+O27+O28+O29+O30+O31</f>
        <v/>
      </c>
      <c r="P32" s="39">
        <f>P24+P25+P26+P27+P28+P29+P30+P31</f>
        <v/>
      </c>
      <c r="Q32" s="39">
        <f>Q24+Q25+Q26+Q27+Q28+Q29+Q30+Q31</f>
        <v/>
      </c>
      <c r="R32" s="39">
        <f>R24+R25+R26+R27+R28+R29+R30+R31</f>
        <v/>
      </c>
      <c r="S32" s="39">
        <f>S24+S25+S26+S27+S28+S29+S30+S31</f>
        <v/>
      </c>
      <c r="T32" s="39">
        <f>T24+T25+T26+T27+T28+T29+T30+T31</f>
        <v/>
      </c>
      <c r="U32" s="39">
        <f>U24+U25+U26+U27+U28+U29+U30+U31</f>
        <v/>
      </c>
      <c r="V32" s="39">
        <f>V24+V25+V26+V27+V28+V29+V30+V31</f>
        <v/>
      </c>
      <c r="W32" s="39">
        <f>W24+W25+W26+W27+W28+W29+W30+W31</f>
        <v/>
      </c>
      <c r="X32" s="39">
        <f>X24+X25+X26+X27+X28+X29+X30+X31</f>
        <v/>
      </c>
      <c r="Y32" s="39">
        <f>Y24+Y25+Y26+Y27+Y28+Y29+Y30+Y31</f>
        <v/>
      </c>
      <c r="Z32" s="39">
        <f>Z24+Z25+Z26+Z27+Z28+Z29+Z30+Z31</f>
        <v/>
      </c>
      <c r="AA32" s="39">
        <f>AA24+AA25+AA26+AA27+AA28+AA29+AA30+AA31</f>
        <v/>
      </c>
      <c r="AB32" s="39">
        <f>AB24+AB25+AB26+AB27+AB28+AB29+AB30+AB31</f>
        <v/>
      </c>
      <c r="AC32" s="39">
        <f>AC24+AC25+AC26+AC27+AC28+AC29+AC30+AC31</f>
        <v/>
      </c>
      <c r="AD32" s="39">
        <f>AD24+AD25+AD26+AD27+AD28+AD29+AD30+AD31</f>
        <v/>
      </c>
      <c r="AE32" s="39">
        <f>AE24+AE25+AE26+AE27+AE28+AE29+AE30+AE31</f>
        <v/>
      </c>
      <c r="AF32" s="39">
        <f>AF24+AF25+AF26+AF27+AF28+AF29+AF30+AF31</f>
        <v/>
      </c>
      <c r="AG32" s="39">
        <f>AG24+AG25+AG26+AG27+AG28+AG29+AG30+AG31</f>
        <v/>
      </c>
      <c r="AH32" s="39">
        <f>AH24+AH25+AH26+AH27+AH28+AH29+AH30+AH31</f>
        <v/>
      </c>
      <c r="AI32" s="39">
        <f>AI24+AI25+AI26+AI27+AI28+AI29+AI30+AI31</f>
        <v/>
      </c>
      <c r="AJ32" s="39">
        <f>AJ24+AJ25+AJ26+AJ27+AJ28+AJ29+AJ30+AJ31</f>
        <v/>
      </c>
      <c r="AK32" s="39">
        <f>AK24+AK25+AK26+AK27+AK28+AK29+AK30+AK31</f>
        <v/>
      </c>
      <c r="AL32" s="39">
        <f>AL24+AL25+AL26+AL27+AL28+AL29+AL30+AL31</f>
        <v/>
      </c>
      <c r="AM32" s="39">
        <f>AM24+AM25+AM26+AM27+AM28+AM29+AM30+AM31</f>
        <v/>
      </c>
      <c r="AN32" s="39">
        <f>AN24+AN25+AN26+AN27+AN28+AN29+AN30+AN31</f>
        <v/>
      </c>
      <c r="AO32" s="39">
        <f>AO24+AO25+AO26+AO27+AO28+AO29+AO30+AO31</f>
        <v/>
      </c>
      <c r="AP32" s="39">
        <f>AP24+AP25+AP26+AP27+AP28+AP29+AP30+AP31</f>
        <v/>
      </c>
      <c r="AQ32" s="39">
        <f>AQ24+AQ25+AQ26+AQ27+AQ28+AQ29+AQ30+AQ31</f>
        <v/>
      </c>
      <c r="AR32" s="39">
        <f>AR24+AR25+AR26+AR27+AR28+AR29+AR30+AR31</f>
        <v/>
      </c>
      <c r="AS32" s="39">
        <f>AS24+AS25+AS26+AS27+AS28+AS29+AS30+AS31</f>
        <v/>
      </c>
      <c r="AT32" s="39">
        <f>AT24+AT25+AT26+AT27+AT28+AT29+AT30+AT31</f>
        <v/>
      </c>
      <c r="AU32" s="39">
        <f>AU24+AU25+AU26+AU27+AU28+AU29+AU30+AU31</f>
        <v/>
      </c>
      <c r="AV32" s="39">
        <f>AV24+AV25+AV26+AV27+AV28+AV29+AV30+AV31</f>
        <v/>
      </c>
      <c r="AW32" s="39">
        <f>AW24+AW25+AW26+AW27+AW28+AW29+AW30+AW31</f>
        <v/>
      </c>
      <c r="AX32" s="39">
        <f>AX24+AX25+AX26+AX27+AX28+AX29+AX30+AX31</f>
        <v/>
      </c>
      <c r="AY32" s="39">
        <f>AY24+AY25+AY26+AY27+AY28+AY29+AY30+AY31</f>
        <v/>
      </c>
      <c r="AZ32" s="39">
        <f>AZ24+AZ25+AZ26+AZ27+AZ28+AZ29+AZ30+AZ31</f>
        <v/>
      </c>
      <c r="BA32" s="39">
        <f>BA24+BA25+BA26+BA27+BA28+BA29+BA30+BA31</f>
        <v/>
      </c>
      <c r="BB32" s="39">
        <f>BB24+BB25+BB26+BB27+BB28+BB29+BB30+BB31</f>
        <v/>
      </c>
      <c r="BC32" s="39">
        <f>BC24+BC25+BC26+BC27+BC28+BC29+BC30+BC31</f>
        <v/>
      </c>
      <c r="BD32" s="39">
        <f>BD24+BD25+BD26+BD27+BD28+BD29+BD30+BD31</f>
        <v/>
      </c>
      <c r="BE32" s="39">
        <f>BE24+BE25+BE26+BE27+BE28+BE29+BE30+BE31</f>
        <v/>
      </c>
      <c r="BF32" s="39">
        <f>BF24+BF25+BF26+BF27+BF28+BF29+BF30+BF31</f>
        <v/>
      </c>
      <c r="BG32" s="39">
        <f>BG24+BG25+BG26+BG27+BG28+BG29+BG30+BG31</f>
        <v/>
      </c>
      <c r="BH32" s="39">
        <f>BH24+BH25+BH26+BH27+BH28+BH29+BH30+BH31</f>
        <v/>
      </c>
      <c r="BI32" s="39">
        <f>BI24+BI25+BI26+BI27+BI28+BI29+BI30+BI31</f>
        <v/>
      </c>
      <c r="BJ32" s="39">
        <f>BJ24+BJ25+BJ26+BJ27+BJ28+BJ29+BJ30+BJ31</f>
        <v/>
      </c>
      <c r="BK32" s="39">
        <f>BK24+BK25+BK26+BK27+BK28+BK29+BK30+BK31</f>
        <v/>
      </c>
      <c r="BL32" s="39">
        <f>BL24+BL25+BL26+BL27+BL28+BL29+BL30+BL31</f>
        <v/>
      </c>
      <c r="BM32" s="39">
        <f>BM24+BM25+BM26+BM27+BM28+BM29+BM30+BM31</f>
        <v/>
      </c>
      <c r="BN32" s="39">
        <f>BN24+BN25+BN26+BN27+BN28+BN29+BN30+BN31</f>
        <v/>
      </c>
      <c r="BO32" s="39">
        <f>BO24+BO25+BO26+BO27+BO28+BO29+BO30+BO31</f>
        <v/>
      </c>
      <c r="BP32" s="39">
        <f>BP24+BP25+BP26+BP27+BP28+BP29+BP30+BP31</f>
        <v/>
      </c>
      <c r="BQ32" s="39">
        <f>BQ24+BQ25+BQ26+BQ27+BQ28+BQ29+BQ30+BQ31</f>
        <v/>
      </c>
      <c r="BR32" s="39">
        <f>BR24+BR25+BR26+BR27+BR28+BR29+BR30+BR31</f>
        <v/>
      </c>
      <c r="BS32" s="39">
        <f>BS24+BS25+BS26+BS27+BS28+BS29+BS30+BS31</f>
        <v/>
      </c>
      <c r="BT32" s="39">
        <f>BT24+BT25+BT26+BT27+BT28+BT29+BT30+BT31</f>
        <v/>
      </c>
      <c r="BU32" s="39">
        <f>BU24+BU25+BU26+BU27+BU28+BU29+BU30+BU31</f>
        <v/>
      </c>
      <c r="BV32" s="39">
        <f>BV24+BV25+BV26+BV27+BV28+BV29+BV30+BV31</f>
        <v/>
      </c>
      <c r="BW32" s="39">
        <f>BW24+BW25+BW26+BW27+BW28+BW29+BW30+BW31</f>
        <v/>
      </c>
      <c r="BX32" s="39">
        <f>BX24+BX25+BX26+BX27+BX28+BX29+BX30+BX31</f>
        <v/>
      </c>
      <c r="BY32" s="39">
        <f>BY24+BY25+BY26+BY27+BY28+BY29+BY30+BY31</f>
        <v/>
      </c>
      <c r="BZ32" s="39">
        <f>BZ24+BZ25+BZ26+BZ27+BZ28+BZ29+BZ30+BZ31</f>
        <v/>
      </c>
      <c r="CA32" s="39">
        <f>CA24+CA25+CA26+CA27+CA28+CA29+CA30+CA31</f>
        <v/>
      </c>
      <c r="CB32" s="39">
        <f>CB24+CB25+CB26+CB27+CB28+CB29+CB30+CB31</f>
        <v/>
      </c>
      <c r="CC32" s="39">
        <f>CC24+CC25+CC26+CC27+CC28+CC29+CC30+CC31</f>
        <v/>
      </c>
      <c r="CD32" s="39">
        <f>CD24+CD25+CD26+CD27+CD28+CD29+CD30+CD31</f>
        <v/>
      </c>
      <c r="CE32" s="39">
        <f>CE24+CE25+CE26+CE27+CE28+CE29+CE30+CE31</f>
        <v/>
      </c>
      <c r="CF32" s="39">
        <f>CF24+CF25+CF26+CF27+CF28+CF29+CF30+CF31</f>
        <v/>
      </c>
      <c r="CG32" s="39">
        <f>CG24+CG25+CG26+CG27+CG28+CG29+CG30+CG31</f>
        <v/>
      </c>
      <c r="CH32" s="39">
        <f>CH24+CH25+CH26+CH27+CH28+CH29+CH30+CH31</f>
        <v/>
      </c>
      <c r="CI32" s="39">
        <f>CI24+CI25+CI26+CI27+CI28+CI29+CI30+CI31</f>
        <v/>
      </c>
      <c r="CJ32" s="39">
        <f>CJ24+CJ25+CJ26+CJ27+CJ28+CJ29+CJ30+CJ31</f>
        <v/>
      </c>
      <c r="CK32" s="39">
        <f>CK24+CK25+CK26+CK27+CK28+CK29+CK30+CK31</f>
        <v/>
      </c>
      <c r="CL32" s="39">
        <f>CL24+CL25+CL26+CL27+CL28+CL29+CL30+CL31</f>
        <v/>
      </c>
      <c r="CM32" s="39">
        <f>CM24+CM25+CM26+CM27+CM28+CM29+CM30+CM31</f>
        <v/>
      </c>
      <c r="CN32" s="39">
        <f>CN24+CN25+CN26+CN27+CN28+CN29+CN30+CN31</f>
        <v/>
      </c>
      <c r="CO32" s="39">
        <f>CO24+CO25+CO26+CO27+CO28+CO29+CO30+CO31</f>
        <v/>
      </c>
      <c r="CP32" s="39">
        <f>CP24+CP25+CP26+CP27+CP28+CP29+CP30+CP31</f>
        <v/>
      </c>
      <c r="CQ32" s="39">
        <f>CQ24+CQ25+CQ26+CQ27+CQ28+CQ29+CQ30+CQ31</f>
        <v/>
      </c>
      <c r="CR32" s="39">
        <f>CR24+CR25+CR26+CR27+CR28+CR29+CR30+CR31</f>
        <v/>
      </c>
      <c r="CS32" s="39">
        <f>CS24+CS25+CS26+CS27+CS28+CS29+CS30+CS31</f>
        <v/>
      </c>
      <c r="CT32" s="39">
        <f>CT24+CT25+CT26+CT27+CT28+CT29+CT30+CT31</f>
        <v/>
      </c>
      <c r="CU32" s="39">
        <f>CU24+CU25+CU26+CU27+CU28+CU29+CU30+CU31</f>
        <v/>
      </c>
    </row>
    <row r="33">
      <c r="A33" s="7" t="inlineStr">
        <is>
          <t>Cumulative development costs</t>
        </is>
      </c>
      <c r="B33" s="1" t="n"/>
      <c r="C33" s="11" t="inlineStr"/>
      <c r="D33" s="34">
        <f>D32</f>
        <v/>
      </c>
      <c r="E33" s="34">
        <f>E32+D33</f>
        <v/>
      </c>
      <c r="F33" s="34">
        <f>F32+E33</f>
        <v/>
      </c>
      <c r="G33" s="34">
        <f>G32+F33</f>
        <v/>
      </c>
      <c r="H33" s="34">
        <f>H32+G33</f>
        <v/>
      </c>
      <c r="I33" s="34">
        <f>I32+H33</f>
        <v/>
      </c>
      <c r="J33" s="34">
        <f>J32+I33</f>
        <v/>
      </c>
      <c r="K33" s="34">
        <f>K32+J33</f>
        <v/>
      </c>
      <c r="L33" s="34">
        <f>L32+K33</f>
        <v/>
      </c>
      <c r="M33" s="34">
        <f>M32+L33</f>
        <v/>
      </c>
      <c r="N33" s="34">
        <f>N32+M33</f>
        <v/>
      </c>
      <c r="O33" s="34">
        <f>O32+N33</f>
        <v/>
      </c>
      <c r="P33" s="34">
        <f>P32+O33</f>
        <v/>
      </c>
      <c r="Q33" s="34">
        <f>Q32+P33</f>
        <v/>
      </c>
      <c r="R33" s="34">
        <f>R32+Q33</f>
        <v/>
      </c>
      <c r="S33" s="34">
        <f>S32+R33</f>
        <v/>
      </c>
      <c r="T33" s="34">
        <f>T32+S33</f>
        <v/>
      </c>
      <c r="U33" s="34">
        <f>U32+T33</f>
        <v/>
      </c>
      <c r="V33" s="34">
        <f>V32+U33</f>
        <v/>
      </c>
      <c r="W33" s="34">
        <f>W32+V33</f>
        <v/>
      </c>
      <c r="X33" s="34">
        <f>X32+W33</f>
        <v/>
      </c>
      <c r="Y33" s="34">
        <f>Y32+X33</f>
        <v/>
      </c>
      <c r="Z33" s="34">
        <f>Z32+Y33</f>
        <v/>
      </c>
      <c r="AA33" s="34">
        <f>AA32+Z33</f>
        <v/>
      </c>
      <c r="AB33" s="34">
        <f>AB32+AA33</f>
        <v/>
      </c>
      <c r="AC33" s="34">
        <f>AC32+AB33</f>
        <v/>
      </c>
      <c r="AD33" s="34">
        <f>AD32+AC33</f>
        <v/>
      </c>
      <c r="AE33" s="34">
        <f>AE32+AD33</f>
        <v/>
      </c>
      <c r="AF33" s="34">
        <f>AF32+AE33</f>
        <v/>
      </c>
      <c r="AG33" s="34">
        <f>AG32+AF33</f>
        <v/>
      </c>
      <c r="AH33" s="34">
        <f>AH32+AG33</f>
        <v/>
      </c>
      <c r="AI33" s="34">
        <f>AI32+AH33</f>
        <v/>
      </c>
      <c r="AJ33" s="34">
        <f>AJ32+AI33</f>
        <v/>
      </c>
      <c r="AK33" s="34">
        <f>AK32+AJ33</f>
        <v/>
      </c>
      <c r="AL33" s="34">
        <f>AL32+AK33</f>
        <v/>
      </c>
      <c r="AM33" s="34">
        <f>AM32+AL33</f>
        <v/>
      </c>
      <c r="AN33" s="34">
        <f>AN32+AM33</f>
        <v/>
      </c>
      <c r="AO33" s="34">
        <f>AO32+AN33</f>
        <v/>
      </c>
      <c r="AP33" s="34">
        <f>AP32+AO33</f>
        <v/>
      </c>
      <c r="AQ33" s="34">
        <f>AQ32+AP33</f>
        <v/>
      </c>
      <c r="AR33" s="34">
        <f>AR32+AQ33</f>
        <v/>
      </c>
      <c r="AS33" s="34">
        <f>AS32+AR33</f>
        <v/>
      </c>
      <c r="AT33" s="34">
        <f>AT32+AS33</f>
        <v/>
      </c>
      <c r="AU33" s="34">
        <f>AU32+AT33</f>
        <v/>
      </c>
      <c r="AV33" s="34">
        <f>AV32+AU33</f>
        <v/>
      </c>
      <c r="AW33" s="34">
        <f>AW32+AV33</f>
        <v/>
      </c>
      <c r="AX33" s="34">
        <f>AX32+AW33</f>
        <v/>
      </c>
      <c r="AY33" s="34">
        <f>AY32+AX33</f>
        <v/>
      </c>
      <c r="AZ33" s="34">
        <f>AZ32+AY33</f>
        <v/>
      </c>
      <c r="BA33" s="34">
        <f>BA32+AZ33</f>
        <v/>
      </c>
      <c r="BB33" s="34">
        <f>BB32+BA33</f>
        <v/>
      </c>
      <c r="BC33" s="34">
        <f>BC32+BB33</f>
        <v/>
      </c>
      <c r="BD33" s="34">
        <f>BD32+BC33</f>
        <v/>
      </c>
      <c r="BE33" s="34">
        <f>BE32+BD33</f>
        <v/>
      </c>
      <c r="BF33" s="34">
        <f>BF32+BE33</f>
        <v/>
      </c>
      <c r="BG33" s="34">
        <f>BG32+BF33</f>
        <v/>
      </c>
      <c r="BH33" s="34">
        <f>BH32+BG33</f>
        <v/>
      </c>
      <c r="BI33" s="34">
        <f>BI32+BH33</f>
        <v/>
      </c>
      <c r="BJ33" s="34">
        <f>BJ32+BI33</f>
        <v/>
      </c>
      <c r="BK33" s="34">
        <f>BK32+BJ33</f>
        <v/>
      </c>
      <c r="BL33" s="34">
        <f>BL32+BK33</f>
        <v/>
      </c>
      <c r="BM33" s="34">
        <f>BM32+BL33</f>
        <v/>
      </c>
      <c r="BN33" s="34">
        <f>BN32+BM33</f>
        <v/>
      </c>
      <c r="BO33" s="34">
        <f>BO32+BN33</f>
        <v/>
      </c>
      <c r="BP33" s="34">
        <f>BP32+BO33</f>
        <v/>
      </c>
      <c r="BQ33" s="34">
        <f>BQ32+BP33</f>
        <v/>
      </c>
      <c r="BR33" s="34">
        <f>BR32+BQ33</f>
        <v/>
      </c>
      <c r="BS33" s="34">
        <f>BS32+BR33</f>
        <v/>
      </c>
      <c r="BT33" s="34">
        <f>BT32+BS33</f>
        <v/>
      </c>
      <c r="BU33" s="34">
        <f>BU32+BT33</f>
        <v/>
      </c>
      <c r="BV33" s="34">
        <f>BV32+BU33</f>
        <v/>
      </c>
      <c r="BW33" s="34">
        <f>BW32+BV33</f>
        <v/>
      </c>
      <c r="BX33" s="34">
        <f>BX32+BW33</f>
        <v/>
      </c>
      <c r="BY33" s="34">
        <f>BY32+BX33</f>
        <v/>
      </c>
      <c r="BZ33" s="34">
        <f>BZ32+BY33</f>
        <v/>
      </c>
      <c r="CA33" s="34">
        <f>CA32+BZ33</f>
        <v/>
      </c>
      <c r="CB33" s="34">
        <f>CB32+CA33</f>
        <v/>
      </c>
      <c r="CC33" s="34">
        <f>CC32+CB33</f>
        <v/>
      </c>
      <c r="CD33" s="34">
        <f>CD32+CC33</f>
        <v/>
      </c>
      <c r="CE33" s="34">
        <f>CE32+CD33</f>
        <v/>
      </c>
      <c r="CF33" s="34">
        <f>CF32+CE33</f>
        <v/>
      </c>
      <c r="CG33" s="34">
        <f>CG32+CF33</f>
        <v/>
      </c>
      <c r="CH33" s="34">
        <f>CH32+CG33</f>
        <v/>
      </c>
      <c r="CI33" s="34">
        <f>CI32+CH33</f>
        <v/>
      </c>
      <c r="CJ33" s="34">
        <f>CJ32+CI33</f>
        <v/>
      </c>
      <c r="CK33" s="34">
        <f>CK32+CJ33</f>
        <v/>
      </c>
      <c r="CL33" s="34">
        <f>CL32+CK33</f>
        <v/>
      </c>
      <c r="CM33" s="34">
        <f>CM32+CL33</f>
        <v/>
      </c>
      <c r="CN33" s="34">
        <f>CN32+CM33</f>
        <v/>
      </c>
      <c r="CO33" s="34">
        <f>CO32+CN33</f>
        <v/>
      </c>
      <c r="CP33" s="34">
        <f>CP32+CO33</f>
        <v/>
      </c>
      <c r="CQ33" s="34">
        <f>CQ32+CP33</f>
        <v/>
      </c>
      <c r="CR33" s="34">
        <f>CR32+CQ33</f>
        <v/>
      </c>
      <c r="CS33" s="34">
        <f>CS32+CR33</f>
        <v/>
      </c>
      <c r="CT33" s="34">
        <f>CT32+CS33</f>
        <v/>
      </c>
      <c r="CU33" s="34">
        <f>CU32+CT33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345E"/>
    <outlinePr summaryBelow="1" summaryRight="1"/>
    <pageSetUpPr/>
  </sheetPr>
  <dimension ref="A1:CU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</cols>
  <sheetData>
    <row r="1">
      <c r="A1" s="10" t="inlineStr">
        <is>
          <t>Sales schedule &amp; cash collections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11" t="inlineStr">
        <is>
          <t>Units sold per month (phases + base absorption, net of cancellations), contract value and buyer payments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</row>
    <row r="4">
      <c r="A4" s="12" t="inlineStr">
        <is>
          <t>Month</t>
        </is>
      </c>
      <c r="B4" s="12" t="inlineStr">
        <is>
          <t>Total</t>
        </is>
      </c>
      <c r="C4" s="12" t="inlineStr">
        <is>
          <t>Unit / note</t>
        </is>
      </c>
      <c r="D4" s="24" t="n">
        <v>0</v>
      </c>
      <c r="E4" s="24">
        <f>D4+1</f>
        <v/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>
        <f>L4+1</f>
        <v/>
      </c>
      <c r="N4" s="24">
        <f>M4+1</f>
        <v/>
      </c>
      <c r="O4" s="24">
        <f>N4+1</f>
        <v/>
      </c>
      <c r="P4" s="24">
        <f>O4+1</f>
        <v/>
      </c>
      <c r="Q4" s="24">
        <f>P4+1</f>
        <v/>
      </c>
      <c r="R4" s="24">
        <f>Q4+1</f>
        <v/>
      </c>
      <c r="S4" s="24">
        <f>R4+1</f>
        <v/>
      </c>
      <c r="T4" s="24">
        <f>S4+1</f>
        <v/>
      </c>
      <c r="U4" s="24">
        <f>T4+1</f>
        <v/>
      </c>
      <c r="V4" s="24">
        <f>U4+1</f>
        <v/>
      </c>
      <c r="W4" s="24">
        <f>V4+1</f>
        <v/>
      </c>
      <c r="X4" s="24">
        <f>W4+1</f>
        <v/>
      </c>
      <c r="Y4" s="24">
        <f>X4+1</f>
        <v/>
      </c>
      <c r="Z4" s="24">
        <f>Y4+1</f>
        <v/>
      </c>
      <c r="AA4" s="24">
        <f>Z4+1</f>
        <v/>
      </c>
      <c r="AB4" s="24">
        <f>AA4+1</f>
        <v/>
      </c>
      <c r="AC4" s="24">
        <f>AB4+1</f>
        <v/>
      </c>
      <c r="AD4" s="24">
        <f>AC4+1</f>
        <v/>
      </c>
      <c r="AE4" s="24">
        <f>AD4+1</f>
        <v/>
      </c>
      <c r="AF4" s="24">
        <f>AE4+1</f>
        <v/>
      </c>
      <c r="AG4" s="24">
        <f>AF4+1</f>
        <v/>
      </c>
      <c r="AH4" s="24">
        <f>AG4+1</f>
        <v/>
      </c>
      <c r="AI4" s="24">
        <f>AH4+1</f>
        <v/>
      </c>
      <c r="AJ4" s="24">
        <f>AI4+1</f>
        <v/>
      </c>
      <c r="AK4" s="24">
        <f>AJ4+1</f>
        <v/>
      </c>
      <c r="AL4" s="24">
        <f>AK4+1</f>
        <v/>
      </c>
      <c r="AM4" s="24">
        <f>AL4+1</f>
        <v/>
      </c>
      <c r="AN4" s="24">
        <f>AM4+1</f>
        <v/>
      </c>
      <c r="AO4" s="24">
        <f>AN4+1</f>
        <v/>
      </c>
      <c r="AP4" s="24">
        <f>AO4+1</f>
        <v/>
      </c>
      <c r="AQ4" s="24">
        <f>AP4+1</f>
        <v/>
      </c>
      <c r="AR4" s="24">
        <f>AQ4+1</f>
        <v/>
      </c>
      <c r="AS4" s="24">
        <f>AR4+1</f>
        <v/>
      </c>
      <c r="AT4" s="24">
        <f>AS4+1</f>
        <v/>
      </c>
      <c r="AU4" s="24">
        <f>AT4+1</f>
        <v/>
      </c>
      <c r="AV4" s="24">
        <f>AU4+1</f>
        <v/>
      </c>
      <c r="AW4" s="24">
        <f>AV4+1</f>
        <v/>
      </c>
      <c r="AX4" s="24">
        <f>AW4+1</f>
        <v/>
      </c>
      <c r="AY4" s="24">
        <f>AX4+1</f>
        <v/>
      </c>
      <c r="AZ4" s="24">
        <f>AY4+1</f>
        <v/>
      </c>
      <c r="BA4" s="24">
        <f>AZ4+1</f>
        <v/>
      </c>
      <c r="BB4" s="24">
        <f>BA4+1</f>
        <v/>
      </c>
      <c r="BC4" s="24">
        <f>BB4+1</f>
        <v/>
      </c>
      <c r="BD4" s="24">
        <f>BC4+1</f>
        <v/>
      </c>
      <c r="BE4" s="24">
        <f>BD4+1</f>
        <v/>
      </c>
      <c r="BF4" s="24">
        <f>BE4+1</f>
        <v/>
      </c>
      <c r="BG4" s="24">
        <f>BF4+1</f>
        <v/>
      </c>
      <c r="BH4" s="24">
        <f>BG4+1</f>
        <v/>
      </c>
      <c r="BI4" s="24">
        <f>BH4+1</f>
        <v/>
      </c>
      <c r="BJ4" s="24">
        <f>BI4+1</f>
        <v/>
      </c>
      <c r="BK4" s="24">
        <f>BJ4+1</f>
        <v/>
      </c>
      <c r="BL4" s="24">
        <f>BK4+1</f>
        <v/>
      </c>
      <c r="BM4" s="24">
        <f>BL4+1</f>
        <v/>
      </c>
      <c r="BN4" s="24">
        <f>BM4+1</f>
        <v/>
      </c>
      <c r="BO4" s="24">
        <f>BN4+1</f>
        <v/>
      </c>
      <c r="BP4" s="24">
        <f>BO4+1</f>
        <v/>
      </c>
      <c r="BQ4" s="24">
        <f>BP4+1</f>
        <v/>
      </c>
      <c r="BR4" s="24">
        <f>BQ4+1</f>
        <v/>
      </c>
      <c r="BS4" s="24">
        <f>BR4+1</f>
        <v/>
      </c>
      <c r="BT4" s="24">
        <f>BS4+1</f>
        <v/>
      </c>
      <c r="BU4" s="24">
        <f>BT4+1</f>
        <v/>
      </c>
      <c r="BV4" s="24">
        <f>BU4+1</f>
        <v/>
      </c>
      <c r="BW4" s="24">
        <f>BV4+1</f>
        <v/>
      </c>
      <c r="BX4" s="24">
        <f>BW4+1</f>
        <v/>
      </c>
      <c r="BY4" s="24">
        <f>BX4+1</f>
        <v/>
      </c>
      <c r="BZ4" s="24">
        <f>BY4+1</f>
        <v/>
      </c>
      <c r="CA4" s="24">
        <f>BZ4+1</f>
        <v/>
      </c>
      <c r="CB4" s="24">
        <f>CA4+1</f>
        <v/>
      </c>
      <c r="CC4" s="24">
        <f>CB4+1</f>
        <v/>
      </c>
      <c r="CD4" s="24">
        <f>CC4+1</f>
        <v/>
      </c>
      <c r="CE4" s="24">
        <f>CD4+1</f>
        <v/>
      </c>
      <c r="CF4" s="24">
        <f>CE4+1</f>
        <v/>
      </c>
      <c r="CG4" s="24">
        <f>CF4+1</f>
        <v/>
      </c>
      <c r="CH4" s="24">
        <f>CG4+1</f>
        <v/>
      </c>
      <c r="CI4" s="24">
        <f>CH4+1</f>
        <v/>
      </c>
      <c r="CJ4" s="24">
        <f>CI4+1</f>
        <v/>
      </c>
      <c r="CK4" s="24">
        <f>CJ4+1</f>
        <v/>
      </c>
      <c r="CL4" s="24">
        <f>CK4+1</f>
        <v/>
      </c>
      <c r="CM4" s="24">
        <f>CL4+1</f>
        <v/>
      </c>
      <c r="CN4" s="24">
        <f>CM4+1</f>
        <v/>
      </c>
      <c r="CO4" s="24">
        <f>CN4+1</f>
        <v/>
      </c>
      <c r="CP4" s="24">
        <f>CO4+1</f>
        <v/>
      </c>
      <c r="CQ4" s="24">
        <f>CP4+1</f>
        <v/>
      </c>
      <c r="CR4" s="24">
        <f>CQ4+1</f>
        <v/>
      </c>
      <c r="CS4" s="24">
        <f>CR4+1</f>
        <v/>
      </c>
      <c r="CT4" s="24">
        <f>CS4+1</f>
        <v/>
      </c>
      <c r="CU4" s="24">
        <f>CT4+1</f>
        <v/>
      </c>
    </row>
    <row r="5">
      <c r="A5" s="7" t="inlineStr">
        <is>
          <t>Base presales start month</t>
        </is>
      </c>
      <c r="B5" s="34">
        <f>MAX(1,T_ConStart+in_rev_sales_start_offset)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>
      <c r="A6" s="7" t="inlineStr">
        <is>
          <t>Sales start month (incl. phases)</t>
        </is>
      </c>
      <c r="B6" s="34">
        <f>MAX(1,MIN(Sales_BaseStart,IF(COUNT(sp_start)&gt;0,MIN(sp_start),Sales_BaseStart)))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</row>
    <row r="7">
      <c r="A7" s="7" t="inlineStr">
        <is>
          <t>Units for sale</t>
        </is>
      </c>
      <c r="B7" s="34">
        <f>IF(in_mode_sale=1,D_Units,0)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</row>
    <row r="8">
      <c r="A8" s="7" t="inlineStr">
        <is>
          <t>Last month with sales</t>
        </is>
      </c>
      <c r="B8" s="34">
        <f>SUMPRODUCT(MAX(($D$13:$CU$13&gt;1E-9)*$D$4:$CU$4))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</row>
    <row r="9">
      <c r="A9" s="7" t="inlineStr">
        <is>
          <t>Gross development value (contract value)</t>
        </is>
      </c>
      <c r="B9" s="34">
        <f>SUM($D$17:$CU$17)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s="7" t="inlineStr">
        <is>
          <t>Gross sales pace (units/month)</t>
        </is>
      </c>
      <c r="B12" s="1" t="n"/>
      <c r="C12" s="11" t="inlineStr"/>
      <c r="D12" s="41">
        <f>IF(D$4&lt;Sales_Start,0,IF(SUMPRODUCT((sp_start&lt;=D$4)*(sp_end&gt;D$4)*1)&gt;0,SUMPRODUCT((sp_start&lt;=D$4)*(sp_end&gt;D$4)*sp_rate)/SUMPRODUCT((sp_start&lt;=D$4)*(sp_end&gt;D$4)*1),in_rev_absorption_per_month))</f>
        <v/>
      </c>
      <c r="E12" s="41">
        <f>IF(E$4&lt;Sales_Start,0,IF(SUMPRODUCT((sp_start&lt;=E$4)*(sp_end&gt;E$4)*1)&gt;0,SUMPRODUCT((sp_start&lt;=E$4)*(sp_end&gt;E$4)*sp_rate)/SUMPRODUCT((sp_start&lt;=E$4)*(sp_end&gt;E$4)*1),in_rev_absorption_per_month))</f>
        <v/>
      </c>
      <c r="F12" s="41">
        <f>IF(F$4&lt;Sales_Start,0,IF(SUMPRODUCT((sp_start&lt;=F$4)*(sp_end&gt;F$4)*1)&gt;0,SUMPRODUCT((sp_start&lt;=F$4)*(sp_end&gt;F$4)*sp_rate)/SUMPRODUCT((sp_start&lt;=F$4)*(sp_end&gt;F$4)*1),in_rev_absorption_per_month))</f>
        <v/>
      </c>
      <c r="G12" s="41">
        <f>IF(G$4&lt;Sales_Start,0,IF(SUMPRODUCT((sp_start&lt;=G$4)*(sp_end&gt;G$4)*1)&gt;0,SUMPRODUCT((sp_start&lt;=G$4)*(sp_end&gt;G$4)*sp_rate)/SUMPRODUCT((sp_start&lt;=G$4)*(sp_end&gt;G$4)*1),in_rev_absorption_per_month))</f>
        <v/>
      </c>
      <c r="H12" s="41">
        <f>IF(H$4&lt;Sales_Start,0,IF(SUMPRODUCT((sp_start&lt;=H$4)*(sp_end&gt;H$4)*1)&gt;0,SUMPRODUCT((sp_start&lt;=H$4)*(sp_end&gt;H$4)*sp_rate)/SUMPRODUCT((sp_start&lt;=H$4)*(sp_end&gt;H$4)*1),in_rev_absorption_per_month))</f>
        <v/>
      </c>
      <c r="I12" s="41">
        <f>IF(I$4&lt;Sales_Start,0,IF(SUMPRODUCT((sp_start&lt;=I$4)*(sp_end&gt;I$4)*1)&gt;0,SUMPRODUCT((sp_start&lt;=I$4)*(sp_end&gt;I$4)*sp_rate)/SUMPRODUCT((sp_start&lt;=I$4)*(sp_end&gt;I$4)*1),in_rev_absorption_per_month))</f>
        <v/>
      </c>
      <c r="J12" s="41">
        <f>IF(J$4&lt;Sales_Start,0,IF(SUMPRODUCT((sp_start&lt;=J$4)*(sp_end&gt;J$4)*1)&gt;0,SUMPRODUCT((sp_start&lt;=J$4)*(sp_end&gt;J$4)*sp_rate)/SUMPRODUCT((sp_start&lt;=J$4)*(sp_end&gt;J$4)*1),in_rev_absorption_per_month))</f>
        <v/>
      </c>
      <c r="K12" s="41">
        <f>IF(K$4&lt;Sales_Start,0,IF(SUMPRODUCT((sp_start&lt;=K$4)*(sp_end&gt;K$4)*1)&gt;0,SUMPRODUCT((sp_start&lt;=K$4)*(sp_end&gt;K$4)*sp_rate)/SUMPRODUCT((sp_start&lt;=K$4)*(sp_end&gt;K$4)*1),in_rev_absorption_per_month))</f>
        <v/>
      </c>
      <c r="L12" s="41">
        <f>IF(L$4&lt;Sales_Start,0,IF(SUMPRODUCT((sp_start&lt;=L$4)*(sp_end&gt;L$4)*1)&gt;0,SUMPRODUCT((sp_start&lt;=L$4)*(sp_end&gt;L$4)*sp_rate)/SUMPRODUCT((sp_start&lt;=L$4)*(sp_end&gt;L$4)*1),in_rev_absorption_per_month))</f>
        <v/>
      </c>
      <c r="M12" s="41">
        <f>IF(M$4&lt;Sales_Start,0,IF(SUMPRODUCT((sp_start&lt;=M$4)*(sp_end&gt;M$4)*1)&gt;0,SUMPRODUCT((sp_start&lt;=M$4)*(sp_end&gt;M$4)*sp_rate)/SUMPRODUCT((sp_start&lt;=M$4)*(sp_end&gt;M$4)*1),in_rev_absorption_per_month))</f>
        <v/>
      </c>
      <c r="N12" s="41">
        <f>IF(N$4&lt;Sales_Start,0,IF(SUMPRODUCT((sp_start&lt;=N$4)*(sp_end&gt;N$4)*1)&gt;0,SUMPRODUCT((sp_start&lt;=N$4)*(sp_end&gt;N$4)*sp_rate)/SUMPRODUCT((sp_start&lt;=N$4)*(sp_end&gt;N$4)*1),in_rev_absorption_per_month))</f>
        <v/>
      </c>
      <c r="O12" s="41">
        <f>IF(O$4&lt;Sales_Start,0,IF(SUMPRODUCT((sp_start&lt;=O$4)*(sp_end&gt;O$4)*1)&gt;0,SUMPRODUCT((sp_start&lt;=O$4)*(sp_end&gt;O$4)*sp_rate)/SUMPRODUCT((sp_start&lt;=O$4)*(sp_end&gt;O$4)*1),in_rev_absorption_per_month))</f>
        <v/>
      </c>
      <c r="P12" s="41">
        <f>IF(P$4&lt;Sales_Start,0,IF(SUMPRODUCT((sp_start&lt;=P$4)*(sp_end&gt;P$4)*1)&gt;0,SUMPRODUCT((sp_start&lt;=P$4)*(sp_end&gt;P$4)*sp_rate)/SUMPRODUCT((sp_start&lt;=P$4)*(sp_end&gt;P$4)*1),in_rev_absorption_per_month))</f>
        <v/>
      </c>
      <c r="Q12" s="41">
        <f>IF(Q$4&lt;Sales_Start,0,IF(SUMPRODUCT((sp_start&lt;=Q$4)*(sp_end&gt;Q$4)*1)&gt;0,SUMPRODUCT((sp_start&lt;=Q$4)*(sp_end&gt;Q$4)*sp_rate)/SUMPRODUCT((sp_start&lt;=Q$4)*(sp_end&gt;Q$4)*1),in_rev_absorption_per_month))</f>
        <v/>
      </c>
      <c r="R12" s="41">
        <f>IF(R$4&lt;Sales_Start,0,IF(SUMPRODUCT((sp_start&lt;=R$4)*(sp_end&gt;R$4)*1)&gt;0,SUMPRODUCT((sp_start&lt;=R$4)*(sp_end&gt;R$4)*sp_rate)/SUMPRODUCT((sp_start&lt;=R$4)*(sp_end&gt;R$4)*1),in_rev_absorption_per_month))</f>
        <v/>
      </c>
      <c r="S12" s="41">
        <f>IF(S$4&lt;Sales_Start,0,IF(SUMPRODUCT((sp_start&lt;=S$4)*(sp_end&gt;S$4)*1)&gt;0,SUMPRODUCT((sp_start&lt;=S$4)*(sp_end&gt;S$4)*sp_rate)/SUMPRODUCT((sp_start&lt;=S$4)*(sp_end&gt;S$4)*1),in_rev_absorption_per_month))</f>
        <v/>
      </c>
      <c r="T12" s="41">
        <f>IF(T$4&lt;Sales_Start,0,IF(SUMPRODUCT((sp_start&lt;=T$4)*(sp_end&gt;T$4)*1)&gt;0,SUMPRODUCT((sp_start&lt;=T$4)*(sp_end&gt;T$4)*sp_rate)/SUMPRODUCT((sp_start&lt;=T$4)*(sp_end&gt;T$4)*1),in_rev_absorption_per_month))</f>
        <v/>
      </c>
      <c r="U12" s="41">
        <f>IF(U$4&lt;Sales_Start,0,IF(SUMPRODUCT((sp_start&lt;=U$4)*(sp_end&gt;U$4)*1)&gt;0,SUMPRODUCT((sp_start&lt;=U$4)*(sp_end&gt;U$4)*sp_rate)/SUMPRODUCT((sp_start&lt;=U$4)*(sp_end&gt;U$4)*1),in_rev_absorption_per_month))</f>
        <v/>
      </c>
      <c r="V12" s="41">
        <f>IF(V$4&lt;Sales_Start,0,IF(SUMPRODUCT((sp_start&lt;=V$4)*(sp_end&gt;V$4)*1)&gt;0,SUMPRODUCT((sp_start&lt;=V$4)*(sp_end&gt;V$4)*sp_rate)/SUMPRODUCT((sp_start&lt;=V$4)*(sp_end&gt;V$4)*1),in_rev_absorption_per_month))</f>
        <v/>
      </c>
      <c r="W12" s="41">
        <f>IF(W$4&lt;Sales_Start,0,IF(SUMPRODUCT((sp_start&lt;=W$4)*(sp_end&gt;W$4)*1)&gt;0,SUMPRODUCT((sp_start&lt;=W$4)*(sp_end&gt;W$4)*sp_rate)/SUMPRODUCT((sp_start&lt;=W$4)*(sp_end&gt;W$4)*1),in_rev_absorption_per_month))</f>
        <v/>
      </c>
      <c r="X12" s="41">
        <f>IF(X$4&lt;Sales_Start,0,IF(SUMPRODUCT((sp_start&lt;=X$4)*(sp_end&gt;X$4)*1)&gt;0,SUMPRODUCT((sp_start&lt;=X$4)*(sp_end&gt;X$4)*sp_rate)/SUMPRODUCT((sp_start&lt;=X$4)*(sp_end&gt;X$4)*1),in_rev_absorption_per_month))</f>
        <v/>
      </c>
      <c r="Y12" s="41">
        <f>IF(Y$4&lt;Sales_Start,0,IF(SUMPRODUCT((sp_start&lt;=Y$4)*(sp_end&gt;Y$4)*1)&gt;0,SUMPRODUCT((sp_start&lt;=Y$4)*(sp_end&gt;Y$4)*sp_rate)/SUMPRODUCT((sp_start&lt;=Y$4)*(sp_end&gt;Y$4)*1),in_rev_absorption_per_month))</f>
        <v/>
      </c>
      <c r="Z12" s="41">
        <f>IF(Z$4&lt;Sales_Start,0,IF(SUMPRODUCT((sp_start&lt;=Z$4)*(sp_end&gt;Z$4)*1)&gt;0,SUMPRODUCT((sp_start&lt;=Z$4)*(sp_end&gt;Z$4)*sp_rate)/SUMPRODUCT((sp_start&lt;=Z$4)*(sp_end&gt;Z$4)*1),in_rev_absorption_per_month))</f>
        <v/>
      </c>
      <c r="AA12" s="41">
        <f>IF(AA$4&lt;Sales_Start,0,IF(SUMPRODUCT((sp_start&lt;=AA$4)*(sp_end&gt;AA$4)*1)&gt;0,SUMPRODUCT((sp_start&lt;=AA$4)*(sp_end&gt;AA$4)*sp_rate)/SUMPRODUCT((sp_start&lt;=AA$4)*(sp_end&gt;AA$4)*1),in_rev_absorption_per_month))</f>
        <v/>
      </c>
      <c r="AB12" s="41">
        <f>IF(AB$4&lt;Sales_Start,0,IF(SUMPRODUCT((sp_start&lt;=AB$4)*(sp_end&gt;AB$4)*1)&gt;0,SUMPRODUCT((sp_start&lt;=AB$4)*(sp_end&gt;AB$4)*sp_rate)/SUMPRODUCT((sp_start&lt;=AB$4)*(sp_end&gt;AB$4)*1),in_rev_absorption_per_month))</f>
        <v/>
      </c>
      <c r="AC12" s="41">
        <f>IF(AC$4&lt;Sales_Start,0,IF(SUMPRODUCT((sp_start&lt;=AC$4)*(sp_end&gt;AC$4)*1)&gt;0,SUMPRODUCT((sp_start&lt;=AC$4)*(sp_end&gt;AC$4)*sp_rate)/SUMPRODUCT((sp_start&lt;=AC$4)*(sp_end&gt;AC$4)*1),in_rev_absorption_per_month))</f>
        <v/>
      </c>
      <c r="AD12" s="41">
        <f>IF(AD$4&lt;Sales_Start,0,IF(SUMPRODUCT((sp_start&lt;=AD$4)*(sp_end&gt;AD$4)*1)&gt;0,SUMPRODUCT((sp_start&lt;=AD$4)*(sp_end&gt;AD$4)*sp_rate)/SUMPRODUCT((sp_start&lt;=AD$4)*(sp_end&gt;AD$4)*1),in_rev_absorption_per_month))</f>
        <v/>
      </c>
      <c r="AE12" s="41">
        <f>IF(AE$4&lt;Sales_Start,0,IF(SUMPRODUCT((sp_start&lt;=AE$4)*(sp_end&gt;AE$4)*1)&gt;0,SUMPRODUCT((sp_start&lt;=AE$4)*(sp_end&gt;AE$4)*sp_rate)/SUMPRODUCT((sp_start&lt;=AE$4)*(sp_end&gt;AE$4)*1),in_rev_absorption_per_month))</f>
        <v/>
      </c>
      <c r="AF12" s="41">
        <f>IF(AF$4&lt;Sales_Start,0,IF(SUMPRODUCT((sp_start&lt;=AF$4)*(sp_end&gt;AF$4)*1)&gt;0,SUMPRODUCT((sp_start&lt;=AF$4)*(sp_end&gt;AF$4)*sp_rate)/SUMPRODUCT((sp_start&lt;=AF$4)*(sp_end&gt;AF$4)*1),in_rev_absorption_per_month))</f>
        <v/>
      </c>
      <c r="AG12" s="41">
        <f>IF(AG$4&lt;Sales_Start,0,IF(SUMPRODUCT((sp_start&lt;=AG$4)*(sp_end&gt;AG$4)*1)&gt;0,SUMPRODUCT((sp_start&lt;=AG$4)*(sp_end&gt;AG$4)*sp_rate)/SUMPRODUCT((sp_start&lt;=AG$4)*(sp_end&gt;AG$4)*1),in_rev_absorption_per_month))</f>
        <v/>
      </c>
      <c r="AH12" s="41">
        <f>IF(AH$4&lt;Sales_Start,0,IF(SUMPRODUCT((sp_start&lt;=AH$4)*(sp_end&gt;AH$4)*1)&gt;0,SUMPRODUCT((sp_start&lt;=AH$4)*(sp_end&gt;AH$4)*sp_rate)/SUMPRODUCT((sp_start&lt;=AH$4)*(sp_end&gt;AH$4)*1),in_rev_absorption_per_month))</f>
        <v/>
      </c>
      <c r="AI12" s="41">
        <f>IF(AI$4&lt;Sales_Start,0,IF(SUMPRODUCT((sp_start&lt;=AI$4)*(sp_end&gt;AI$4)*1)&gt;0,SUMPRODUCT((sp_start&lt;=AI$4)*(sp_end&gt;AI$4)*sp_rate)/SUMPRODUCT((sp_start&lt;=AI$4)*(sp_end&gt;AI$4)*1),in_rev_absorption_per_month))</f>
        <v/>
      </c>
      <c r="AJ12" s="41">
        <f>IF(AJ$4&lt;Sales_Start,0,IF(SUMPRODUCT((sp_start&lt;=AJ$4)*(sp_end&gt;AJ$4)*1)&gt;0,SUMPRODUCT((sp_start&lt;=AJ$4)*(sp_end&gt;AJ$4)*sp_rate)/SUMPRODUCT((sp_start&lt;=AJ$4)*(sp_end&gt;AJ$4)*1),in_rev_absorption_per_month))</f>
        <v/>
      </c>
      <c r="AK12" s="41">
        <f>IF(AK$4&lt;Sales_Start,0,IF(SUMPRODUCT((sp_start&lt;=AK$4)*(sp_end&gt;AK$4)*1)&gt;0,SUMPRODUCT((sp_start&lt;=AK$4)*(sp_end&gt;AK$4)*sp_rate)/SUMPRODUCT((sp_start&lt;=AK$4)*(sp_end&gt;AK$4)*1),in_rev_absorption_per_month))</f>
        <v/>
      </c>
      <c r="AL12" s="41">
        <f>IF(AL$4&lt;Sales_Start,0,IF(SUMPRODUCT((sp_start&lt;=AL$4)*(sp_end&gt;AL$4)*1)&gt;0,SUMPRODUCT((sp_start&lt;=AL$4)*(sp_end&gt;AL$4)*sp_rate)/SUMPRODUCT((sp_start&lt;=AL$4)*(sp_end&gt;AL$4)*1),in_rev_absorption_per_month))</f>
        <v/>
      </c>
      <c r="AM12" s="41">
        <f>IF(AM$4&lt;Sales_Start,0,IF(SUMPRODUCT((sp_start&lt;=AM$4)*(sp_end&gt;AM$4)*1)&gt;0,SUMPRODUCT((sp_start&lt;=AM$4)*(sp_end&gt;AM$4)*sp_rate)/SUMPRODUCT((sp_start&lt;=AM$4)*(sp_end&gt;AM$4)*1),in_rev_absorption_per_month))</f>
        <v/>
      </c>
      <c r="AN12" s="41">
        <f>IF(AN$4&lt;Sales_Start,0,IF(SUMPRODUCT((sp_start&lt;=AN$4)*(sp_end&gt;AN$4)*1)&gt;0,SUMPRODUCT((sp_start&lt;=AN$4)*(sp_end&gt;AN$4)*sp_rate)/SUMPRODUCT((sp_start&lt;=AN$4)*(sp_end&gt;AN$4)*1),in_rev_absorption_per_month))</f>
        <v/>
      </c>
      <c r="AO12" s="41">
        <f>IF(AO$4&lt;Sales_Start,0,IF(SUMPRODUCT((sp_start&lt;=AO$4)*(sp_end&gt;AO$4)*1)&gt;0,SUMPRODUCT((sp_start&lt;=AO$4)*(sp_end&gt;AO$4)*sp_rate)/SUMPRODUCT((sp_start&lt;=AO$4)*(sp_end&gt;AO$4)*1),in_rev_absorption_per_month))</f>
        <v/>
      </c>
      <c r="AP12" s="41">
        <f>IF(AP$4&lt;Sales_Start,0,IF(SUMPRODUCT((sp_start&lt;=AP$4)*(sp_end&gt;AP$4)*1)&gt;0,SUMPRODUCT((sp_start&lt;=AP$4)*(sp_end&gt;AP$4)*sp_rate)/SUMPRODUCT((sp_start&lt;=AP$4)*(sp_end&gt;AP$4)*1),in_rev_absorption_per_month))</f>
        <v/>
      </c>
      <c r="AQ12" s="41">
        <f>IF(AQ$4&lt;Sales_Start,0,IF(SUMPRODUCT((sp_start&lt;=AQ$4)*(sp_end&gt;AQ$4)*1)&gt;0,SUMPRODUCT((sp_start&lt;=AQ$4)*(sp_end&gt;AQ$4)*sp_rate)/SUMPRODUCT((sp_start&lt;=AQ$4)*(sp_end&gt;AQ$4)*1),in_rev_absorption_per_month))</f>
        <v/>
      </c>
      <c r="AR12" s="41">
        <f>IF(AR$4&lt;Sales_Start,0,IF(SUMPRODUCT((sp_start&lt;=AR$4)*(sp_end&gt;AR$4)*1)&gt;0,SUMPRODUCT((sp_start&lt;=AR$4)*(sp_end&gt;AR$4)*sp_rate)/SUMPRODUCT((sp_start&lt;=AR$4)*(sp_end&gt;AR$4)*1),in_rev_absorption_per_month))</f>
        <v/>
      </c>
      <c r="AS12" s="41">
        <f>IF(AS$4&lt;Sales_Start,0,IF(SUMPRODUCT((sp_start&lt;=AS$4)*(sp_end&gt;AS$4)*1)&gt;0,SUMPRODUCT((sp_start&lt;=AS$4)*(sp_end&gt;AS$4)*sp_rate)/SUMPRODUCT((sp_start&lt;=AS$4)*(sp_end&gt;AS$4)*1),in_rev_absorption_per_month))</f>
        <v/>
      </c>
      <c r="AT12" s="41">
        <f>IF(AT$4&lt;Sales_Start,0,IF(SUMPRODUCT((sp_start&lt;=AT$4)*(sp_end&gt;AT$4)*1)&gt;0,SUMPRODUCT((sp_start&lt;=AT$4)*(sp_end&gt;AT$4)*sp_rate)/SUMPRODUCT((sp_start&lt;=AT$4)*(sp_end&gt;AT$4)*1),in_rev_absorption_per_month))</f>
        <v/>
      </c>
      <c r="AU12" s="41">
        <f>IF(AU$4&lt;Sales_Start,0,IF(SUMPRODUCT((sp_start&lt;=AU$4)*(sp_end&gt;AU$4)*1)&gt;0,SUMPRODUCT((sp_start&lt;=AU$4)*(sp_end&gt;AU$4)*sp_rate)/SUMPRODUCT((sp_start&lt;=AU$4)*(sp_end&gt;AU$4)*1),in_rev_absorption_per_month))</f>
        <v/>
      </c>
      <c r="AV12" s="41">
        <f>IF(AV$4&lt;Sales_Start,0,IF(SUMPRODUCT((sp_start&lt;=AV$4)*(sp_end&gt;AV$4)*1)&gt;0,SUMPRODUCT((sp_start&lt;=AV$4)*(sp_end&gt;AV$4)*sp_rate)/SUMPRODUCT((sp_start&lt;=AV$4)*(sp_end&gt;AV$4)*1),in_rev_absorption_per_month))</f>
        <v/>
      </c>
      <c r="AW12" s="41">
        <f>IF(AW$4&lt;Sales_Start,0,IF(SUMPRODUCT((sp_start&lt;=AW$4)*(sp_end&gt;AW$4)*1)&gt;0,SUMPRODUCT((sp_start&lt;=AW$4)*(sp_end&gt;AW$4)*sp_rate)/SUMPRODUCT((sp_start&lt;=AW$4)*(sp_end&gt;AW$4)*1),in_rev_absorption_per_month))</f>
        <v/>
      </c>
      <c r="AX12" s="41">
        <f>IF(AX$4&lt;Sales_Start,0,IF(SUMPRODUCT((sp_start&lt;=AX$4)*(sp_end&gt;AX$4)*1)&gt;0,SUMPRODUCT((sp_start&lt;=AX$4)*(sp_end&gt;AX$4)*sp_rate)/SUMPRODUCT((sp_start&lt;=AX$4)*(sp_end&gt;AX$4)*1),in_rev_absorption_per_month))</f>
        <v/>
      </c>
      <c r="AY12" s="41">
        <f>IF(AY$4&lt;Sales_Start,0,IF(SUMPRODUCT((sp_start&lt;=AY$4)*(sp_end&gt;AY$4)*1)&gt;0,SUMPRODUCT((sp_start&lt;=AY$4)*(sp_end&gt;AY$4)*sp_rate)/SUMPRODUCT((sp_start&lt;=AY$4)*(sp_end&gt;AY$4)*1),in_rev_absorption_per_month))</f>
        <v/>
      </c>
      <c r="AZ12" s="41">
        <f>IF(AZ$4&lt;Sales_Start,0,IF(SUMPRODUCT((sp_start&lt;=AZ$4)*(sp_end&gt;AZ$4)*1)&gt;0,SUMPRODUCT((sp_start&lt;=AZ$4)*(sp_end&gt;AZ$4)*sp_rate)/SUMPRODUCT((sp_start&lt;=AZ$4)*(sp_end&gt;AZ$4)*1),in_rev_absorption_per_month))</f>
        <v/>
      </c>
      <c r="BA12" s="41">
        <f>IF(BA$4&lt;Sales_Start,0,IF(SUMPRODUCT((sp_start&lt;=BA$4)*(sp_end&gt;BA$4)*1)&gt;0,SUMPRODUCT((sp_start&lt;=BA$4)*(sp_end&gt;BA$4)*sp_rate)/SUMPRODUCT((sp_start&lt;=BA$4)*(sp_end&gt;BA$4)*1),in_rev_absorption_per_month))</f>
        <v/>
      </c>
      <c r="BB12" s="41">
        <f>IF(BB$4&lt;Sales_Start,0,IF(SUMPRODUCT((sp_start&lt;=BB$4)*(sp_end&gt;BB$4)*1)&gt;0,SUMPRODUCT((sp_start&lt;=BB$4)*(sp_end&gt;BB$4)*sp_rate)/SUMPRODUCT((sp_start&lt;=BB$4)*(sp_end&gt;BB$4)*1),in_rev_absorption_per_month))</f>
        <v/>
      </c>
      <c r="BC12" s="41">
        <f>IF(BC$4&lt;Sales_Start,0,IF(SUMPRODUCT((sp_start&lt;=BC$4)*(sp_end&gt;BC$4)*1)&gt;0,SUMPRODUCT((sp_start&lt;=BC$4)*(sp_end&gt;BC$4)*sp_rate)/SUMPRODUCT((sp_start&lt;=BC$4)*(sp_end&gt;BC$4)*1),in_rev_absorption_per_month))</f>
        <v/>
      </c>
      <c r="BD12" s="41">
        <f>IF(BD$4&lt;Sales_Start,0,IF(SUMPRODUCT((sp_start&lt;=BD$4)*(sp_end&gt;BD$4)*1)&gt;0,SUMPRODUCT((sp_start&lt;=BD$4)*(sp_end&gt;BD$4)*sp_rate)/SUMPRODUCT((sp_start&lt;=BD$4)*(sp_end&gt;BD$4)*1),in_rev_absorption_per_month))</f>
        <v/>
      </c>
      <c r="BE12" s="41">
        <f>IF(BE$4&lt;Sales_Start,0,IF(SUMPRODUCT((sp_start&lt;=BE$4)*(sp_end&gt;BE$4)*1)&gt;0,SUMPRODUCT((sp_start&lt;=BE$4)*(sp_end&gt;BE$4)*sp_rate)/SUMPRODUCT((sp_start&lt;=BE$4)*(sp_end&gt;BE$4)*1),in_rev_absorption_per_month))</f>
        <v/>
      </c>
      <c r="BF12" s="41">
        <f>IF(BF$4&lt;Sales_Start,0,IF(SUMPRODUCT((sp_start&lt;=BF$4)*(sp_end&gt;BF$4)*1)&gt;0,SUMPRODUCT((sp_start&lt;=BF$4)*(sp_end&gt;BF$4)*sp_rate)/SUMPRODUCT((sp_start&lt;=BF$4)*(sp_end&gt;BF$4)*1),in_rev_absorption_per_month))</f>
        <v/>
      </c>
      <c r="BG12" s="41">
        <f>IF(BG$4&lt;Sales_Start,0,IF(SUMPRODUCT((sp_start&lt;=BG$4)*(sp_end&gt;BG$4)*1)&gt;0,SUMPRODUCT((sp_start&lt;=BG$4)*(sp_end&gt;BG$4)*sp_rate)/SUMPRODUCT((sp_start&lt;=BG$4)*(sp_end&gt;BG$4)*1),in_rev_absorption_per_month))</f>
        <v/>
      </c>
      <c r="BH12" s="41">
        <f>IF(BH$4&lt;Sales_Start,0,IF(SUMPRODUCT((sp_start&lt;=BH$4)*(sp_end&gt;BH$4)*1)&gt;0,SUMPRODUCT((sp_start&lt;=BH$4)*(sp_end&gt;BH$4)*sp_rate)/SUMPRODUCT((sp_start&lt;=BH$4)*(sp_end&gt;BH$4)*1),in_rev_absorption_per_month))</f>
        <v/>
      </c>
      <c r="BI12" s="41">
        <f>IF(BI$4&lt;Sales_Start,0,IF(SUMPRODUCT((sp_start&lt;=BI$4)*(sp_end&gt;BI$4)*1)&gt;0,SUMPRODUCT((sp_start&lt;=BI$4)*(sp_end&gt;BI$4)*sp_rate)/SUMPRODUCT((sp_start&lt;=BI$4)*(sp_end&gt;BI$4)*1),in_rev_absorption_per_month))</f>
        <v/>
      </c>
      <c r="BJ12" s="41">
        <f>IF(BJ$4&lt;Sales_Start,0,IF(SUMPRODUCT((sp_start&lt;=BJ$4)*(sp_end&gt;BJ$4)*1)&gt;0,SUMPRODUCT((sp_start&lt;=BJ$4)*(sp_end&gt;BJ$4)*sp_rate)/SUMPRODUCT((sp_start&lt;=BJ$4)*(sp_end&gt;BJ$4)*1),in_rev_absorption_per_month))</f>
        <v/>
      </c>
      <c r="BK12" s="41">
        <f>IF(BK$4&lt;Sales_Start,0,IF(SUMPRODUCT((sp_start&lt;=BK$4)*(sp_end&gt;BK$4)*1)&gt;0,SUMPRODUCT((sp_start&lt;=BK$4)*(sp_end&gt;BK$4)*sp_rate)/SUMPRODUCT((sp_start&lt;=BK$4)*(sp_end&gt;BK$4)*1),in_rev_absorption_per_month))</f>
        <v/>
      </c>
      <c r="BL12" s="41">
        <f>IF(BL$4&lt;Sales_Start,0,IF(SUMPRODUCT((sp_start&lt;=BL$4)*(sp_end&gt;BL$4)*1)&gt;0,SUMPRODUCT((sp_start&lt;=BL$4)*(sp_end&gt;BL$4)*sp_rate)/SUMPRODUCT((sp_start&lt;=BL$4)*(sp_end&gt;BL$4)*1),in_rev_absorption_per_month))</f>
        <v/>
      </c>
      <c r="BM12" s="41">
        <f>IF(BM$4&lt;Sales_Start,0,IF(SUMPRODUCT((sp_start&lt;=BM$4)*(sp_end&gt;BM$4)*1)&gt;0,SUMPRODUCT((sp_start&lt;=BM$4)*(sp_end&gt;BM$4)*sp_rate)/SUMPRODUCT((sp_start&lt;=BM$4)*(sp_end&gt;BM$4)*1),in_rev_absorption_per_month))</f>
        <v/>
      </c>
      <c r="BN12" s="41">
        <f>IF(BN$4&lt;Sales_Start,0,IF(SUMPRODUCT((sp_start&lt;=BN$4)*(sp_end&gt;BN$4)*1)&gt;0,SUMPRODUCT((sp_start&lt;=BN$4)*(sp_end&gt;BN$4)*sp_rate)/SUMPRODUCT((sp_start&lt;=BN$4)*(sp_end&gt;BN$4)*1),in_rev_absorption_per_month))</f>
        <v/>
      </c>
      <c r="BO12" s="41">
        <f>IF(BO$4&lt;Sales_Start,0,IF(SUMPRODUCT((sp_start&lt;=BO$4)*(sp_end&gt;BO$4)*1)&gt;0,SUMPRODUCT((sp_start&lt;=BO$4)*(sp_end&gt;BO$4)*sp_rate)/SUMPRODUCT((sp_start&lt;=BO$4)*(sp_end&gt;BO$4)*1),in_rev_absorption_per_month))</f>
        <v/>
      </c>
      <c r="BP12" s="41">
        <f>IF(BP$4&lt;Sales_Start,0,IF(SUMPRODUCT((sp_start&lt;=BP$4)*(sp_end&gt;BP$4)*1)&gt;0,SUMPRODUCT((sp_start&lt;=BP$4)*(sp_end&gt;BP$4)*sp_rate)/SUMPRODUCT((sp_start&lt;=BP$4)*(sp_end&gt;BP$4)*1),in_rev_absorption_per_month))</f>
        <v/>
      </c>
      <c r="BQ12" s="41">
        <f>IF(BQ$4&lt;Sales_Start,0,IF(SUMPRODUCT((sp_start&lt;=BQ$4)*(sp_end&gt;BQ$4)*1)&gt;0,SUMPRODUCT((sp_start&lt;=BQ$4)*(sp_end&gt;BQ$4)*sp_rate)/SUMPRODUCT((sp_start&lt;=BQ$4)*(sp_end&gt;BQ$4)*1),in_rev_absorption_per_month))</f>
        <v/>
      </c>
      <c r="BR12" s="41">
        <f>IF(BR$4&lt;Sales_Start,0,IF(SUMPRODUCT((sp_start&lt;=BR$4)*(sp_end&gt;BR$4)*1)&gt;0,SUMPRODUCT((sp_start&lt;=BR$4)*(sp_end&gt;BR$4)*sp_rate)/SUMPRODUCT((sp_start&lt;=BR$4)*(sp_end&gt;BR$4)*1),in_rev_absorption_per_month))</f>
        <v/>
      </c>
      <c r="BS12" s="41">
        <f>IF(BS$4&lt;Sales_Start,0,IF(SUMPRODUCT((sp_start&lt;=BS$4)*(sp_end&gt;BS$4)*1)&gt;0,SUMPRODUCT((sp_start&lt;=BS$4)*(sp_end&gt;BS$4)*sp_rate)/SUMPRODUCT((sp_start&lt;=BS$4)*(sp_end&gt;BS$4)*1),in_rev_absorption_per_month))</f>
        <v/>
      </c>
      <c r="BT12" s="41">
        <f>IF(BT$4&lt;Sales_Start,0,IF(SUMPRODUCT((sp_start&lt;=BT$4)*(sp_end&gt;BT$4)*1)&gt;0,SUMPRODUCT((sp_start&lt;=BT$4)*(sp_end&gt;BT$4)*sp_rate)/SUMPRODUCT((sp_start&lt;=BT$4)*(sp_end&gt;BT$4)*1),in_rev_absorption_per_month))</f>
        <v/>
      </c>
      <c r="BU12" s="41">
        <f>IF(BU$4&lt;Sales_Start,0,IF(SUMPRODUCT((sp_start&lt;=BU$4)*(sp_end&gt;BU$4)*1)&gt;0,SUMPRODUCT((sp_start&lt;=BU$4)*(sp_end&gt;BU$4)*sp_rate)/SUMPRODUCT((sp_start&lt;=BU$4)*(sp_end&gt;BU$4)*1),in_rev_absorption_per_month))</f>
        <v/>
      </c>
      <c r="BV12" s="41">
        <f>IF(BV$4&lt;Sales_Start,0,IF(SUMPRODUCT((sp_start&lt;=BV$4)*(sp_end&gt;BV$4)*1)&gt;0,SUMPRODUCT((sp_start&lt;=BV$4)*(sp_end&gt;BV$4)*sp_rate)/SUMPRODUCT((sp_start&lt;=BV$4)*(sp_end&gt;BV$4)*1),in_rev_absorption_per_month))</f>
        <v/>
      </c>
      <c r="BW12" s="41">
        <f>IF(BW$4&lt;Sales_Start,0,IF(SUMPRODUCT((sp_start&lt;=BW$4)*(sp_end&gt;BW$4)*1)&gt;0,SUMPRODUCT((sp_start&lt;=BW$4)*(sp_end&gt;BW$4)*sp_rate)/SUMPRODUCT((sp_start&lt;=BW$4)*(sp_end&gt;BW$4)*1),in_rev_absorption_per_month))</f>
        <v/>
      </c>
      <c r="BX12" s="41">
        <f>IF(BX$4&lt;Sales_Start,0,IF(SUMPRODUCT((sp_start&lt;=BX$4)*(sp_end&gt;BX$4)*1)&gt;0,SUMPRODUCT((sp_start&lt;=BX$4)*(sp_end&gt;BX$4)*sp_rate)/SUMPRODUCT((sp_start&lt;=BX$4)*(sp_end&gt;BX$4)*1),in_rev_absorption_per_month))</f>
        <v/>
      </c>
      <c r="BY12" s="41">
        <f>IF(BY$4&lt;Sales_Start,0,IF(SUMPRODUCT((sp_start&lt;=BY$4)*(sp_end&gt;BY$4)*1)&gt;0,SUMPRODUCT((sp_start&lt;=BY$4)*(sp_end&gt;BY$4)*sp_rate)/SUMPRODUCT((sp_start&lt;=BY$4)*(sp_end&gt;BY$4)*1),in_rev_absorption_per_month))</f>
        <v/>
      </c>
      <c r="BZ12" s="41">
        <f>IF(BZ$4&lt;Sales_Start,0,IF(SUMPRODUCT((sp_start&lt;=BZ$4)*(sp_end&gt;BZ$4)*1)&gt;0,SUMPRODUCT((sp_start&lt;=BZ$4)*(sp_end&gt;BZ$4)*sp_rate)/SUMPRODUCT((sp_start&lt;=BZ$4)*(sp_end&gt;BZ$4)*1),in_rev_absorption_per_month))</f>
        <v/>
      </c>
      <c r="CA12" s="41">
        <f>IF(CA$4&lt;Sales_Start,0,IF(SUMPRODUCT((sp_start&lt;=CA$4)*(sp_end&gt;CA$4)*1)&gt;0,SUMPRODUCT((sp_start&lt;=CA$4)*(sp_end&gt;CA$4)*sp_rate)/SUMPRODUCT((sp_start&lt;=CA$4)*(sp_end&gt;CA$4)*1),in_rev_absorption_per_month))</f>
        <v/>
      </c>
      <c r="CB12" s="41">
        <f>IF(CB$4&lt;Sales_Start,0,IF(SUMPRODUCT((sp_start&lt;=CB$4)*(sp_end&gt;CB$4)*1)&gt;0,SUMPRODUCT((sp_start&lt;=CB$4)*(sp_end&gt;CB$4)*sp_rate)/SUMPRODUCT((sp_start&lt;=CB$4)*(sp_end&gt;CB$4)*1),in_rev_absorption_per_month))</f>
        <v/>
      </c>
      <c r="CC12" s="41">
        <f>IF(CC$4&lt;Sales_Start,0,IF(SUMPRODUCT((sp_start&lt;=CC$4)*(sp_end&gt;CC$4)*1)&gt;0,SUMPRODUCT((sp_start&lt;=CC$4)*(sp_end&gt;CC$4)*sp_rate)/SUMPRODUCT((sp_start&lt;=CC$4)*(sp_end&gt;CC$4)*1),in_rev_absorption_per_month))</f>
        <v/>
      </c>
      <c r="CD12" s="41">
        <f>IF(CD$4&lt;Sales_Start,0,IF(SUMPRODUCT((sp_start&lt;=CD$4)*(sp_end&gt;CD$4)*1)&gt;0,SUMPRODUCT((sp_start&lt;=CD$4)*(sp_end&gt;CD$4)*sp_rate)/SUMPRODUCT((sp_start&lt;=CD$4)*(sp_end&gt;CD$4)*1),in_rev_absorption_per_month))</f>
        <v/>
      </c>
      <c r="CE12" s="41">
        <f>IF(CE$4&lt;Sales_Start,0,IF(SUMPRODUCT((sp_start&lt;=CE$4)*(sp_end&gt;CE$4)*1)&gt;0,SUMPRODUCT((sp_start&lt;=CE$4)*(sp_end&gt;CE$4)*sp_rate)/SUMPRODUCT((sp_start&lt;=CE$4)*(sp_end&gt;CE$4)*1),in_rev_absorption_per_month))</f>
        <v/>
      </c>
      <c r="CF12" s="41">
        <f>IF(CF$4&lt;Sales_Start,0,IF(SUMPRODUCT((sp_start&lt;=CF$4)*(sp_end&gt;CF$4)*1)&gt;0,SUMPRODUCT((sp_start&lt;=CF$4)*(sp_end&gt;CF$4)*sp_rate)/SUMPRODUCT((sp_start&lt;=CF$4)*(sp_end&gt;CF$4)*1),in_rev_absorption_per_month))</f>
        <v/>
      </c>
      <c r="CG12" s="41">
        <f>IF(CG$4&lt;Sales_Start,0,IF(SUMPRODUCT((sp_start&lt;=CG$4)*(sp_end&gt;CG$4)*1)&gt;0,SUMPRODUCT((sp_start&lt;=CG$4)*(sp_end&gt;CG$4)*sp_rate)/SUMPRODUCT((sp_start&lt;=CG$4)*(sp_end&gt;CG$4)*1),in_rev_absorption_per_month))</f>
        <v/>
      </c>
      <c r="CH12" s="41">
        <f>IF(CH$4&lt;Sales_Start,0,IF(SUMPRODUCT((sp_start&lt;=CH$4)*(sp_end&gt;CH$4)*1)&gt;0,SUMPRODUCT((sp_start&lt;=CH$4)*(sp_end&gt;CH$4)*sp_rate)/SUMPRODUCT((sp_start&lt;=CH$4)*(sp_end&gt;CH$4)*1),in_rev_absorption_per_month))</f>
        <v/>
      </c>
      <c r="CI12" s="41">
        <f>IF(CI$4&lt;Sales_Start,0,IF(SUMPRODUCT((sp_start&lt;=CI$4)*(sp_end&gt;CI$4)*1)&gt;0,SUMPRODUCT((sp_start&lt;=CI$4)*(sp_end&gt;CI$4)*sp_rate)/SUMPRODUCT((sp_start&lt;=CI$4)*(sp_end&gt;CI$4)*1),in_rev_absorption_per_month))</f>
        <v/>
      </c>
      <c r="CJ12" s="41">
        <f>IF(CJ$4&lt;Sales_Start,0,IF(SUMPRODUCT((sp_start&lt;=CJ$4)*(sp_end&gt;CJ$4)*1)&gt;0,SUMPRODUCT((sp_start&lt;=CJ$4)*(sp_end&gt;CJ$4)*sp_rate)/SUMPRODUCT((sp_start&lt;=CJ$4)*(sp_end&gt;CJ$4)*1),in_rev_absorption_per_month))</f>
        <v/>
      </c>
      <c r="CK12" s="41">
        <f>IF(CK$4&lt;Sales_Start,0,IF(SUMPRODUCT((sp_start&lt;=CK$4)*(sp_end&gt;CK$4)*1)&gt;0,SUMPRODUCT((sp_start&lt;=CK$4)*(sp_end&gt;CK$4)*sp_rate)/SUMPRODUCT((sp_start&lt;=CK$4)*(sp_end&gt;CK$4)*1),in_rev_absorption_per_month))</f>
        <v/>
      </c>
      <c r="CL12" s="41">
        <f>IF(CL$4&lt;Sales_Start,0,IF(SUMPRODUCT((sp_start&lt;=CL$4)*(sp_end&gt;CL$4)*1)&gt;0,SUMPRODUCT((sp_start&lt;=CL$4)*(sp_end&gt;CL$4)*sp_rate)/SUMPRODUCT((sp_start&lt;=CL$4)*(sp_end&gt;CL$4)*1),in_rev_absorption_per_month))</f>
        <v/>
      </c>
      <c r="CM12" s="41">
        <f>IF(CM$4&lt;Sales_Start,0,IF(SUMPRODUCT((sp_start&lt;=CM$4)*(sp_end&gt;CM$4)*1)&gt;0,SUMPRODUCT((sp_start&lt;=CM$4)*(sp_end&gt;CM$4)*sp_rate)/SUMPRODUCT((sp_start&lt;=CM$4)*(sp_end&gt;CM$4)*1),in_rev_absorption_per_month))</f>
        <v/>
      </c>
      <c r="CN12" s="41">
        <f>IF(CN$4&lt;Sales_Start,0,IF(SUMPRODUCT((sp_start&lt;=CN$4)*(sp_end&gt;CN$4)*1)&gt;0,SUMPRODUCT((sp_start&lt;=CN$4)*(sp_end&gt;CN$4)*sp_rate)/SUMPRODUCT((sp_start&lt;=CN$4)*(sp_end&gt;CN$4)*1),in_rev_absorption_per_month))</f>
        <v/>
      </c>
      <c r="CO12" s="41">
        <f>IF(CO$4&lt;Sales_Start,0,IF(SUMPRODUCT((sp_start&lt;=CO$4)*(sp_end&gt;CO$4)*1)&gt;0,SUMPRODUCT((sp_start&lt;=CO$4)*(sp_end&gt;CO$4)*sp_rate)/SUMPRODUCT((sp_start&lt;=CO$4)*(sp_end&gt;CO$4)*1),in_rev_absorption_per_month))</f>
        <v/>
      </c>
      <c r="CP12" s="41">
        <f>IF(CP$4&lt;Sales_Start,0,IF(SUMPRODUCT((sp_start&lt;=CP$4)*(sp_end&gt;CP$4)*1)&gt;0,SUMPRODUCT((sp_start&lt;=CP$4)*(sp_end&gt;CP$4)*sp_rate)/SUMPRODUCT((sp_start&lt;=CP$4)*(sp_end&gt;CP$4)*1),in_rev_absorption_per_month))</f>
        <v/>
      </c>
      <c r="CQ12" s="41">
        <f>IF(CQ$4&lt;Sales_Start,0,IF(SUMPRODUCT((sp_start&lt;=CQ$4)*(sp_end&gt;CQ$4)*1)&gt;0,SUMPRODUCT((sp_start&lt;=CQ$4)*(sp_end&gt;CQ$4)*sp_rate)/SUMPRODUCT((sp_start&lt;=CQ$4)*(sp_end&gt;CQ$4)*1),in_rev_absorption_per_month))</f>
        <v/>
      </c>
      <c r="CR12" s="41">
        <f>IF(CR$4&lt;Sales_Start,0,IF(SUMPRODUCT((sp_start&lt;=CR$4)*(sp_end&gt;CR$4)*1)&gt;0,SUMPRODUCT((sp_start&lt;=CR$4)*(sp_end&gt;CR$4)*sp_rate)/SUMPRODUCT((sp_start&lt;=CR$4)*(sp_end&gt;CR$4)*1),in_rev_absorption_per_month))</f>
        <v/>
      </c>
      <c r="CS12" s="41">
        <f>IF(CS$4&lt;Sales_Start,0,IF(SUMPRODUCT((sp_start&lt;=CS$4)*(sp_end&gt;CS$4)*1)&gt;0,SUMPRODUCT((sp_start&lt;=CS$4)*(sp_end&gt;CS$4)*sp_rate)/SUMPRODUCT((sp_start&lt;=CS$4)*(sp_end&gt;CS$4)*1),in_rev_absorption_per_month))</f>
        <v/>
      </c>
      <c r="CT12" s="41">
        <f>IF(CT$4&lt;Sales_Start,0,IF(SUMPRODUCT((sp_start&lt;=CT$4)*(sp_end&gt;CT$4)*1)&gt;0,SUMPRODUCT((sp_start&lt;=CT$4)*(sp_end&gt;CT$4)*sp_rate)/SUMPRODUCT((sp_start&lt;=CT$4)*(sp_end&gt;CT$4)*1),in_rev_absorption_per_month))</f>
        <v/>
      </c>
      <c r="CU12" s="41">
        <f>IF(CU$4&lt;Sales_Start,0,IF(SUMPRODUCT((sp_start&lt;=CU$4)*(sp_end&gt;CU$4)*1)&gt;0,SUMPRODUCT((sp_start&lt;=CU$4)*(sp_end&gt;CU$4)*sp_rate)/SUMPRODUCT((sp_start&lt;=CU$4)*(sp_end&gt;CU$4)*1),in_rev_absorption_per_month))</f>
        <v/>
      </c>
    </row>
    <row r="13">
      <c r="A13" s="7" t="inlineStr">
        <is>
          <t>Units sold (net of cancellations)</t>
        </is>
      </c>
      <c r="B13" s="42">
        <f>SUM(D13:CU13)</f>
        <v/>
      </c>
      <c r="C13" s="11" t="inlineStr"/>
      <c r="D13" s="41">
        <f>IF(in_mode_sale=1,MIN(D12*(1-in_rev_cancellation_pct),S_Units),0)</f>
        <v/>
      </c>
      <c r="E13" s="41">
        <f>IF(in_mode_sale=1,MIN(E12*(1-in_rev_cancellation_pct),D14),0)</f>
        <v/>
      </c>
      <c r="F13" s="41">
        <f>IF(in_mode_sale=1,MIN(F12*(1-in_rev_cancellation_pct),E14),0)</f>
        <v/>
      </c>
      <c r="G13" s="41">
        <f>IF(in_mode_sale=1,MIN(G12*(1-in_rev_cancellation_pct),F14),0)</f>
        <v/>
      </c>
      <c r="H13" s="41">
        <f>IF(in_mode_sale=1,MIN(H12*(1-in_rev_cancellation_pct),G14),0)</f>
        <v/>
      </c>
      <c r="I13" s="41">
        <f>IF(in_mode_sale=1,MIN(I12*(1-in_rev_cancellation_pct),H14),0)</f>
        <v/>
      </c>
      <c r="J13" s="41">
        <f>IF(in_mode_sale=1,MIN(J12*(1-in_rev_cancellation_pct),I14),0)</f>
        <v/>
      </c>
      <c r="K13" s="41">
        <f>IF(in_mode_sale=1,MIN(K12*(1-in_rev_cancellation_pct),J14),0)</f>
        <v/>
      </c>
      <c r="L13" s="41">
        <f>IF(in_mode_sale=1,MIN(L12*(1-in_rev_cancellation_pct),K14),0)</f>
        <v/>
      </c>
      <c r="M13" s="41">
        <f>IF(in_mode_sale=1,MIN(M12*(1-in_rev_cancellation_pct),L14),0)</f>
        <v/>
      </c>
      <c r="N13" s="41">
        <f>IF(in_mode_sale=1,MIN(N12*(1-in_rev_cancellation_pct),M14),0)</f>
        <v/>
      </c>
      <c r="O13" s="41">
        <f>IF(in_mode_sale=1,MIN(O12*(1-in_rev_cancellation_pct),N14),0)</f>
        <v/>
      </c>
      <c r="P13" s="41">
        <f>IF(in_mode_sale=1,MIN(P12*(1-in_rev_cancellation_pct),O14),0)</f>
        <v/>
      </c>
      <c r="Q13" s="41">
        <f>IF(in_mode_sale=1,MIN(Q12*(1-in_rev_cancellation_pct),P14),0)</f>
        <v/>
      </c>
      <c r="R13" s="41">
        <f>IF(in_mode_sale=1,MIN(R12*(1-in_rev_cancellation_pct),Q14),0)</f>
        <v/>
      </c>
      <c r="S13" s="41">
        <f>IF(in_mode_sale=1,MIN(S12*(1-in_rev_cancellation_pct),R14),0)</f>
        <v/>
      </c>
      <c r="T13" s="41">
        <f>IF(in_mode_sale=1,MIN(T12*(1-in_rev_cancellation_pct),S14),0)</f>
        <v/>
      </c>
      <c r="U13" s="41">
        <f>IF(in_mode_sale=1,MIN(U12*(1-in_rev_cancellation_pct),T14),0)</f>
        <v/>
      </c>
      <c r="V13" s="41">
        <f>IF(in_mode_sale=1,MIN(V12*(1-in_rev_cancellation_pct),U14),0)</f>
        <v/>
      </c>
      <c r="W13" s="41">
        <f>IF(in_mode_sale=1,MIN(W12*(1-in_rev_cancellation_pct),V14),0)</f>
        <v/>
      </c>
      <c r="X13" s="41">
        <f>IF(in_mode_sale=1,MIN(X12*(1-in_rev_cancellation_pct),W14),0)</f>
        <v/>
      </c>
      <c r="Y13" s="41">
        <f>IF(in_mode_sale=1,MIN(Y12*(1-in_rev_cancellation_pct),X14),0)</f>
        <v/>
      </c>
      <c r="Z13" s="41">
        <f>IF(in_mode_sale=1,MIN(Z12*(1-in_rev_cancellation_pct),Y14),0)</f>
        <v/>
      </c>
      <c r="AA13" s="41">
        <f>IF(in_mode_sale=1,MIN(AA12*(1-in_rev_cancellation_pct),Z14),0)</f>
        <v/>
      </c>
      <c r="AB13" s="41">
        <f>IF(in_mode_sale=1,MIN(AB12*(1-in_rev_cancellation_pct),AA14),0)</f>
        <v/>
      </c>
      <c r="AC13" s="41">
        <f>IF(in_mode_sale=1,MIN(AC12*(1-in_rev_cancellation_pct),AB14),0)</f>
        <v/>
      </c>
      <c r="AD13" s="41">
        <f>IF(in_mode_sale=1,MIN(AD12*(1-in_rev_cancellation_pct),AC14),0)</f>
        <v/>
      </c>
      <c r="AE13" s="41">
        <f>IF(in_mode_sale=1,MIN(AE12*(1-in_rev_cancellation_pct),AD14),0)</f>
        <v/>
      </c>
      <c r="AF13" s="41">
        <f>IF(in_mode_sale=1,MIN(AF12*(1-in_rev_cancellation_pct),AE14),0)</f>
        <v/>
      </c>
      <c r="AG13" s="41">
        <f>IF(in_mode_sale=1,MIN(AG12*(1-in_rev_cancellation_pct),AF14),0)</f>
        <v/>
      </c>
      <c r="AH13" s="41">
        <f>IF(in_mode_sale=1,MIN(AH12*(1-in_rev_cancellation_pct),AG14),0)</f>
        <v/>
      </c>
      <c r="AI13" s="41">
        <f>IF(in_mode_sale=1,MIN(AI12*(1-in_rev_cancellation_pct),AH14),0)</f>
        <v/>
      </c>
      <c r="AJ13" s="41">
        <f>IF(in_mode_sale=1,MIN(AJ12*(1-in_rev_cancellation_pct),AI14),0)</f>
        <v/>
      </c>
      <c r="AK13" s="41">
        <f>IF(in_mode_sale=1,MIN(AK12*(1-in_rev_cancellation_pct),AJ14),0)</f>
        <v/>
      </c>
      <c r="AL13" s="41">
        <f>IF(in_mode_sale=1,MIN(AL12*(1-in_rev_cancellation_pct),AK14),0)</f>
        <v/>
      </c>
      <c r="AM13" s="41">
        <f>IF(in_mode_sale=1,MIN(AM12*(1-in_rev_cancellation_pct),AL14),0)</f>
        <v/>
      </c>
      <c r="AN13" s="41">
        <f>IF(in_mode_sale=1,MIN(AN12*(1-in_rev_cancellation_pct),AM14),0)</f>
        <v/>
      </c>
      <c r="AO13" s="41">
        <f>IF(in_mode_sale=1,MIN(AO12*(1-in_rev_cancellation_pct),AN14),0)</f>
        <v/>
      </c>
      <c r="AP13" s="41">
        <f>IF(in_mode_sale=1,MIN(AP12*(1-in_rev_cancellation_pct),AO14),0)</f>
        <v/>
      </c>
      <c r="AQ13" s="41">
        <f>IF(in_mode_sale=1,MIN(AQ12*(1-in_rev_cancellation_pct),AP14),0)</f>
        <v/>
      </c>
      <c r="AR13" s="41">
        <f>IF(in_mode_sale=1,MIN(AR12*(1-in_rev_cancellation_pct),AQ14),0)</f>
        <v/>
      </c>
      <c r="AS13" s="41">
        <f>IF(in_mode_sale=1,MIN(AS12*(1-in_rev_cancellation_pct),AR14),0)</f>
        <v/>
      </c>
      <c r="AT13" s="41">
        <f>IF(in_mode_sale=1,MIN(AT12*(1-in_rev_cancellation_pct),AS14),0)</f>
        <v/>
      </c>
      <c r="AU13" s="41">
        <f>IF(in_mode_sale=1,MIN(AU12*(1-in_rev_cancellation_pct),AT14),0)</f>
        <v/>
      </c>
      <c r="AV13" s="41">
        <f>IF(in_mode_sale=1,MIN(AV12*(1-in_rev_cancellation_pct),AU14),0)</f>
        <v/>
      </c>
      <c r="AW13" s="41">
        <f>IF(in_mode_sale=1,MIN(AW12*(1-in_rev_cancellation_pct),AV14),0)</f>
        <v/>
      </c>
      <c r="AX13" s="41">
        <f>IF(in_mode_sale=1,MIN(AX12*(1-in_rev_cancellation_pct),AW14),0)</f>
        <v/>
      </c>
      <c r="AY13" s="41">
        <f>IF(in_mode_sale=1,MIN(AY12*(1-in_rev_cancellation_pct),AX14),0)</f>
        <v/>
      </c>
      <c r="AZ13" s="41">
        <f>IF(in_mode_sale=1,MIN(AZ12*(1-in_rev_cancellation_pct),AY14),0)</f>
        <v/>
      </c>
      <c r="BA13" s="41">
        <f>IF(in_mode_sale=1,MIN(BA12*(1-in_rev_cancellation_pct),AZ14),0)</f>
        <v/>
      </c>
      <c r="BB13" s="41">
        <f>IF(in_mode_sale=1,MIN(BB12*(1-in_rev_cancellation_pct),BA14),0)</f>
        <v/>
      </c>
      <c r="BC13" s="41">
        <f>IF(in_mode_sale=1,MIN(BC12*(1-in_rev_cancellation_pct),BB14),0)</f>
        <v/>
      </c>
      <c r="BD13" s="41">
        <f>IF(in_mode_sale=1,MIN(BD12*(1-in_rev_cancellation_pct),BC14),0)</f>
        <v/>
      </c>
      <c r="BE13" s="41">
        <f>IF(in_mode_sale=1,MIN(BE12*(1-in_rev_cancellation_pct),BD14),0)</f>
        <v/>
      </c>
      <c r="BF13" s="41">
        <f>IF(in_mode_sale=1,MIN(BF12*(1-in_rev_cancellation_pct),BE14),0)</f>
        <v/>
      </c>
      <c r="BG13" s="41">
        <f>IF(in_mode_sale=1,MIN(BG12*(1-in_rev_cancellation_pct),BF14),0)</f>
        <v/>
      </c>
      <c r="BH13" s="41">
        <f>IF(in_mode_sale=1,MIN(BH12*(1-in_rev_cancellation_pct),BG14),0)</f>
        <v/>
      </c>
      <c r="BI13" s="41">
        <f>IF(in_mode_sale=1,MIN(BI12*(1-in_rev_cancellation_pct),BH14),0)</f>
        <v/>
      </c>
      <c r="BJ13" s="41">
        <f>IF(in_mode_sale=1,MIN(BJ12*(1-in_rev_cancellation_pct),BI14),0)</f>
        <v/>
      </c>
      <c r="BK13" s="41">
        <f>IF(in_mode_sale=1,MIN(BK12*(1-in_rev_cancellation_pct),BJ14),0)</f>
        <v/>
      </c>
      <c r="BL13" s="41">
        <f>IF(in_mode_sale=1,MIN(BL12*(1-in_rev_cancellation_pct),BK14),0)</f>
        <v/>
      </c>
      <c r="BM13" s="41">
        <f>IF(in_mode_sale=1,MIN(BM12*(1-in_rev_cancellation_pct),BL14),0)</f>
        <v/>
      </c>
      <c r="BN13" s="41">
        <f>IF(in_mode_sale=1,MIN(BN12*(1-in_rev_cancellation_pct),BM14),0)</f>
        <v/>
      </c>
      <c r="BO13" s="41">
        <f>IF(in_mode_sale=1,MIN(BO12*(1-in_rev_cancellation_pct),BN14),0)</f>
        <v/>
      </c>
      <c r="BP13" s="41">
        <f>IF(in_mode_sale=1,MIN(BP12*(1-in_rev_cancellation_pct),BO14),0)</f>
        <v/>
      </c>
      <c r="BQ13" s="41">
        <f>IF(in_mode_sale=1,MIN(BQ12*(1-in_rev_cancellation_pct),BP14),0)</f>
        <v/>
      </c>
      <c r="BR13" s="41">
        <f>IF(in_mode_sale=1,MIN(BR12*(1-in_rev_cancellation_pct),BQ14),0)</f>
        <v/>
      </c>
      <c r="BS13" s="41">
        <f>IF(in_mode_sale=1,MIN(BS12*(1-in_rev_cancellation_pct),BR14),0)</f>
        <v/>
      </c>
      <c r="BT13" s="41">
        <f>IF(in_mode_sale=1,MIN(BT12*(1-in_rev_cancellation_pct),BS14),0)</f>
        <v/>
      </c>
      <c r="BU13" s="41">
        <f>IF(in_mode_sale=1,MIN(BU12*(1-in_rev_cancellation_pct),BT14),0)</f>
        <v/>
      </c>
      <c r="BV13" s="41">
        <f>IF(in_mode_sale=1,MIN(BV12*(1-in_rev_cancellation_pct),BU14),0)</f>
        <v/>
      </c>
      <c r="BW13" s="41">
        <f>IF(in_mode_sale=1,MIN(BW12*(1-in_rev_cancellation_pct),BV14),0)</f>
        <v/>
      </c>
      <c r="BX13" s="41">
        <f>IF(in_mode_sale=1,MIN(BX12*(1-in_rev_cancellation_pct),BW14),0)</f>
        <v/>
      </c>
      <c r="BY13" s="41">
        <f>IF(in_mode_sale=1,MIN(BY12*(1-in_rev_cancellation_pct),BX14),0)</f>
        <v/>
      </c>
      <c r="BZ13" s="41">
        <f>IF(in_mode_sale=1,MIN(BZ12*(1-in_rev_cancellation_pct),BY14),0)</f>
        <v/>
      </c>
      <c r="CA13" s="41">
        <f>IF(in_mode_sale=1,MIN(CA12*(1-in_rev_cancellation_pct),BZ14),0)</f>
        <v/>
      </c>
      <c r="CB13" s="41">
        <f>IF(in_mode_sale=1,MIN(CB12*(1-in_rev_cancellation_pct),CA14),0)</f>
        <v/>
      </c>
      <c r="CC13" s="41">
        <f>IF(in_mode_sale=1,MIN(CC12*(1-in_rev_cancellation_pct),CB14),0)</f>
        <v/>
      </c>
      <c r="CD13" s="41">
        <f>IF(in_mode_sale=1,MIN(CD12*(1-in_rev_cancellation_pct),CC14),0)</f>
        <v/>
      </c>
      <c r="CE13" s="41">
        <f>IF(in_mode_sale=1,MIN(CE12*(1-in_rev_cancellation_pct),CD14),0)</f>
        <v/>
      </c>
      <c r="CF13" s="41">
        <f>IF(in_mode_sale=1,MIN(CF12*(1-in_rev_cancellation_pct),CE14),0)</f>
        <v/>
      </c>
      <c r="CG13" s="41">
        <f>IF(in_mode_sale=1,MIN(CG12*(1-in_rev_cancellation_pct),CF14),0)</f>
        <v/>
      </c>
      <c r="CH13" s="41">
        <f>IF(in_mode_sale=1,MIN(CH12*(1-in_rev_cancellation_pct),CG14),0)</f>
        <v/>
      </c>
      <c r="CI13" s="41">
        <f>IF(in_mode_sale=1,MIN(CI12*(1-in_rev_cancellation_pct),CH14),0)</f>
        <v/>
      </c>
      <c r="CJ13" s="41">
        <f>IF(in_mode_sale=1,MIN(CJ12*(1-in_rev_cancellation_pct),CI14),0)</f>
        <v/>
      </c>
      <c r="CK13" s="41">
        <f>IF(in_mode_sale=1,MIN(CK12*(1-in_rev_cancellation_pct),CJ14),0)</f>
        <v/>
      </c>
      <c r="CL13" s="41">
        <f>IF(in_mode_sale=1,MIN(CL12*(1-in_rev_cancellation_pct),CK14),0)</f>
        <v/>
      </c>
      <c r="CM13" s="41">
        <f>IF(in_mode_sale=1,MIN(CM12*(1-in_rev_cancellation_pct),CL14),0)</f>
        <v/>
      </c>
      <c r="CN13" s="41">
        <f>IF(in_mode_sale=1,MIN(CN12*(1-in_rev_cancellation_pct),CM14),0)</f>
        <v/>
      </c>
      <c r="CO13" s="41">
        <f>IF(in_mode_sale=1,MIN(CO12*(1-in_rev_cancellation_pct),CN14),0)</f>
        <v/>
      </c>
      <c r="CP13" s="41">
        <f>IF(in_mode_sale=1,MIN(CP12*(1-in_rev_cancellation_pct),CO14),0)</f>
        <v/>
      </c>
      <c r="CQ13" s="41">
        <f>IF(in_mode_sale=1,MIN(CQ12*(1-in_rev_cancellation_pct),CP14),0)</f>
        <v/>
      </c>
      <c r="CR13" s="41">
        <f>IF(in_mode_sale=1,MIN(CR12*(1-in_rev_cancellation_pct),CQ14),0)</f>
        <v/>
      </c>
      <c r="CS13" s="41">
        <f>IF(in_mode_sale=1,MIN(CS12*(1-in_rev_cancellation_pct),CR14),0)</f>
        <v/>
      </c>
      <c r="CT13" s="41">
        <f>IF(in_mode_sale=1,MIN(CT12*(1-in_rev_cancellation_pct),CS14),0)</f>
        <v/>
      </c>
      <c r="CU13" s="41">
        <f>IF(in_mode_sale=1,MIN(CU12*(1-in_rev_cancellation_pct),CT14),0)</f>
        <v/>
      </c>
    </row>
    <row r="14">
      <c r="A14" s="7" t="inlineStr">
        <is>
          <t>Units remaining (end of month)</t>
        </is>
      </c>
      <c r="B14" s="1" t="n"/>
      <c r="C14" s="11" t="inlineStr"/>
      <c r="D14" s="41">
        <f>S_Units-D13</f>
        <v/>
      </c>
      <c r="E14" s="41">
        <f>D14-E13</f>
        <v/>
      </c>
      <c r="F14" s="41">
        <f>E14-F13</f>
        <v/>
      </c>
      <c r="G14" s="41">
        <f>F14-G13</f>
        <v/>
      </c>
      <c r="H14" s="41">
        <f>G14-H13</f>
        <v/>
      </c>
      <c r="I14" s="41">
        <f>H14-I13</f>
        <v/>
      </c>
      <c r="J14" s="41">
        <f>I14-J13</f>
        <v/>
      </c>
      <c r="K14" s="41">
        <f>J14-K13</f>
        <v/>
      </c>
      <c r="L14" s="41">
        <f>K14-L13</f>
        <v/>
      </c>
      <c r="M14" s="41">
        <f>L14-M13</f>
        <v/>
      </c>
      <c r="N14" s="41">
        <f>M14-N13</f>
        <v/>
      </c>
      <c r="O14" s="41">
        <f>N14-O13</f>
        <v/>
      </c>
      <c r="P14" s="41">
        <f>O14-P13</f>
        <v/>
      </c>
      <c r="Q14" s="41">
        <f>P14-Q13</f>
        <v/>
      </c>
      <c r="R14" s="41">
        <f>Q14-R13</f>
        <v/>
      </c>
      <c r="S14" s="41">
        <f>R14-S13</f>
        <v/>
      </c>
      <c r="T14" s="41">
        <f>S14-T13</f>
        <v/>
      </c>
      <c r="U14" s="41">
        <f>T14-U13</f>
        <v/>
      </c>
      <c r="V14" s="41">
        <f>U14-V13</f>
        <v/>
      </c>
      <c r="W14" s="41">
        <f>V14-W13</f>
        <v/>
      </c>
      <c r="X14" s="41">
        <f>W14-X13</f>
        <v/>
      </c>
      <c r="Y14" s="41">
        <f>X14-Y13</f>
        <v/>
      </c>
      <c r="Z14" s="41">
        <f>Y14-Z13</f>
        <v/>
      </c>
      <c r="AA14" s="41">
        <f>Z14-AA13</f>
        <v/>
      </c>
      <c r="AB14" s="41">
        <f>AA14-AB13</f>
        <v/>
      </c>
      <c r="AC14" s="41">
        <f>AB14-AC13</f>
        <v/>
      </c>
      <c r="AD14" s="41">
        <f>AC14-AD13</f>
        <v/>
      </c>
      <c r="AE14" s="41">
        <f>AD14-AE13</f>
        <v/>
      </c>
      <c r="AF14" s="41">
        <f>AE14-AF13</f>
        <v/>
      </c>
      <c r="AG14" s="41">
        <f>AF14-AG13</f>
        <v/>
      </c>
      <c r="AH14" s="41">
        <f>AG14-AH13</f>
        <v/>
      </c>
      <c r="AI14" s="41">
        <f>AH14-AI13</f>
        <v/>
      </c>
      <c r="AJ14" s="41">
        <f>AI14-AJ13</f>
        <v/>
      </c>
      <c r="AK14" s="41">
        <f>AJ14-AK13</f>
        <v/>
      </c>
      <c r="AL14" s="41">
        <f>AK14-AL13</f>
        <v/>
      </c>
      <c r="AM14" s="41">
        <f>AL14-AM13</f>
        <v/>
      </c>
      <c r="AN14" s="41">
        <f>AM14-AN13</f>
        <v/>
      </c>
      <c r="AO14" s="41">
        <f>AN14-AO13</f>
        <v/>
      </c>
      <c r="AP14" s="41">
        <f>AO14-AP13</f>
        <v/>
      </c>
      <c r="AQ14" s="41">
        <f>AP14-AQ13</f>
        <v/>
      </c>
      <c r="AR14" s="41">
        <f>AQ14-AR13</f>
        <v/>
      </c>
      <c r="AS14" s="41">
        <f>AR14-AS13</f>
        <v/>
      </c>
      <c r="AT14" s="41">
        <f>AS14-AT13</f>
        <v/>
      </c>
      <c r="AU14" s="41">
        <f>AT14-AU13</f>
        <v/>
      </c>
      <c r="AV14" s="41">
        <f>AU14-AV13</f>
        <v/>
      </c>
      <c r="AW14" s="41">
        <f>AV14-AW13</f>
        <v/>
      </c>
      <c r="AX14" s="41">
        <f>AW14-AX13</f>
        <v/>
      </c>
      <c r="AY14" s="41">
        <f>AX14-AY13</f>
        <v/>
      </c>
      <c r="AZ14" s="41">
        <f>AY14-AZ13</f>
        <v/>
      </c>
      <c r="BA14" s="41">
        <f>AZ14-BA13</f>
        <v/>
      </c>
      <c r="BB14" s="41">
        <f>BA14-BB13</f>
        <v/>
      </c>
      <c r="BC14" s="41">
        <f>BB14-BC13</f>
        <v/>
      </c>
      <c r="BD14" s="41">
        <f>BC14-BD13</f>
        <v/>
      </c>
      <c r="BE14" s="41">
        <f>BD14-BE13</f>
        <v/>
      </c>
      <c r="BF14" s="41">
        <f>BE14-BF13</f>
        <v/>
      </c>
      <c r="BG14" s="41">
        <f>BF14-BG13</f>
        <v/>
      </c>
      <c r="BH14" s="41">
        <f>BG14-BH13</f>
        <v/>
      </c>
      <c r="BI14" s="41">
        <f>BH14-BI13</f>
        <v/>
      </c>
      <c r="BJ14" s="41">
        <f>BI14-BJ13</f>
        <v/>
      </c>
      <c r="BK14" s="41">
        <f>BJ14-BK13</f>
        <v/>
      </c>
      <c r="BL14" s="41">
        <f>BK14-BL13</f>
        <v/>
      </c>
      <c r="BM14" s="41">
        <f>BL14-BM13</f>
        <v/>
      </c>
      <c r="BN14" s="41">
        <f>BM14-BN13</f>
        <v/>
      </c>
      <c r="BO14" s="41">
        <f>BN14-BO13</f>
        <v/>
      </c>
      <c r="BP14" s="41">
        <f>BO14-BP13</f>
        <v/>
      </c>
      <c r="BQ14" s="41">
        <f>BP14-BQ13</f>
        <v/>
      </c>
      <c r="BR14" s="41">
        <f>BQ14-BR13</f>
        <v/>
      </c>
      <c r="BS14" s="41">
        <f>BR14-BS13</f>
        <v/>
      </c>
      <c r="BT14" s="41">
        <f>BS14-BT13</f>
        <v/>
      </c>
      <c r="BU14" s="41">
        <f>BT14-BU13</f>
        <v/>
      </c>
      <c r="BV14" s="41">
        <f>BU14-BV13</f>
        <v/>
      </c>
      <c r="BW14" s="41">
        <f>BV14-BW13</f>
        <v/>
      </c>
      <c r="BX14" s="41">
        <f>BW14-BX13</f>
        <v/>
      </c>
      <c r="BY14" s="41">
        <f>BX14-BY13</f>
        <v/>
      </c>
      <c r="BZ14" s="41">
        <f>BY14-BZ13</f>
        <v/>
      </c>
      <c r="CA14" s="41">
        <f>BZ14-CA13</f>
        <v/>
      </c>
      <c r="CB14" s="41">
        <f>CA14-CB13</f>
        <v/>
      </c>
      <c r="CC14" s="41">
        <f>CB14-CC13</f>
        <v/>
      </c>
      <c r="CD14" s="41">
        <f>CC14-CD13</f>
        <v/>
      </c>
      <c r="CE14" s="41">
        <f>CD14-CE13</f>
        <v/>
      </c>
      <c r="CF14" s="41">
        <f>CE14-CF13</f>
        <v/>
      </c>
      <c r="CG14" s="41">
        <f>CF14-CG13</f>
        <v/>
      </c>
      <c r="CH14" s="41">
        <f>CG14-CH13</f>
        <v/>
      </c>
      <c r="CI14" s="41">
        <f>CH14-CI13</f>
        <v/>
      </c>
      <c r="CJ14" s="41">
        <f>CI14-CJ13</f>
        <v/>
      </c>
      <c r="CK14" s="41">
        <f>CJ14-CK13</f>
        <v/>
      </c>
      <c r="CL14" s="41">
        <f>CK14-CL13</f>
        <v/>
      </c>
      <c r="CM14" s="41">
        <f>CL14-CM13</f>
        <v/>
      </c>
      <c r="CN14" s="41">
        <f>CM14-CN13</f>
        <v/>
      </c>
      <c r="CO14" s="41">
        <f>CN14-CO13</f>
        <v/>
      </c>
      <c r="CP14" s="41">
        <f>CO14-CP13</f>
        <v/>
      </c>
      <c r="CQ14" s="41">
        <f>CP14-CQ13</f>
        <v/>
      </c>
      <c r="CR14" s="41">
        <f>CQ14-CR13</f>
        <v/>
      </c>
      <c r="CS14" s="41">
        <f>CR14-CS13</f>
        <v/>
      </c>
      <c r="CT14" s="41">
        <f>CS14-CT13</f>
        <v/>
      </c>
      <c r="CU14" s="41">
        <f>CT14-CU13</f>
        <v/>
      </c>
    </row>
    <row r="15">
      <c r="A15" s="7" t="inlineStr">
        <is>
          <t>Cumulative units sold</t>
        </is>
      </c>
      <c r="B15" s="1" t="n"/>
      <c r="C15" s="11" t="inlineStr"/>
      <c r="D15" s="41">
        <f>S_Units-D14</f>
        <v/>
      </c>
      <c r="E15" s="41">
        <f>S_Units-E14</f>
        <v/>
      </c>
      <c r="F15" s="41">
        <f>S_Units-F14</f>
        <v/>
      </c>
      <c r="G15" s="41">
        <f>S_Units-G14</f>
        <v/>
      </c>
      <c r="H15" s="41">
        <f>S_Units-H14</f>
        <v/>
      </c>
      <c r="I15" s="41">
        <f>S_Units-I14</f>
        <v/>
      </c>
      <c r="J15" s="41">
        <f>S_Units-J14</f>
        <v/>
      </c>
      <c r="K15" s="41">
        <f>S_Units-K14</f>
        <v/>
      </c>
      <c r="L15" s="41">
        <f>S_Units-L14</f>
        <v/>
      </c>
      <c r="M15" s="41">
        <f>S_Units-M14</f>
        <v/>
      </c>
      <c r="N15" s="41">
        <f>S_Units-N14</f>
        <v/>
      </c>
      <c r="O15" s="41">
        <f>S_Units-O14</f>
        <v/>
      </c>
      <c r="P15" s="41">
        <f>S_Units-P14</f>
        <v/>
      </c>
      <c r="Q15" s="41">
        <f>S_Units-Q14</f>
        <v/>
      </c>
      <c r="R15" s="41">
        <f>S_Units-R14</f>
        <v/>
      </c>
      <c r="S15" s="41">
        <f>S_Units-S14</f>
        <v/>
      </c>
      <c r="T15" s="41">
        <f>S_Units-T14</f>
        <v/>
      </c>
      <c r="U15" s="41">
        <f>S_Units-U14</f>
        <v/>
      </c>
      <c r="V15" s="41">
        <f>S_Units-V14</f>
        <v/>
      </c>
      <c r="W15" s="41">
        <f>S_Units-W14</f>
        <v/>
      </c>
      <c r="X15" s="41">
        <f>S_Units-X14</f>
        <v/>
      </c>
      <c r="Y15" s="41">
        <f>S_Units-Y14</f>
        <v/>
      </c>
      <c r="Z15" s="41">
        <f>S_Units-Z14</f>
        <v/>
      </c>
      <c r="AA15" s="41">
        <f>S_Units-AA14</f>
        <v/>
      </c>
      <c r="AB15" s="41">
        <f>S_Units-AB14</f>
        <v/>
      </c>
      <c r="AC15" s="41">
        <f>S_Units-AC14</f>
        <v/>
      </c>
      <c r="AD15" s="41">
        <f>S_Units-AD14</f>
        <v/>
      </c>
      <c r="AE15" s="41">
        <f>S_Units-AE14</f>
        <v/>
      </c>
      <c r="AF15" s="41">
        <f>S_Units-AF14</f>
        <v/>
      </c>
      <c r="AG15" s="41">
        <f>S_Units-AG14</f>
        <v/>
      </c>
      <c r="AH15" s="41">
        <f>S_Units-AH14</f>
        <v/>
      </c>
      <c r="AI15" s="41">
        <f>S_Units-AI14</f>
        <v/>
      </c>
      <c r="AJ15" s="41">
        <f>S_Units-AJ14</f>
        <v/>
      </c>
      <c r="AK15" s="41">
        <f>S_Units-AK14</f>
        <v/>
      </c>
      <c r="AL15" s="41">
        <f>S_Units-AL14</f>
        <v/>
      </c>
      <c r="AM15" s="41">
        <f>S_Units-AM14</f>
        <v/>
      </c>
      <c r="AN15" s="41">
        <f>S_Units-AN14</f>
        <v/>
      </c>
      <c r="AO15" s="41">
        <f>S_Units-AO14</f>
        <v/>
      </c>
      <c r="AP15" s="41">
        <f>S_Units-AP14</f>
        <v/>
      </c>
      <c r="AQ15" s="41">
        <f>S_Units-AQ14</f>
        <v/>
      </c>
      <c r="AR15" s="41">
        <f>S_Units-AR14</f>
        <v/>
      </c>
      <c r="AS15" s="41">
        <f>S_Units-AS14</f>
        <v/>
      </c>
      <c r="AT15" s="41">
        <f>S_Units-AT14</f>
        <v/>
      </c>
      <c r="AU15" s="41">
        <f>S_Units-AU14</f>
        <v/>
      </c>
      <c r="AV15" s="41">
        <f>S_Units-AV14</f>
        <v/>
      </c>
      <c r="AW15" s="41">
        <f>S_Units-AW14</f>
        <v/>
      </c>
      <c r="AX15" s="41">
        <f>S_Units-AX14</f>
        <v/>
      </c>
      <c r="AY15" s="41">
        <f>S_Units-AY14</f>
        <v/>
      </c>
      <c r="AZ15" s="41">
        <f>S_Units-AZ14</f>
        <v/>
      </c>
      <c r="BA15" s="41">
        <f>S_Units-BA14</f>
        <v/>
      </c>
      <c r="BB15" s="41">
        <f>S_Units-BB14</f>
        <v/>
      </c>
      <c r="BC15" s="41">
        <f>S_Units-BC14</f>
        <v/>
      </c>
      <c r="BD15" s="41">
        <f>S_Units-BD14</f>
        <v/>
      </c>
      <c r="BE15" s="41">
        <f>S_Units-BE14</f>
        <v/>
      </c>
      <c r="BF15" s="41">
        <f>S_Units-BF14</f>
        <v/>
      </c>
      <c r="BG15" s="41">
        <f>S_Units-BG14</f>
        <v/>
      </c>
      <c r="BH15" s="41">
        <f>S_Units-BH14</f>
        <v/>
      </c>
      <c r="BI15" s="41">
        <f>S_Units-BI14</f>
        <v/>
      </c>
      <c r="BJ15" s="41">
        <f>S_Units-BJ14</f>
        <v/>
      </c>
      <c r="BK15" s="41">
        <f>S_Units-BK14</f>
        <v/>
      </c>
      <c r="BL15" s="41">
        <f>S_Units-BL14</f>
        <v/>
      </c>
      <c r="BM15" s="41">
        <f>S_Units-BM14</f>
        <v/>
      </c>
      <c r="BN15" s="41">
        <f>S_Units-BN14</f>
        <v/>
      </c>
      <c r="BO15" s="41">
        <f>S_Units-BO14</f>
        <v/>
      </c>
      <c r="BP15" s="41">
        <f>S_Units-BP14</f>
        <v/>
      </c>
      <c r="BQ15" s="41">
        <f>S_Units-BQ14</f>
        <v/>
      </c>
      <c r="BR15" s="41">
        <f>S_Units-BR14</f>
        <v/>
      </c>
      <c r="BS15" s="41">
        <f>S_Units-BS14</f>
        <v/>
      </c>
      <c r="BT15" s="41">
        <f>S_Units-BT14</f>
        <v/>
      </c>
      <c r="BU15" s="41">
        <f>S_Units-BU14</f>
        <v/>
      </c>
      <c r="BV15" s="41">
        <f>S_Units-BV14</f>
        <v/>
      </c>
      <c r="BW15" s="41">
        <f>S_Units-BW14</f>
        <v/>
      </c>
      <c r="BX15" s="41">
        <f>S_Units-BX14</f>
        <v/>
      </c>
      <c r="BY15" s="41">
        <f>S_Units-BY14</f>
        <v/>
      </c>
      <c r="BZ15" s="41">
        <f>S_Units-BZ14</f>
        <v/>
      </c>
      <c r="CA15" s="41">
        <f>S_Units-CA14</f>
        <v/>
      </c>
      <c r="CB15" s="41">
        <f>S_Units-CB14</f>
        <v/>
      </c>
      <c r="CC15" s="41">
        <f>S_Units-CC14</f>
        <v/>
      </c>
      <c r="CD15" s="41">
        <f>S_Units-CD14</f>
        <v/>
      </c>
      <c r="CE15" s="41">
        <f>S_Units-CE14</f>
        <v/>
      </c>
      <c r="CF15" s="41">
        <f>S_Units-CF14</f>
        <v/>
      </c>
      <c r="CG15" s="41">
        <f>S_Units-CG14</f>
        <v/>
      </c>
      <c r="CH15" s="41">
        <f>S_Units-CH14</f>
        <v/>
      </c>
      <c r="CI15" s="41">
        <f>S_Units-CI14</f>
        <v/>
      </c>
      <c r="CJ15" s="41">
        <f>S_Units-CJ14</f>
        <v/>
      </c>
      <c r="CK15" s="41">
        <f>S_Units-CK14</f>
        <v/>
      </c>
      <c r="CL15" s="41">
        <f>S_Units-CL14</f>
        <v/>
      </c>
      <c r="CM15" s="41">
        <f>S_Units-CM14</f>
        <v/>
      </c>
      <c r="CN15" s="41">
        <f>S_Units-CN14</f>
        <v/>
      </c>
      <c r="CO15" s="41">
        <f>S_Units-CO14</f>
        <v/>
      </c>
      <c r="CP15" s="41">
        <f>S_Units-CP14</f>
        <v/>
      </c>
      <c r="CQ15" s="41">
        <f>S_Units-CQ14</f>
        <v/>
      </c>
      <c r="CR15" s="41">
        <f>S_Units-CR14</f>
        <v/>
      </c>
      <c r="CS15" s="41">
        <f>S_Units-CS14</f>
        <v/>
      </c>
      <c r="CT15" s="41">
        <f>S_Units-CT14</f>
        <v/>
      </c>
      <c r="CU15" s="41">
        <f>S_Units-CU14</f>
        <v/>
      </c>
    </row>
    <row r="16">
      <c r="A16" s="7" t="inlineStr">
        <is>
          <t>Price phase multiplier</t>
        </is>
      </c>
      <c r="B16" s="1" t="n"/>
      <c r="C16" s="11" t="inlineStr"/>
      <c r="D16" s="36">
        <f>EXP(SUMPRODUCT((pp_start&lt;=D$4)*(pp_end&gt;D$4)*LN(1+pp_pct)))</f>
        <v/>
      </c>
      <c r="E16" s="36">
        <f>EXP(SUMPRODUCT((pp_start&lt;=E$4)*(pp_end&gt;E$4)*LN(1+pp_pct)))</f>
        <v/>
      </c>
      <c r="F16" s="36">
        <f>EXP(SUMPRODUCT((pp_start&lt;=F$4)*(pp_end&gt;F$4)*LN(1+pp_pct)))</f>
        <v/>
      </c>
      <c r="G16" s="36">
        <f>EXP(SUMPRODUCT((pp_start&lt;=G$4)*(pp_end&gt;G$4)*LN(1+pp_pct)))</f>
        <v/>
      </c>
      <c r="H16" s="36">
        <f>EXP(SUMPRODUCT((pp_start&lt;=H$4)*(pp_end&gt;H$4)*LN(1+pp_pct)))</f>
        <v/>
      </c>
      <c r="I16" s="36">
        <f>EXP(SUMPRODUCT((pp_start&lt;=I$4)*(pp_end&gt;I$4)*LN(1+pp_pct)))</f>
        <v/>
      </c>
      <c r="J16" s="36">
        <f>EXP(SUMPRODUCT((pp_start&lt;=J$4)*(pp_end&gt;J$4)*LN(1+pp_pct)))</f>
        <v/>
      </c>
      <c r="K16" s="36">
        <f>EXP(SUMPRODUCT((pp_start&lt;=K$4)*(pp_end&gt;K$4)*LN(1+pp_pct)))</f>
        <v/>
      </c>
      <c r="L16" s="36">
        <f>EXP(SUMPRODUCT((pp_start&lt;=L$4)*(pp_end&gt;L$4)*LN(1+pp_pct)))</f>
        <v/>
      </c>
      <c r="M16" s="36">
        <f>EXP(SUMPRODUCT((pp_start&lt;=M$4)*(pp_end&gt;M$4)*LN(1+pp_pct)))</f>
        <v/>
      </c>
      <c r="N16" s="36">
        <f>EXP(SUMPRODUCT((pp_start&lt;=N$4)*(pp_end&gt;N$4)*LN(1+pp_pct)))</f>
        <v/>
      </c>
      <c r="O16" s="36">
        <f>EXP(SUMPRODUCT((pp_start&lt;=O$4)*(pp_end&gt;O$4)*LN(1+pp_pct)))</f>
        <v/>
      </c>
      <c r="P16" s="36">
        <f>EXP(SUMPRODUCT((pp_start&lt;=P$4)*(pp_end&gt;P$4)*LN(1+pp_pct)))</f>
        <v/>
      </c>
      <c r="Q16" s="36">
        <f>EXP(SUMPRODUCT((pp_start&lt;=Q$4)*(pp_end&gt;Q$4)*LN(1+pp_pct)))</f>
        <v/>
      </c>
      <c r="R16" s="36">
        <f>EXP(SUMPRODUCT((pp_start&lt;=R$4)*(pp_end&gt;R$4)*LN(1+pp_pct)))</f>
        <v/>
      </c>
      <c r="S16" s="36">
        <f>EXP(SUMPRODUCT((pp_start&lt;=S$4)*(pp_end&gt;S$4)*LN(1+pp_pct)))</f>
        <v/>
      </c>
      <c r="T16" s="36">
        <f>EXP(SUMPRODUCT((pp_start&lt;=T$4)*(pp_end&gt;T$4)*LN(1+pp_pct)))</f>
        <v/>
      </c>
      <c r="U16" s="36">
        <f>EXP(SUMPRODUCT((pp_start&lt;=U$4)*(pp_end&gt;U$4)*LN(1+pp_pct)))</f>
        <v/>
      </c>
      <c r="V16" s="36">
        <f>EXP(SUMPRODUCT((pp_start&lt;=V$4)*(pp_end&gt;V$4)*LN(1+pp_pct)))</f>
        <v/>
      </c>
      <c r="W16" s="36">
        <f>EXP(SUMPRODUCT((pp_start&lt;=W$4)*(pp_end&gt;W$4)*LN(1+pp_pct)))</f>
        <v/>
      </c>
      <c r="X16" s="36">
        <f>EXP(SUMPRODUCT((pp_start&lt;=X$4)*(pp_end&gt;X$4)*LN(1+pp_pct)))</f>
        <v/>
      </c>
      <c r="Y16" s="36">
        <f>EXP(SUMPRODUCT((pp_start&lt;=Y$4)*(pp_end&gt;Y$4)*LN(1+pp_pct)))</f>
        <v/>
      </c>
      <c r="Z16" s="36">
        <f>EXP(SUMPRODUCT((pp_start&lt;=Z$4)*(pp_end&gt;Z$4)*LN(1+pp_pct)))</f>
        <v/>
      </c>
      <c r="AA16" s="36">
        <f>EXP(SUMPRODUCT((pp_start&lt;=AA$4)*(pp_end&gt;AA$4)*LN(1+pp_pct)))</f>
        <v/>
      </c>
      <c r="AB16" s="36">
        <f>EXP(SUMPRODUCT((pp_start&lt;=AB$4)*(pp_end&gt;AB$4)*LN(1+pp_pct)))</f>
        <v/>
      </c>
      <c r="AC16" s="36">
        <f>EXP(SUMPRODUCT((pp_start&lt;=AC$4)*(pp_end&gt;AC$4)*LN(1+pp_pct)))</f>
        <v/>
      </c>
      <c r="AD16" s="36">
        <f>EXP(SUMPRODUCT((pp_start&lt;=AD$4)*(pp_end&gt;AD$4)*LN(1+pp_pct)))</f>
        <v/>
      </c>
      <c r="AE16" s="36">
        <f>EXP(SUMPRODUCT((pp_start&lt;=AE$4)*(pp_end&gt;AE$4)*LN(1+pp_pct)))</f>
        <v/>
      </c>
      <c r="AF16" s="36">
        <f>EXP(SUMPRODUCT((pp_start&lt;=AF$4)*(pp_end&gt;AF$4)*LN(1+pp_pct)))</f>
        <v/>
      </c>
      <c r="AG16" s="36">
        <f>EXP(SUMPRODUCT((pp_start&lt;=AG$4)*(pp_end&gt;AG$4)*LN(1+pp_pct)))</f>
        <v/>
      </c>
      <c r="AH16" s="36">
        <f>EXP(SUMPRODUCT((pp_start&lt;=AH$4)*(pp_end&gt;AH$4)*LN(1+pp_pct)))</f>
        <v/>
      </c>
      <c r="AI16" s="36">
        <f>EXP(SUMPRODUCT((pp_start&lt;=AI$4)*(pp_end&gt;AI$4)*LN(1+pp_pct)))</f>
        <v/>
      </c>
      <c r="AJ16" s="36">
        <f>EXP(SUMPRODUCT((pp_start&lt;=AJ$4)*(pp_end&gt;AJ$4)*LN(1+pp_pct)))</f>
        <v/>
      </c>
      <c r="AK16" s="36">
        <f>EXP(SUMPRODUCT((pp_start&lt;=AK$4)*(pp_end&gt;AK$4)*LN(1+pp_pct)))</f>
        <v/>
      </c>
      <c r="AL16" s="36">
        <f>EXP(SUMPRODUCT((pp_start&lt;=AL$4)*(pp_end&gt;AL$4)*LN(1+pp_pct)))</f>
        <v/>
      </c>
      <c r="AM16" s="36">
        <f>EXP(SUMPRODUCT((pp_start&lt;=AM$4)*(pp_end&gt;AM$4)*LN(1+pp_pct)))</f>
        <v/>
      </c>
      <c r="AN16" s="36">
        <f>EXP(SUMPRODUCT((pp_start&lt;=AN$4)*(pp_end&gt;AN$4)*LN(1+pp_pct)))</f>
        <v/>
      </c>
      <c r="AO16" s="36">
        <f>EXP(SUMPRODUCT((pp_start&lt;=AO$4)*(pp_end&gt;AO$4)*LN(1+pp_pct)))</f>
        <v/>
      </c>
      <c r="AP16" s="36">
        <f>EXP(SUMPRODUCT((pp_start&lt;=AP$4)*(pp_end&gt;AP$4)*LN(1+pp_pct)))</f>
        <v/>
      </c>
      <c r="AQ16" s="36">
        <f>EXP(SUMPRODUCT((pp_start&lt;=AQ$4)*(pp_end&gt;AQ$4)*LN(1+pp_pct)))</f>
        <v/>
      </c>
      <c r="AR16" s="36">
        <f>EXP(SUMPRODUCT((pp_start&lt;=AR$4)*(pp_end&gt;AR$4)*LN(1+pp_pct)))</f>
        <v/>
      </c>
      <c r="AS16" s="36">
        <f>EXP(SUMPRODUCT((pp_start&lt;=AS$4)*(pp_end&gt;AS$4)*LN(1+pp_pct)))</f>
        <v/>
      </c>
      <c r="AT16" s="36">
        <f>EXP(SUMPRODUCT((pp_start&lt;=AT$4)*(pp_end&gt;AT$4)*LN(1+pp_pct)))</f>
        <v/>
      </c>
      <c r="AU16" s="36">
        <f>EXP(SUMPRODUCT((pp_start&lt;=AU$4)*(pp_end&gt;AU$4)*LN(1+pp_pct)))</f>
        <v/>
      </c>
      <c r="AV16" s="36">
        <f>EXP(SUMPRODUCT((pp_start&lt;=AV$4)*(pp_end&gt;AV$4)*LN(1+pp_pct)))</f>
        <v/>
      </c>
      <c r="AW16" s="36">
        <f>EXP(SUMPRODUCT((pp_start&lt;=AW$4)*(pp_end&gt;AW$4)*LN(1+pp_pct)))</f>
        <v/>
      </c>
      <c r="AX16" s="36">
        <f>EXP(SUMPRODUCT((pp_start&lt;=AX$4)*(pp_end&gt;AX$4)*LN(1+pp_pct)))</f>
        <v/>
      </c>
      <c r="AY16" s="36">
        <f>EXP(SUMPRODUCT((pp_start&lt;=AY$4)*(pp_end&gt;AY$4)*LN(1+pp_pct)))</f>
        <v/>
      </c>
      <c r="AZ16" s="36">
        <f>EXP(SUMPRODUCT((pp_start&lt;=AZ$4)*(pp_end&gt;AZ$4)*LN(1+pp_pct)))</f>
        <v/>
      </c>
      <c r="BA16" s="36">
        <f>EXP(SUMPRODUCT((pp_start&lt;=BA$4)*(pp_end&gt;BA$4)*LN(1+pp_pct)))</f>
        <v/>
      </c>
      <c r="BB16" s="36">
        <f>EXP(SUMPRODUCT((pp_start&lt;=BB$4)*(pp_end&gt;BB$4)*LN(1+pp_pct)))</f>
        <v/>
      </c>
      <c r="BC16" s="36">
        <f>EXP(SUMPRODUCT((pp_start&lt;=BC$4)*(pp_end&gt;BC$4)*LN(1+pp_pct)))</f>
        <v/>
      </c>
      <c r="BD16" s="36">
        <f>EXP(SUMPRODUCT((pp_start&lt;=BD$4)*(pp_end&gt;BD$4)*LN(1+pp_pct)))</f>
        <v/>
      </c>
      <c r="BE16" s="36">
        <f>EXP(SUMPRODUCT((pp_start&lt;=BE$4)*(pp_end&gt;BE$4)*LN(1+pp_pct)))</f>
        <v/>
      </c>
      <c r="BF16" s="36">
        <f>EXP(SUMPRODUCT((pp_start&lt;=BF$4)*(pp_end&gt;BF$4)*LN(1+pp_pct)))</f>
        <v/>
      </c>
      <c r="BG16" s="36">
        <f>EXP(SUMPRODUCT((pp_start&lt;=BG$4)*(pp_end&gt;BG$4)*LN(1+pp_pct)))</f>
        <v/>
      </c>
      <c r="BH16" s="36">
        <f>EXP(SUMPRODUCT((pp_start&lt;=BH$4)*(pp_end&gt;BH$4)*LN(1+pp_pct)))</f>
        <v/>
      </c>
      <c r="BI16" s="36">
        <f>EXP(SUMPRODUCT((pp_start&lt;=BI$4)*(pp_end&gt;BI$4)*LN(1+pp_pct)))</f>
        <v/>
      </c>
      <c r="BJ16" s="36">
        <f>EXP(SUMPRODUCT((pp_start&lt;=BJ$4)*(pp_end&gt;BJ$4)*LN(1+pp_pct)))</f>
        <v/>
      </c>
      <c r="BK16" s="36">
        <f>EXP(SUMPRODUCT((pp_start&lt;=BK$4)*(pp_end&gt;BK$4)*LN(1+pp_pct)))</f>
        <v/>
      </c>
      <c r="BL16" s="36">
        <f>EXP(SUMPRODUCT((pp_start&lt;=BL$4)*(pp_end&gt;BL$4)*LN(1+pp_pct)))</f>
        <v/>
      </c>
      <c r="BM16" s="36">
        <f>EXP(SUMPRODUCT((pp_start&lt;=BM$4)*(pp_end&gt;BM$4)*LN(1+pp_pct)))</f>
        <v/>
      </c>
      <c r="BN16" s="36">
        <f>EXP(SUMPRODUCT((pp_start&lt;=BN$4)*(pp_end&gt;BN$4)*LN(1+pp_pct)))</f>
        <v/>
      </c>
      <c r="BO16" s="36">
        <f>EXP(SUMPRODUCT((pp_start&lt;=BO$4)*(pp_end&gt;BO$4)*LN(1+pp_pct)))</f>
        <v/>
      </c>
      <c r="BP16" s="36">
        <f>EXP(SUMPRODUCT((pp_start&lt;=BP$4)*(pp_end&gt;BP$4)*LN(1+pp_pct)))</f>
        <v/>
      </c>
      <c r="BQ16" s="36">
        <f>EXP(SUMPRODUCT((pp_start&lt;=BQ$4)*(pp_end&gt;BQ$4)*LN(1+pp_pct)))</f>
        <v/>
      </c>
      <c r="BR16" s="36">
        <f>EXP(SUMPRODUCT((pp_start&lt;=BR$4)*(pp_end&gt;BR$4)*LN(1+pp_pct)))</f>
        <v/>
      </c>
      <c r="BS16" s="36">
        <f>EXP(SUMPRODUCT((pp_start&lt;=BS$4)*(pp_end&gt;BS$4)*LN(1+pp_pct)))</f>
        <v/>
      </c>
      <c r="BT16" s="36">
        <f>EXP(SUMPRODUCT((pp_start&lt;=BT$4)*(pp_end&gt;BT$4)*LN(1+pp_pct)))</f>
        <v/>
      </c>
      <c r="BU16" s="36">
        <f>EXP(SUMPRODUCT((pp_start&lt;=BU$4)*(pp_end&gt;BU$4)*LN(1+pp_pct)))</f>
        <v/>
      </c>
      <c r="BV16" s="36">
        <f>EXP(SUMPRODUCT((pp_start&lt;=BV$4)*(pp_end&gt;BV$4)*LN(1+pp_pct)))</f>
        <v/>
      </c>
      <c r="BW16" s="36">
        <f>EXP(SUMPRODUCT((pp_start&lt;=BW$4)*(pp_end&gt;BW$4)*LN(1+pp_pct)))</f>
        <v/>
      </c>
      <c r="BX16" s="36">
        <f>EXP(SUMPRODUCT((pp_start&lt;=BX$4)*(pp_end&gt;BX$4)*LN(1+pp_pct)))</f>
        <v/>
      </c>
      <c r="BY16" s="36">
        <f>EXP(SUMPRODUCT((pp_start&lt;=BY$4)*(pp_end&gt;BY$4)*LN(1+pp_pct)))</f>
        <v/>
      </c>
      <c r="BZ16" s="36">
        <f>EXP(SUMPRODUCT((pp_start&lt;=BZ$4)*(pp_end&gt;BZ$4)*LN(1+pp_pct)))</f>
        <v/>
      </c>
      <c r="CA16" s="36">
        <f>EXP(SUMPRODUCT((pp_start&lt;=CA$4)*(pp_end&gt;CA$4)*LN(1+pp_pct)))</f>
        <v/>
      </c>
      <c r="CB16" s="36">
        <f>EXP(SUMPRODUCT((pp_start&lt;=CB$4)*(pp_end&gt;CB$4)*LN(1+pp_pct)))</f>
        <v/>
      </c>
      <c r="CC16" s="36">
        <f>EXP(SUMPRODUCT((pp_start&lt;=CC$4)*(pp_end&gt;CC$4)*LN(1+pp_pct)))</f>
        <v/>
      </c>
      <c r="CD16" s="36">
        <f>EXP(SUMPRODUCT((pp_start&lt;=CD$4)*(pp_end&gt;CD$4)*LN(1+pp_pct)))</f>
        <v/>
      </c>
      <c r="CE16" s="36">
        <f>EXP(SUMPRODUCT((pp_start&lt;=CE$4)*(pp_end&gt;CE$4)*LN(1+pp_pct)))</f>
        <v/>
      </c>
      <c r="CF16" s="36">
        <f>EXP(SUMPRODUCT((pp_start&lt;=CF$4)*(pp_end&gt;CF$4)*LN(1+pp_pct)))</f>
        <v/>
      </c>
      <c r="CG16" s="36">
        <f>EXP(SUMPRODUCT((pp_start&lt;=CG$4)*(pp_end&gt;CG$4)*LN(1+pp_pct)))</f>
        <v/>
      </c>
      <c r="CH16" s="36">
        <f>EXP(SUMPRODUCT((pp_start&lt;=CH$4)*(pp_end&gt;CH$4)*LN(1+pp_pct)))</f>
        <v/>
      </c>
      <c r="CI16" s="36">
        <f>EXP(SUMPRODUCT((pp_start&lt;=CI$4)*(pp_end&gt;CI$4)*LN(1+pp_pct)))</f>
        <v/>
      </c>
      <c r="CJ16" s="36">
        <f>EXP(SUMPRODUCT((pp_start&lt;=CJ$4)*(pp_end&gt;CJ$4)*LN(1+pp_pct)))</f>
        <v/>
      </c>
      <c r="CK16" s="36">
        <f>EXP(SUMPRODUCT((pp_start&lt;=CK$4)*(pp_end&gt;CK$4)*LN(1+pp_pct)))</f>
        <v/>
      </c>
      <c r="CL16" s="36">
        <f>EXP(SUMPRODUCT((pp_start&lt;=CL$4)*(pp_end&gt;CL$4)*LN(1+pp_pct)))</f>
        <v/>
      </c>
      <c r="CM16" s="36">
        <f>EXP(SUMPRODUCT((pp_start&lt;=CM$4)*(pp_end&gt;CM$4)*LN(1+pp_pct)))</f>
        <v/>
      </c>
      <c r="CN16" s="36">
        <f>EXP(SUMPRODUCT((pp_start&lt;=CN$4)*(pp_end&gt;CN$4)*LN(1+pp_pct)))</f>
        <v/>
      </c>
      <c r="CO16" s="36">
        <f>EXP(SUMPRODUCT((pp_start&lt;=CO$4)*(pp_end&gt;CO$4)*LN(1+pp_pct)))</f>
        <v/>
      </c>
      <c r="CP16" s="36">
        <f>EXP(SUMPRODUCT((pp_start&lt;=CP$4)*(pp_end&gt;CP$4)*LN(1+pp_pct)))</f>
        <v/>
      </c>
      <c r="CQ16" s="36">
        <f>EXP(SUMPRODUCT((pp_start&lt;=CQ$4)*(pp_end&gt;CQ$4)*LN(1+pp_pct)))</f>
        <v/>
      </c>
      <c r="CR16" s="36">
        <f>EXP(SUMPRODUCT((pp_start&lt;=CR$4)*(pp_end&gt;CR$4)*LN(1+pp_pct)))</f>
        <v/>
      </c>
      <c r="CS16" s="36">
        <f>EXP(SUMPRODUCT((pp_start&lt;=CS$4)*(pp_end&gt;CS$4)*LN(1+pp_pct)))</f>
        <v/>
      </c>
      <c r="CT16" s="36">
        <f>EXP(SUMPRODUCT((pp_start&lt;=CT$4)*(pp_end&gt;CT$4)*LN(1+pp_pct)))</f>
        <v/>
      </c>
      <c r="CU16" s="36">
        <f>EXP(SUMPRODUCT((pp_start&lt;=CU$4)*(pp_end&gt;CU$4)*LN(1+pp_pct)))</f>
        <v/>
      </c>
    </row>
    <row r="17">
      <c r="A17" s="7" t="inlineStr">
        <is>
          <t>Contract value signed</t>
        </is>
      </c>
      <c r="B17" s="21">
        <f>SUM(D17:CU17)</f>
        <v/>
      </c>
      <c r="C17" s="11" t="inlineStr"/>
      <c r="D17" s="34">
        <f>D13*D_AvgPrice*(1+in_rev_escalation_pct)^(D$4/12)*(1-in_rev_discount_pct)*D16</f>
        <v/>
      </c>
      <c r="E17" s="34">
        <f>E13*D_AvgPrice*(1+in_rev_escalation_pct)^(E$4/12)*(1-in_rev_discount_pct)*E16</f>
        <v/>
      </c>
      <c r="F17" s="34">
        <f>F13*D_AvgPrice*(1+in_rev_escalation_pct)^(F$4/12)*(1-in_rev_discount_pct)*F16</f>
        <v/>
      </c>
      <c r="G17" s="34">
        <f>G13*D_AvgPrice*(1+in_rev_escalation_pct)^(G$4/12)*(1-in_rev_discount_pct)*G16</f>
        <v/>
      </c>
      <c r="H17" s="34">
        <f>H13*D_AvgPrice*(1+in_rev_escalation_pct)^(H$4/12)*(1-in_rev_discount_pct)*H16</f>
        <v/>
      </c>
      <c r="I17" s="34">
        <f>I13*D_AvgPrice*(1+in_rev_escalation_pct)^(I$4/12)*(1-in_rev_discount_pct)*I16</f>
        <v/>
      </c>
      <c r="J17" s="34">
        <f>J13*D_AvgPrice*(1+in_rev_escalation_pct)^(J$4/12)*(1-in_rev_discount_pct)*J16</f>
        <v/>
      </c>
      <c r="K17" s="34">
        <f>K13*D_AvgPrice*(1+in_rev_escalation_pct)^(K$4/12)*(1-in_rev_discount_pct)*K16</f>
        <v/>
      </c>
      <c r="L17" s="34">
        <f>L13*D_AvgPrice*(1+in_rev_escalation_pct)^(L$4/12)*(1-in_rev_discount_pct)*L16</f>
        <v/>
      </c>
      <c r="M17" s="34">
        <f>M13*D_AvgPrice*(1+in_rev_escalation_pct)^(M$4/12)*(1-in_rev_discount_pct)*M16</f>
        <v/>
      </c>
      <c r="N17" s="34">
        <f>N13*D_AvgPrice*(1+in_rev_escalation_pct)^(N$4/12)*(1-in_rev_discount_pct)*N16</f>
        <v/>
      </c>
      <c r="O17" s="34">
        <f>O13*D_AvgPrice*(1+in_rev_escalation_pct)^(O$4/12)*(1-in_rev_discount_pct)*O16</f>
        <v/>
      </c>
      <c r="P17" s="34">
        <f>P13*D_AvgPrice*(1+in_rev_escalation_pct)^(P$4/12)*(1-in_rev_discount_pct)*P16</f>
        <v/>
      </c>
      <c r="Q17" s="34">
        <f>Q13*D_AvgPrice*(1+in_rev_escalation_pct)^(Q$4/12)*(1-in_rev_discount_pct)*Q16</f>
        <v/>
      </c>
      <c r="R17" s="34">
        <f>R13*D_AvgPrice*(1+in_rev_escalation_pct)^(R$4/12)*(1-in_rev_discount_pct)*R16</f>
        <v/>
      </c>
      <c r="S17" s="34">
        <f>S13*D_AvgPrice*(1+in_rev_escalation_pct)^(S$4/12)*(1-in_rev_discount_pct)*S16</f>
        <v/>
      </c>
      <c r="T17" s="34">
        <f>T13*D_AvgPrice*(1+in_rev_escalation_pct)^(T$4/12)*(1-in_rev_discount_pct)*T16</f>
        <v/>
      </c>
      <c r="U17" s="34">
        <f>U13*D_AvgPrice*(1+in_rev_escalation_pct)^(U$4/12)*(1-in_rev_discount_pct)*U16</f>
        <v/>
      </c>
      <c r="V17" s="34">
        <f>V13*D_AvgPrice*(1+in_rev_escalation_pct)^(V$4/12)*(1-in_rev_discount_pct)*V16</f>
        <v/>
      </c>
      <c r="W17" s="34">
        <f>W13*D_AvgPrice*(1+in_rev_escalation_pct)^(W$4/12)*(1-in_rev_discount_pct)*W16</f>
        <v/>
      </c>
      <c r="X17" s="34">
        <f>X13*D_AvgPrice*(1+in_rev_escalation_pct)^(X$4/12)*(1-in_rev_discount_pct)*X16</f>
        <v/>
      </c>
      <c r="Y17" s="34">
        <f>Y13*D_AvgPrice*(1+in_rev_escalation_pct)^(Y$4/12)*(1-in_rev_discount_pct)*Y16</f>
        <v/>
      </c>
      <c r="Z17" s="34">
        <f>Z13*D_AvgPrice*(1+in_rev_escalation_pct)^(Z$4/12)*(1-in_rev_discount_pct)*Z16</f>
        <v/>
      </c>
      <c r="AA17" s="34">
        <f>AA13*D_AvgPrice*(1+in_rev_escalation_pct)^(AA$4/12)*(1-in_rev_discount_pct)*AA16</f>
        <v/>
      </c>
      <c r="AB17" s="34">
        <f>AB13*D_AvgPrice*(1+in_rev_escalation_pct)^(AB$4/12)*(1-in_rev_discount_pct)*AB16</f>
        <v/>
      </c>
      <c r="AC17" s="34">
        <f>AC13*D_AvgPrice*(1+in_rev_escalation_pct)^(AC$4/12)*(1-in_rev_discount_pct)*AC16</f>
        <v/>
      </c>
      <c r="AD17" s="34">
        <f>AD13*D_AvgPrice*(1+in_rev_escalation_pct)^(AD$4/12)*(1-in_rev_discount_pct)*AD16</f>
        <v/>
      </c>
      <c r="AE17" s="34">
        <f>AE13*D_AvgPrice*(1+in_rev_escalation_pct)^(AE$4/12)*(1-in_rev_discount_pct)*AE16</f>
        <v/>
      </c>
      <c r="AF17" s="34">
        <f>AF13*D_AvgPrice*(1+in_rev_escalation_pct)^(AF$4/12)*(1-in_rev_discount_pct)*AF16</f>
        <v/>
      </c>
      <c r="AG17" s="34">
        <f>AG13*D_AvgPrice*(1+in_rev_escalation_pct)^(AG$4/12)*(1-in_rev_discount_pct)*AG16</f>
        <v/>
      </c>
      <c r="AH17" s="34">
        <f>AH13*D_AvgPrice*(1+in_rev_escalation_pct)^(AH$4/12)*(1-in_rev_discount_pct)*AH16</f>
        <v/>
      </c>
      <c r="AI17" s="34">
        <f>AI13*D_AvgPrice*(1+in_rev_escalation_pct)^(AI$4/12)*(1-in_rev_discount_pct)*AI16</f>
        <v/>
      </c>
      <c r="AJ17" s="34">
        <f>AJ13*D_AvgPrice*(1+in_rev_escalation_pct)^(AJ$4/12)*(1-in_rev_discount_pct)*AJ16</f>
        <v/>
      </c>
      <c r="AK17" s="34">
        <f>AK13*D_AvgPrice*(1+in_rev_escalation_pct)^(AK$4/12)*(1-in_rev_discount_pct)*AK16</f>
        <v/>
      </c>
      <c r="AL17" s="34">
        <f>AL13*D_AvgPrice*(1+in_rev_escalation_pct)^(AL$4/12)*(1-in_rev_discount_pct)*AL16</f>
        <v/>
      </c>
      <c r="AM17" s="34">
        <f>AM13*D_AvgPrice*(1+in_rev_escalation_pct)^(AM$4/12)*(1-in_rev_discount_pct)*AM16</f>
        <v/>
      </c>
      <c r="AN17" s="34">
        <f>AN13*D_AvgPrice*(1+in_rev_escalation_pct)^(AN$4/12)*(1-in_rev_discount_pct)*AN16</f>
        <v/>
      </c>
      <c r="AO17" s="34">
        <f>AO13*D_AvgPrice*(1+in_rev_escalation_pct)^(AO$4/12)*(1-in_rev_discount_pct)*AO16</f>
        <v/>
      </c>
      <c r="AP17" s="34">
        <f>AP13*D_AvgPrice*(1+in_rev_escalation_pct)^(AP$4/12)*(1-in_rev_discount_pct)*AP16</f>
        <v/>
      </c>
      <c r="AQ17" s="34">
        <f>AQ13*D_AvgPrice*(1+in_rev_escalation_pct)^(AQ$4/12)*(1-in_rev_discount_pct)*AQ16</f>
        <v/>
      </c>
      <c r="AR17" s="34">
        <f>AR13*D_AvgPrice*(1+in_rev_escalation_pct)^(AR$4/12)*(1-in_rev_discount_pct)*AR16</f>
        <v/>
      </c>
      <c r="AS17" s="34">
        <f>AS13*D_AvgPrice*(1+in_rev_escalation_pct)^(AS$4/12)*(1-in_rev_discount_pct)*AS16</f>
        <v/>
      </c>
      <c r="AT17" s="34">
        <f>AT13*D_AvgPrice*(1+in_rev_escalation_pct)^(AT$4/12)*(1-in_rev_discount_pct)*AT16</f>
        <v/>
      </c>
      <c r="AU17" s="34">
        <f>AU13*D_AvgPrice*(1+in_rev_escalation_pct)^(AU$4/12)*(1-in_rev_discount_pct)*AU16</f>
        <v/>
      </c>
      <c r="AV17" s="34">
        <f>AV13*D_AvgPrice*(1+in_rev_escalation_pct)^(AV$4/12)*(1-in_rev_discount_pct)*AV16</f>
        <v/>
      </c>
      <c r="AW17" s="34">
        <f>AW13*D_AvgPrice*(1+in_rev_escalation_pct)^(AW$4/12)*(1-in_rev_discount_pct)*AW16</f>
        <v/>
      </c>
      <c r="AX17" s="34">
        <f>AX13*D_AvgPrice*(1+in_rev_escalation_pct)^(AX$4/12)*(1-in_rev_discount_pct)*AX16</f>
        <v/>
      </c>
      <c r="AY17" s="34">
        <f>AY13*D_AvgPrice*(1+in_rev_escalation_pct)^(AY$4/12)*(1-in_rev_discount_pct)*AY16</f>
        <v/>
      </c>
      <c r="AZ17" s="34">
        <f>AZ13*D_AvgPrice*(1+in_rev_escalation_pct)^(AZ$4/12)*(1-in_rev_discount_pct)*AZ16</f>
        <v/>
      </c>
      <c r="BA17" s="34">
        <f>BA13*D_AvgPrice*(1+in_rev_escalation_pct)^(BA$4/12)*(1-in_rev_discount_pct)*BA16</f>
        <v/>
      </c>
      <c r="BB17" s="34">
        <f>BB13*D_AvgPrice*(1+in_rev_escalation_pct)^(BB$4/12)*(1-in_rev_discount_pct)*BB16</f>
        <v/>
      </c>
      <c r="BC17" s="34">
        <f>BC13*D_AvgPrice*(1+in_rev_escalation_pct)^(BC$4/12)*(1-in_rev_discount_pct)*BC16</f>
        <v/>
      </c>
      <c r="BD17" s="34">
        <f>BD13*D_AvgPrice*(1+in_rev_escalation_pct)^(BD$4/12)*(1-in_rev_discount_pct)*BD16</f>
        <v/>
      </c>
      <c r="BE17" s="34">
        <f>BE13*D_AvgPrice*(1+in_rev_escalation_pct)^(BE$4/12)*(1-in_rev_discount_pct)*BE16</f>
        <v/>
      </c>
      <c r="BF17" s="34">
        <f>BF13*D_AvgPrice*(1+in_rev_escalation_pct)^(BF$4/12)*(1-in_rev_discount_pct)*BF16</f>
        <v/>
      </c>
      <c r="BG17" s="34">
        <f>BG13*D_AvgPrice*(1+in_rev_escalation_pct)^(BG$4/12)*(1-in_rev_discount_pct)*BG16</f>
        <v/>
      </c>
      <c r="BH17" s="34">
        <f>BH13*D_AvgPrice*(1+in_rev_escalation_pct)^(BH$4/12)*(1-in_rev_discount_pct)*BH16</f>
        <v/>
      </c>
      <c r="BI17" s="34">
        <f>BI13*D_AvgPrice*(1+in_rev_escalation_pct)^(BI$4/12)*(1-in_rev_discount_pct)*BI16</f>
        <v/>
      </c>
      <c r="BJ17" s="34">
        <f>BJ13*D_AvgPrice*(1+in_rev_escalation_pct)^(BJ$4/12)*(1-in_rev_discount_pct)*BJ16</f>
        <v/>
      </c>
      <c r="BK17" s="34">
        <f>BK13*D_AvgPrice*(1+in_rev_escalation_pct)^(BK$4/12)*(1-in_rev_discount_pct)*BK16</f>
        <v/>
      </c>
      <c r="BL17" s="34">
        <f>BL13*D_AvgPrice*(1+in_rev_escalation_pct)^(BL$4/12)*(1-in_rev_discount_pct)*BL16</f>
        <v/>
      </c>
      <c r="BM17" s="34">
        <f>BM13*D_AvgPrice*(1+in_rev_escalation_pct)^(BM$4/12)*(1-in_rev_discount_pct)*BM16</f>
        <v/>
      </c>
      <c r="BN17" s="34">
        <f>BN13*D_AvgPrice*(1+in_rev_escalation_pct)^(BN$4/12)*(1-in_rev_discount_pct)*BN16</f>
        <v/>
      </c>
      <c r="BO17" s="34">
        <f>BO13*D_AvgPrice*(1+in_rev_escalation_pct)^(BO$4/12)*(1-in_rev_discount_pct)*BO16</f>
        <v/>
      </c>
      <c r="BP17" s="34">
        <f>BP13*D_AvgPrice*(1+in_rev_escalation_pct)^(BP$4/12)*(1-in_rev_discount_pct)*BP16</f>
        <v/>
      </c>
      <c r="BQ17" s="34">
        <f>BQ13*D_AvgPrice*(1+in_rev_escalation_pct)^(BQ$4/12)*(1-in_rev_discount_pct)*BQ16</f>
        <v/>
      </c>
      <c r="BR17" s="34">
        <f>BR13*D_AvgPrice*(1+in_rev_escalation_pct)^(BR$4/12)*(1-in_rev_discount_pct)*BR16</f>
        <v/>
      </c>
      <c r="BS17" s="34">
        <f>BS13*D_AvgPrice*(1+in_rev_escalation_pct)^(BS$4/12)*(1-in_rev_discount_pct)*BS16</f>
        <v/>
      </c>
      <c r="BT17" s="34">
        <f>BT13*D_AvgPrice*(1+in_rev_escalation_pct)^(BT$4/12)*(1-in_rev_discount_pct)*BT16</f>
        <v/>
      </c>
      <c r="BU17" s="34">
        <f>BU13*D_AvgPrice*(1+in_rev_escalation_pct)^(BU$4/12)*(1-in_rev_discount_pct)*BU16</f>
        <v/>
      </c>
      <c r="BV17" s="34">
        <f>BV13*D_AvgPrice*(1+in_rev_escalation_pct)^(BV$4/12)*(1-in_rev_discount_pct)*BV16</f>
        <v/>
      </c>
      <c r="BW17" s="34">
        <f>BW13*D_AvgPrice*(1+in_rev_escalation_pct)^(BW$4/12)*(1-in_rev_discount_pct)*BW16</f>
        <v/>
      </c>
      <c r="BX17" s="34">
        <f>BX13*D_AvgPrice*(1+in_rev_escalation_pct)^(BX$4/12)*(1-in_rev_discount_pct)*BX16</f>
        <v/>
      </c>
      <c r="BY17" s="34">
        <f>BY13*D_AvgPrice*(1+in_rev_escalation_pct)^(BY$4/12)*(1-in_rev_discount_pct)*BY16</f>
        <v/>
      </c>
      <c r="BZ17" s="34">
        <f>BZ13*D_AvgPrice*(1+in_rev_escalation_pct)^(BZ$4/12)*(1-in_rev_discount_pct)*BZ16</f>
        <v/>
      </c>
      <c r="CA17" s="34">
        <f>CA13*D_AvgPrice*(1+in_rev_escalation_pct)^(CA$4/12)*(1-in_rev_discount_pct)*CA16</f>
        <v/>
      </c>
      <c r="CB17" s="34">
        <f>CB13*D_AvgPrice*(1+in_rev_escalation_pct)^(CB$4/12)*(1-in_rev_discount_pct)*CB16</f>
        <v/>
      </c>
      <c r="CC17" s="34">
        <f>CC13*D_AvgPrice*(1+in_rev_escalation_pct)^(CC$4/12)*(1-in_rev_discount_pct)*CC16</f>
        <v/>
      </c>
      <c r="CD17" s="34">
        <f>CD13*D_AvgPrice*(1+in_rev_escalation_pct)^(CD$4/12)*(1-in_rev_discount_pct)*CD16</f>
        <v/>
      </c>
      <c r="CE17" s="34">
        <f>CE13*D_AvgPrice*(1+in_rev_escalation_pct)^(CE$4/12)*(1-in_rev_discount_pct)*CE16</f>
        <v/>
      </c>
      <c r="CF17" s="34">
        <f>CF13*D_AvgPrice*(1+in_rev_escalation_pct)^(CF$4/12)*(1-in_rev_discount_pct)*CF16</f>
        <v/>
      </c>
      <c r="CG17" s="34">
        <f>CG13*D_AvgPrice*(1+in_rev_escalation_pct)^(CG$4/12)*(1-in_rev_discount_pct)*CG16</f>
        <v/>
      </c>
      <c r="CH17" s="34">
        <f>CH13*D_AvgPrice*(1+in_rev_escalation_pct)^(CH$4/12)*(1-in_rev_discount_pct)*CH16</f>
        <v/>
      </c>
      <c r="CI17" s="34">
        <f>CI13*D_AvgPrice*(1+in_rev_escalation_pct)^(CI$4/12)*(1-in_rev_discount_pct)*CI16</f>
        <v/>
      </c>
      <c r="CJ17" s="34">
        <f>CJ13*D_AvgPrice*(1+in_rev_escalation_pct)^(CJ$4/12)*(1-in_rev_discount_pct)*CJ16</f>
        <v/>
      </c>
      <c r="CK17" s="34">
        <f>CK13*D_AvgPrice*(1+in_rev_escalation_pct)^(CK$4/12)*(1-in_rev_discount_pct)*CK16</f>
        <v/>
      </c>
      <c r="CL17" s="34">
        <f>CL13*D_AvgPrice*(1+in_rev_escalation_pct)^(CL$4/12)*(1-in_rev_discount_pct)*CL16</f>
        <v/>
      </c>
      <c r="CM17" s="34">
        <f>CM13*D_AvgPrice*(1+in_rev_escalation_pct)^(CM$4/12)*(1-in_rev_discount_pct)*CM16</f>
        <v/>
      </c>
      <c r="CN17" s="34">
        <f>CN13*D_AvgPrice*(1+in_rev_escalation_pct)^(CN$4/12)*(1-in_rev_discount_pct)*CN16</f>
        <v/>
      </c>
      <c r="CO17" s="34">
        <f>CO13*D_AvgPrice*(1+in_rev_escalation_pct)^(CO$4/12)*(1-in_rev_discount_pct)*CO16</f>
        <v/>
      </c>
      <c r="CP17" s="34">
        <f>CP13*D_AvgPrice*(1+in_rev_escalation_pct)^(CP$4/12)*(1-in_rev_discount_pct)*CP16</f>
        <v/>
      </c>
      <c r="CQ17" s="34">
        <f>CQ13*D_AvgPrice*(1+in_rev_escalation_pct)^(CQ$4/12)*(1-in_rev_discount_pct)*CQ16</f>
        <v/>
      </c>
      <c r="CR17" s="34">
        <f>CR13*D_AvgPrice*(1+in_rev_escalation_pct)^(CR$4/12)*(1-in_rev_discount_pct)*CR16</f>
        <v/>
      </c>
      <c r="CS17" s="34">
        <f>CS13*D_AvgPrice*(1+in_rev_escalation_pct)^(CS$4/12)*(1-in_rev_discount_pct)*CS16</f>
        <v/>
      </c>
      <c r="CT17" s="34">
        <f>CT13*D_AvgPrice*(1+in_rev_escalation_pct)^(CT$4/12)*(1-in_rev_discount_pct)*CT16</f>
        <v/>
      </c>
      <c r="CU17" s="34">
        <f>CU13*D_AvgPrice*(1+in_rev_escalation_pct)^(CU$4/12)*(1-in_rev_discount_pct)*CU16</f>
        <v/>
      </c>
    </row>
    <row r="18">
      <c r="A18" s="13" t="inlineStr">
        <is>
          <t>Cash collections (buyer payment plan)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</row>
    <row r="19">
      <c r="A19" s="7" t="inlineStr">
        <is>
          <t>Deposits</t>
        </is>
      </c>
      <c r="B19" s="21">
        <f>SUM(D19:CU19)</f>
        <v/>
      </c>
      <c r="C19" s="11" t="inlineStr"/>
      <c r="D19" s="34">
        <f>IF(D$4&lt;T_Delivery,D17*in_rev_deposit_pct,0)</f>
        <v/>
      </c>
      <c r="E19" s="34">
        <f>IF(E$4&lt;T_Delivery,E17*in_rev_deposit_pct,0)</f>
        <v/>
      </c>
      <c r="F19" s="34">
        <f>IF(F$4&lt;T_Delivery,F17*in_rev_deposit_pct,0)</f>
        <v/>
      </c>
      <c r="G19" s="34">
        <f>IF(G$4&lt;T_Delivery,G17*in_rev_deposit_pct,0)</f>
        <v/>
      </c>
      <c r="H19" s="34">
        <f>IF(H$4&lt;T_Delivery,H17*in_rev_deposit_pct,0)</f>
        <v/>
      </c>
      <c r="I19" s="34">
        <f>IF(I$4&lt;T_Delivery,I17*in_rev_deposit_pct,0)</f>
        <v/>
      </c>
      <c r="J19" s="34">
        <f>IF(J$4&lt;T_Delivery,J17*in_rev_deposit_pct,0)</f>
        <v/>
      </c>
      <c r="K19" s="34">
        <f>IF(K$4&lt;T_Delivery,K17*in_rev_deposit_pct,0)</f>
        <v/>
      </c>
      <c r="L19" s="34">
        <f>IF(L$4&lt;T_Delivery,L17*in_rev_deposit_pct,0)</f>
        <v/>
      </c>
      <c r="M19" s="34">
        <f>IF(M$4&lt;T_Delivery,M17*in_rev_deposit_pct,0)</f>
        <v/>
      </c>
      <c r="N19" s="34">
        <f>IF(N$4&lt;T_Delivery,N17*in_rev_deposit_pct,0)</f>
        <v/>
      </c>
      <c r="O19" s="34">
        <f>IF(O$4&lt;T_Delivery,O17*in_rev_deposit_pct,0)</f>
        <v/>
      </c>
      <c r="P19" s="34">
        <f>IF(P$4&lt;T_Delivery,P17*in_rev_deposit_pct,0)</f>
        <v/>
      </c>
      <c r="Q19" s="34">
        <f>IF(Q$4&lt;T_Delivery,Q17*in_rev_deposit_pct,0)</f>
        <v/>
      </c>
      <c r="R19" s="34">
        <f>IF(R$4&lt;T_Delivery,R17*in_rev_deposit_pct,0)</f>
        <v/>
      </c>
      <c r="S19" s="34">
        <f>IF(S$4&lt;T_Delivery,S17*in_rev_deposit_pct,0)</f>
        <v/>
      </c>
      <c r="T19" s="34">
        <f>IF(T$4&lt;T_Delivery,T17*in_rev_deposit_pct,0)</f>
        <v/>
      </c>
      <c r="U19" s="34">
        <f>IF(U$4&lt;T_Delivery,U17*in_rev_deposit_pct,0)</f>
        <v/>
      </c>
      <c r="V19" s="34">
        <f>IF(V$4&lt;T_Delivery,V17*in_rev_deposit_pct,0)</f>
        <v/>
      </c>
      <c r="W19" s="34">
        <f>IF(W$4&lt;T_Delivery,W17*in_rev_deposit_pct,0)</f>
        <v/>
      </c>
      <c r="X19" s="34">
        <f>IF(X$4&lt;T_Delivery,X17*in_rev_deposit_pct,0)</f>
        <v/>
      </c>
      <c r="Y19" s="34">
        <f>IF(Y$4&lt;T_Delivery,Y17*in_rev_deposit_pct,0)</f>
        <v/>
      </c>
      <c r="Z19" s="34">
        <f>IF(Z$4&lt;T_Delivery,Z17*in_rev_deposit_pct,0)</f>
        <v/>
      </c>
      <c r="AA19" s="34">
        <f>IF(AA$4&lt;T_Delivery,AA17*in_rev_deposit_pct,0)</f>
        <v/>
      </c>
      <c r="AB19" s="34">
        <f>IF(AB$4&lt;T_Delivery,AB17*in_rev_deposit_pct,0)</f>
        <v/>
      </c>
      <c r="AC19" s="34">
        <f>IF(AC$4&lt;T_Delivery,AC17*in_rev_deposit_pct,0)</f>
        <v/>
      </c>
      <c r="AD19" s="34">
        <f>IF(AD$4&lt;T_Delivery,AD17*in_rev_deposit_pct,0)</f>
        <v/>
      </c>
      <c r="AE19" s="34">
        <f>IF(AE$4&lt;T_Delivery,AE17*in_rev_deposit_pct,0)</f>
        <v/>
      </c>
      <c r="AF19" s="34">
        <f>IF(AF$4&lt;T_Delivery,AF17*in_rev_deposit_pct,0)</f>
        <v/>
      </c>
      <c r="AG19" s="34">
        <f>IF(AG$4&lt;T_Delivery,AG17*in_rev_deposit_pct,0)</f>
        <v/>
      </c>
      <c r="AH19" s="34">
        <f>IF(AH$4&lt;T_Delivery,AH17*in_rev_deposit_pct,0)</f>
        <v/>
      </c>
      <c r="AI19" s="34">
        <f>IF(AI$4&lt;T_Delivery,AI17*in_rev_deposit_pct,0)</f>
        <v/>
      </c>
      <c r="AJ19" s="34">
        <f>IF(AJ$4&lt;T_Delivery,AJ17*in_rev_deposit_pct,0)</f>
        <v/>
      </c>
      <c r="AK19" s="34">
        <f>IF(AK$4&lt;T_Delivery,AK17*in_rev_deposit_pct,0)</f>
        <v/>
      </c>
      <c r="AL19" s="34">
        <f>IF(AL$4&lt;T_Delivery,AL17*in_rev_deposit_pct,0)</f>
        <v/>
      </c>
      <c r="AM19" s="34">
        <f>IF(AM$4&lt;T_Delivery,AM17*in_rev_deposit_pct,0)</f>
        <v/>
      </c>
      <c r="AN19" s="34">
        <f>IF(AN$4&lt;T_Delivery,AN17*in_rev_deposit_pct,0)</f>
        <v/>
      </c>
      <c r="AO19" s="34">
        <f>IF(AO$4&lt;T_Delivery,AO17*in_rev_deposit_pct,0)</f>
        <v/>
      </c>
      <c r="AP19" s="34">
        <f>IF(AP$4&lt;T_Delivery,AP17*in_rev_deposit_pct,0)</f>
        <v/>
      </c>
      <c r="AQ19" s="34">
        <f>IF(AQ$4&lt;T_Delivery,AQ17*in_rev_deposit_pct,0)</f>
        <v/>
      </c>
      <c r="AR19" s="34">
        <f>IF(AR$4&lt;T_Delivery,AR17*in_rev_deposit_pct,0)</f>
        <v/>
      </c>
      <c r="AS19" s="34">
        <f>IF(AS$4&lt;T_Delivery,AS17*in_rev_deposit_pct,0)</f>
        <v/>
      </c>
      <c r="AT19" s="34">
        <f>IF(AT$4&lt;T_Delivery,AT17*in_rev_deposit_pct,0)</f>
        <v/>
      </c>
      <c r="AU19" s="34">
        <f>IF(AU$4&lt;T_Delivery,AU17*in_rev_deposit_pct,0)</f>
        <v/>
      </c>
      <c r="AV19" s="34">
        <f>IF(AV$4&lt;T_Delivery,AV17*in_rev_deposit_pct,0)</f>
        <v/>
      </c>
      <c r="AW19" s="34">
        <f>IF(AW$4&lt;T_Delivery,AW17*in_rev_deposit_pct,0)</f>
        <v/>
      </c>
      <c r="AX19" s="34">
        <f>IF(AX$4&lt;T_Delivery,AX17*in_rev_deposit_pct,0)</f>
        <v/>
      </c>
      <c r="AY19" s="34">
        <f>IF(AY$4&lt;T_Delivery,AY17*in_rev_deposit_pct,0)</f>
        <v/>
      </c>
      <c r="AZ19" s="34">
        <f>IF(AZ$4&lt;T_Delivery,AZ17*in_rev_deposit_pct,0)</f>
        <v/>
      </c>
      <c r="BA19" s="34">
        <f>IF(BA$4&lt;T_Delivery,BA17*in_rev_deposit_pct,0)</f>
        <v/>
      </c>
      <c r="BB19" s="34">
        <f>IF(BB$4&lt;T_Delivery,BB17*in_rev_deposit_pct,0)</f>
        <v/>
      </c>
      <c r="BC19" s="34">
        <f>IF(BC$4&lt;T_Delivery,BC17*in_rev_deposit_pct,0)</f>
        <v/>
      </c>
      <c r="BD19" s="34">
        <f>IF(BD$4&lt;T_Delivery,BD17*in_rev_deposit_pct,0)</f>
        <v/>
      </c>
      <c r="BE19" s="34">
        <f>IF(BE$4&lt;T_Delivery,BE17*in_rev_deposit_pct,0)</f>
        <v/>
      </c>
      <c r="BF19" s="34">
        <f>IF(BF$4&lt;T_Delivery,BF17*in_rev_deposit_pct,0)</f>
        <v/>
      </c>
      <c r="BG19" s="34">
        <f>IF(BG$4&lt;T_Delivery,BG17*in_rev_deposit_pct,0)</f>
        <v/>
      </c>
      <c r="BH19" s="34">
        <f>IF(BH$4&lt;T_Delivery,BH17*in_rev_deposit_pct,0)</f>
        <v/>
      </c>
      <c r="BI19" s="34">
        <f>IF(BI$4&lt;T_Delivery,BI17*in_rev_deposit_pct,0)</f>
        <v/>
      </c>
      <c r="BJ19" s="34">
        <f>IF(BJ$4&lt;T_Delivery,BJ17*in_rev_deposit_pct,0)</f>
        <v/>
      </c>
      <c r="BK19" s="34">
        <f>IF(BK$4&lt;T_Delivery,BK17*in_rev_deposit_pct,0)</f>
        <v/>
      </c>
      <c r="BL19" s="34">
        <f>IF(BL$4&lt;T_Delivery,BL17*in_rev_deposit_pct,0)</f>
        <v/>
      </c>
      <c r="BM19" s="34">
        <f>IF(BM$4&lt;T_Delivery,BM17*in_rev_deposit_pct,0)</f>
        <v/>
      </c>
      <c r="BN19" s="34">
        <f>IF(BN$4&lt;T_Delivery,BN17*in_rev_deposit_pct,0)</f>
        <v/>
      </c>
      <c r="BO19" s="34">
        <f>IF(BO$4&lt;T_Delivery,BO17*in_rev_deposit_pct,0)</f>
        <v/>
      </c>
      <c r="BP19" s="34">
        <f>IF(BP$4&lt;T_Delivery,BP17*in_rev_deposit_pct,0)</f>
        <v/>
      </c>
      <c r="BQ19" s="34">
        <f>IF(BQ$4&lt;T_Delivery,BQ17*in_rev_deposit_pct,0)</f>
        <v/>
      </c>
      <c r="BR19" s="34">
        <f>IF(BR$4&lt;T_Delivery,BR17*in_rev_deposit_pct,0)</f>
        <v/>
      </c>
      <c r="BS19" s="34">
        <f>IF(BS$4&lt;T_Delivery,BS17*in_rev_deposit_pct,0)</f>
        <v/>
      </c>
      <c r="BT19" s="34">
        <f>IF(BT$4&lt;T_Delivery,BT17*in_rev_deposit_pct,0)</f>
        <v/>
      </c>
      <c r="BU19" s="34">
        <f>IF(BU$4&lt;T_Delivery,BU17*in_rev_deposit_pct,0)</f>
        <v/>
      </c>
      <c r="BV19" s="34">
        <f>IF(BV$4&lt;T_Delivery,BV17*in_rev_deposit_pct,0)</f>
        <v/>
      </c>
      <c r="BW19" s="34">
        <f>IF(BW$4&lt;T_Delivery,BW17*in_rev_deposit_pct,0)</f>
        <v/>
      </c>
      <c r="BX19" s="34">
        <f>IF(BX$4&lt;T_Delivery,BX17*in_rev_deposit_pct,0)</f>
        <v/>
      </c>
      <c r="BY19" s="34">
        <f>IF(BY$4&lt;T_Delivery,BY17*in_rev_deposit_pct,0)</f>
        <v/>
      </c>
      <c r="BZ19" s="34">
        <f>IF(BZ$4&lt;T_Delivery,BZ17*in_rev_deposit_pct,0)</f>
        <v/>
      </c>
      <c r="CA19" s="34">
        <f>IF(CA$4&lt;T_Delivery,CA17*in_rev_deposit_pct,0)</f>
        <v/>
      </c>
      <c r="CB19" s="34">
        <f>IF(CB$4&lt;T_Delivery,CB17*in_rev_deposit_pct,0)</f>
        <v/>
      </c>
      <c r="CC19" s="34">
        <f>IF(CC$4&lt;T_Delivery,CC17*in_rev_deposit_pct,0)</f>
        <v/>
      </c>
      <c r="CD19" s="34">
        <f>IF(CD$4&lt;T_Delivery,CD17*in_rev_deposit_pct,0)</f>
        <v/>
      </c>
      <c r="CE19" s="34">
        <f>IF(CE$4&lt;T_Delivery,CE17*in_rev_deposit_pct,0)</f>
        <v/>
      </c>
      <c r="CF19" s="34">
        <f>IF(CF$4&lt;T_Delivery,CF17*in_rev_deposit_pct,0)</f>
        <v/>
      </c>
      <c r="CG19" s="34">
        <f>IF(CG$4&lt;T_Delivery,CG17*in_rev_deposit_pct,0)</f>
        <v/>
      </c>
      <c r="CH19" s="34">
        <f>IF(CH$4&lt;T_Delivery,CH17*in_rev_deposit_pct,0)</f>
        <v/>
      </c>
      <c r="CI19" s="34">
        <f>IF(CI$4&lt;T_Delivery,CI17*in_rev_deposit_pct,0)</f>
        <v/>
      </c>
      <c r="CJ19" s="34">
        <f>IF(CJ$4&lt;T_Delivery,CJ17*in_rev_deposit_pct,0)</f>
        <v/>
      </c>
      <c r="CK19" s="34">
        <f>IF(CK$4&lt;T_Delivery,CK17*in_rev_deposit_pct,0)</f>
        <v/>
      </c>
      <c r="CL19" s="34">
        <f>IF(CL$4&lt;T_Delivery,CL17*in_rev_deposit_pct,0)</f>
        <v/>
      </c>
      <c r="CM19" s="34">
        <f>IF(CM$4&lt;T_Delivery,CM17*in_rev_deposit_pct,0)</f>
        <v/>
      </c>
      <c r="CN19" s="34">
        <f>IF(CN$4&lt;T_Delivery,CN17*in_rev_deposit_pct,0)</f>
        <v/>
      </c>
      <c r="CO19" s="34">
        <f>IF(CO$4&lt;T_Delivery,CO17*in_rev_deposit_pct,0)</f>
        <v/>
      </c>
      <c r="CP19" s="34">
        <f>IF(CP$4&lt;T_Delivery,CP17*in_rev_deposit_pct,0)</f>
        <v/>
      </c>
      <c r="CQ19" s="34">
        <f>IF(CQ$4&lt;T_Delivery,CQ17*in_rev_deposit_pct,0)</f>
        <v/>
      </c>
      <c r="CR19" s="34">
        <f>IF(CR$4&lt;T_Delivery,CR17*in_rev_deposit_pct,0)</f>
        <v/>
      </c>
      <c r="CS19" s="34">
        <f>IF(CS$4&lt;T_Delivery,CS17*in_rev_deposit_pct,0)</f>
        <v/>
      </c>
      <c r="CT19" s="34">
        <f>IF(CT$4&lt;T_Delivery,CT17*in_rev_deposit_pct,0)</f>
        <v/>
      </c>
      <c r="CU19" s="34">
        <f>IF(CU$4&lt;T_Delivery,CU17*in_rev_deposit_pct,0)</f>
        <v/>
      </c>
    </row>
    <row r="20">
      <c r="A20" s="7" t="inlineStr">
        <is>
          <t>Installment per month generated by this month's sales (helper)</t>
        </is>
      </c>
      <c r="B20" s="1" t="n"/>
      <c r="C20" s="11" t="inlineStr"/>
      <c r="D20" s="34">
        <f>IF(AND(D$4&lt;T_Delivery,T_Delivery-D$4-1&gt;0),D17*in_rev_installments_pct/(T_Delivery-D$4-1),0)</f>
        <v/>
      </c>
      <c r="E20" s="34">
        <f>IF(AND(E$4&lt;T_Delivery,T_Delivery-E$4-1&gt;0),E17*in_rev_installments_pct/(T_Delivery-E$4-1),0)</f>
        <v/>
      </c>
      <c r="F20" s="34">
        <f>IF(AND(F$4&lt;T_Delivery,T_Delivery-F$4-1&gt;0),F17*in_rev_installments_pct/(T_Delivery-F$4-1),0)</f>
        <v/>
      </c>
      <c r="G20" s="34">
        <f>IF(AND(G$4&lt;T_Delivery,T_Delivery-G$4-1&gt;0),G17*in_rev_installments_pct/(T_Delivery-G$4-1),0)</f>
        <v/>
      </c>
      <c r="H20" s="34">
        <f>IF(AND(H$4&lt;T_Delivery,T_Delivery-H$4-1&gt;0),H17*in_rev_installments_pct/(T_Delivery-H$4-1),0)</f>
        <v/>
      </c>
      <c r="I20" s="34">
        <f>IF(AND(I$4&lt;T_Delivery,T_Delivery-I$4-1&gt;0),I17*in_rev_installments_pct/(T_Delivery-I$4-1),0)</f>
        <v/>
      </c>
      <c r="J20" s="34">
        <f>IF(AND(J$4&lt;T_Delivery,T_Delivery-J$4-1&gt;0),J17*in_rev_installments_pct/(T_Delivery-J$4-1),0)</f>
        <v/>
      </c>
      <c r="K20" s="34">
        <f>IF(AND(K$4&lt;T_Delivery,T_Delivery-K$4-1&gt;0),K17*in_rev_installments_pct/(T_Delivery-K$4-1),0)</f>
        <v/>
      </c>
      <c r="L20" s="34">
        <f>IF(AND(L$4&lt;T_Delivery,T_Delivery-L$4-1&gt;0),L17*in_rev_installments_pct/(T_Delivery-L$4-1),0)</f>
        <v/>
      </c>
      <c r="M20" s="34">
        <f>IF(AND(M$4&lt;T_Delivery,T_Delivery-M$4-1&gt;0),M17*in_rev_installments_pct/(T_Delivery-M$4-1),0)</f>
        <v/>
      </c>
      <c r="N20" s="34">
        <f>IF(AND(N$4&lt;T_Delivery,T_Delivery-N$4-1&gt;0),N17*in_rev_installments_pct/(T_Delivery-N$4-1),0)</f>
        <v/>
      </c>
      <c r="O20" s="34">
        <f>IF(AND(O$4&lt;T_Delivery,T_Delivery-O$4-1&gt;0),O17*in_rev_installments_pct/(T_Delivery-O$4-1),0)</f>
        <v/>
      </c>
      <c r="P20" s="34">
        <f>IF(AND(P$4&lt;T_Delivery,T_Delivery-P$4-1&gt;0),P17*in_rev_installments_pct/(T_Delivery-P$4-1),0)</f>
        <v/>
      </c>
      <c r="Q20" s="34">
        <f>IF(AND(Q$4&lt;T_Delivery,T_Delivery-Q$4-1&gt;0),Q17*in_rev_installments_pct/(T_Delivery-Q$4-1),0)</f>
        <v/>
      </c>
      <c r="R20" s="34">
        <f>IF(AND(R$4&lt;T_Delivery,T_Delivery-R$4-1&gt;0),R17*in_rev_installments_pct/(T_Delivery-R$4-1),0)</f>
        <v/>
      </c>
      <c r="S20" s="34">
        <f>IF(AND(S$4&lt;T_Delivery,T_Delivery-S$4-1&gt;0),S17*in_rev_installments_pct/(T_Delivery-S$4-1),0)</f>
        <v/>
      </c>
      <c r="T20" s="34">
        <f>IF(AND(T$4&lt;T_Delivery,T_Delivery-T$4-1&gt;0),T17*in_rev_installments_pct/(T_Delivery-T$4-1),0)</f>
        <v/>
      </c>
      <c r="U20" s="34">
        <f>IF(AND(U$4&lt;T_Delivery,T_Delivery-U$4-1&gt;0),U17*in_rev_installments_pct/(T_Delivery-U$4-1),0)</f>
        <v/>
      </c>
      <c r="V20" s="34">
        <f>IF(AND(V$4&lt;T_Delivery,T_Delivery-V$4-1&gt;0),V17*in_rev_installments_pct/(T_Delivery-V$4-1),0)</f>
        <v/>
      </c>
      <c r="W20" s="34">
        <f>IF(AND(W$4&lt;T_Delivery,T_Delivery-W$4-1&gt;0),W17*in_rev_installments_pct/(T_Delivery-W$4-1),0)</f>
        <v/>
      </c>
      <c r="X20" s="34">
        <f>IF(AND(X$4&lt;T_Delivery,T_Delivery-X$4-1&gt;0),X17*in_rev_installments_pct/(T_Delivery-X$4-1),0)</f>
        <v/>
      </c>
      <c r="Y20" s="34">
        <f>IF(AND(Y$4&lt;T_Delivery,T_Delivery-Y$4-1&gt;0),Y17*in_rev_installments_pct/(T_Delivery-Y$4-1),0)</f>
        <v/>
      </c>
      <c r="Z20" s="34">
        <f>IF(AND(Z$4&lt;T_Delivery,T_Delivery-Z$4-1&gt;0),Z17*in_rev_installments_pct/(T_Delivery-Z$4-1),0)</f>
        <v/>
      </c>
      <c r="AA20" s="34">
        <f>IF(AND(AA$4&lt;T_Delivery,T_Delivery-AA$4-1&gt;0),AA17*in_rev_installments_pct/(T_Delivery-AA$4-1),0)</f>
        <v/>
      </c>
      <c r="AB20" s="34">
        <f>IF(AND(AB$4&lt;T_Delivery,T_Delivery-AB$4-1&gt;0),AB17*in_rev_installments_pct/(T_Delivery-AB$4-1),0)</f>
        <v/>
      </c>
      <c r="AC20" s="34">
        <f>IF(AND(AC$4&lt;T_Delivery,T_Delivery-AC$4-1&gt;0),AC17*in_rev_installments_pct/(T_Delivery-AC$4-1),0)</f>
        <v/>
      </c>
      <c r="AD20" s="34">
        <f>IF(AND(AD$4&lt;T_Delivery,T_Delivery-AD$4-1&gt;0),AD17*in_rev_installments_pct/(T_Delivery-AD$4-1),0)</f>
        <v/>
      </c>
      <c r="AE20" s="34">
        <f>IF(AND(AE$4&lt;T_Delivery,T_Delivery-AE$4-1&gt;0),AE17*in_rev_installments_pct/(T_Delivery-AE$4-1),0)</f>
        <v/>
      </c>
      <c r="AF20" s="34">
        <f>IF(AND(AF$4&lt;T_Delivery,T_Delivery-AF$4-1&gt;0),AF17*in_rev_installments_pct/(T_Delivery-AF$4-1),0)</f>
        <v/>
      </c>
      <c r="AG20" s="34">
        <f>IF(AND(AG$4&lt;T_Delivery,T_Delivery-AG$4-1&gt;0),AG17*in_rev_installments_pct/(T_Delivery-AG$4-1),0)</f>
        <v/>
      </c>
      <c r="AH20" s="34">
        <f>IF(AND(AH$4&lt;T_Delivery,T_Delivery-AH$4-1&gt;0),AH17*in_rev_installments_pct/(T_Delivery-AH$4-1),0)</f>
        <v/>
      </c>
      <c r="AI20" s="34">
        <f>IF(AND(AI$4&lt;T_Delivery,T_Delivery-AI$4-1&gt;0),AI17*in_rev_installments_pct/(T_Delivery-AI$4-1),0)</f>
        <v/>
      </c>
      <c r="AJ20" s="34">
        <f>IF(AND(AJ$4&lt;T_Delivery,T_Delivery-AJ$4-1&gt;0),AJ17*in_rev_installments_pct/(T_Delivery-AJ$4-1),0)</f>
        <v/>
      </c>
      <c r="AK20" s="34">
        <f>IF(AND(AK$4&lt;T_Delivery,T_Delivery-AK$4-1&gt;0),AK17*in_rev_installments_pct/(T_Delivery-AK$4-1),0)</f>
        <v/>
      </c>
      <c r="AL20" s="34">
        <f>IF(AND(AL$4&lt;T_Delivery,T_Delivery-AL$4-1&gt;0),AL17*in_rev_installments_pct/(T_Delivery-AL$4-1),0)</f>
        <v/>
      </c>
      <c r="AM20" s="34">
        <f>IF(AND(AM$4&lt;T_Delivery,T_Delivery-AM$4-1&gt;0),AM17*in_rev_installments_pct/(T_Delivery-AM$4-1),0)</f>
        <v/>
      </c>
      <c r="AN20" s="34">
        <f>IF(AND(AN$4&lt;T_Delivery,T_Delivery-AN$4-1&gt;0),AN17*in_rev_installments_pct/(T_Delivery-AN$4-1),0)</f>
        <v/>
      </c>
      <c r="AO20" s="34">
        <f>IF(AND(AO$4&lt;T_Delivery,T_Delivery-AO$4-1&gt;0),AO17*in_rev_installments_pct/(T_Delivery-AO$4-1),0)</f>
        <v/>
      </c>
      <c r="AP20" s="34">
        <f>IF(AND(AP$4&lt;T_Delivery,T_Delivery-AP$4-1&gt;0),AP17*in_rev_installments_pct/(T_Delivery-AP$4-1),0)</f>
        <v/>
      </c>
      <c r="AQ20" s="34">
        <f>IF(AND(AQ$4&lt;T_Delivery,T_Delivery-AQ$4-1&gt;0),AQ17*in_rev_installments_pct/(T_Delivery-AQ$4-1),0)</f>
        <v/>
      </c>
      <c r="AR20" s="34">
        <f>IF(AND(AR$4&lt;T_Delivery,T_Delivery-AR$4-1&gt;0),AR17*in_rev_installments_pct/(T_Delivery-AR$4-1),0)</f>
        <v/>
      </c>
      <c r="AS20" s="34">
        <f>IF(AND(AS$4&lt;T_Delivery,T_Delivery-AS$4-1&gt;0),AS17*in_rev_installments_pct/(T_Delivery-AS$4-1),0)</f>
        <v/>
      </c>
      <c r="AT20" s="34">
        <f>IF(AND(AT$4&lt;T_Delivery,T_Delivery-AT$4-1&gt;0),AT17*in_rev_installments_pct/(T_Delivery-AT$4-1),0)</f>
        <v/>
      </c>
      <c r="AU20" s="34">
        <f>IF(AND(AU$4&lt;T_Delivery,T_Delivery-AU$4-1&gt;0),AU17*in_rev_installments_pct/(T_Delivery-AU$4-1),0)</f>
        <v/>
      </c>
      <c r="AV20" s="34">
        <f>IF(AND(AV$4&lt;T_Delivery,T_Delivery-AV$4-1&gt;0),AV17*in_rev_installments_pct/(T_Delivery-AV$4-1),0)</f>
        <v/>
      </c>
      <c r="AW20" s="34">
        <f>IF(AND(AW$4&lt;T_Delivery,T_Delivery-AW$4-1&gt;0),AW17*in_rev_installments_pct/(T_Delivery-AW$4-1),0)</f>
        <v/>
      </c>
      <c r="AX20" s="34">
        <f>IF(AND(AX$4&lt;T_Delivery,T_Delivery-AX$4-1&gt;0),AX17*in_rev_installments_pct/(T_Delivery-AX$4-1),0)</f>
        <v/>
      </c>
      <c r="AY20" s="34">
        <f>IF(AND(AY$4&lt;T_Delivery,T_Delivery-AY$4-1&gt;0),AY17*in_rev_installments_pct/(T_Delivery-AY$4-1),0)</f>
        <v/>
      </c>
      <c r="AZ20" s="34">
        <f>IF(AND(AZ$4&lt;T_Delivery,T_Delivery-AZ$4-1&gt;0),AZ17*in_rev_installments_pct/(T_Delivery-AZ$4-1),0)</f>
        <v/>
      </c>
      <c r="BA20" s="34">
        <f>IF(AND(BA$4&lt;T_Delivery,T_Delivery-BA$4-1&gt;0),BA17*in_rev_installments_pct/(T_Delivery-BA$4-1),0)</f>
        <v/>
      </c>
      <c r="BB20" s="34">
        <f>IF(AND(BB$4&lt;T_Delivery,T_Delivery-BB$4-1&gt;0),BB17*in_rev_installments_pct/(T_Delivery-BB$4-1),0)</f>
        <v/>
      </c>
      <c r="BC20" s="34">
        <f>IF(AND(BC$4&lt;T_Delivery,T_Delivery-BC$4-1&gt;0),BC17*in_rev_installments_pct/(T_Delivery-BC$4-1),0)</f>
        <v/>
      </c>
      <c r="BD20" s="34">
        <f>IF(AND(BD$4&lt;T_Delivery,T_Delivery-BD$4-1&gt;0),BD17*in_rev_installments_pct/(T_Delivery-BD$4-1),0)</f>
        <v/>
      </c>
      <c r="BE20" s="34">
        <f>IF(AND(BE$4&lt;T_Delivery,T_Delivery-BE$4-1&gt;0),BE17*in_rev_installments_pct/(T_Delivery-BE$4-1),0)</f>
        <v/>
      </c>
      <c r="BF20" s="34">
        <f>IF(AND(BF$4&lt;T_Delivery,T_Delivery-BF$4-1&gt;0),BF17*in_rev_installments_pct/(T_Delivery-BF$4-1),0)</f>
        <v/>
      </c>
      <c r="BG20" s="34">
        <f>IF(AND(BG$4&lt;T_Delivery,T_Delivery-BG$4-1&gt;0),BG17*in_rev_installments_pct/(T_Delivery-BG$4-1),0)</f>
        <v/>
      </c>
      <c r="BH20" s="34">
        <f>IF(AND(BH$4&lt;T_Delivery,T_Delivery-BH$4-1&gt;0),BH17*in_rev_installments_pct/(T_Delivery-BH$4-1),0)</f>
        <v/>
      </c>
      <c r="BI20" s="34">
        <f>IF(AND(BI$4&lt;T_Delivery,T_Delivery-BI$4-1&gt;0),BI17*in_rev_installments_pct/(T_Delivery-BI$4-1),0)</f>
        <v/>
      </c>
      <c r="BJ20" s="34">
        <f>IF(AND(BJ$4&lt;T_Delivery,T_Delivery-BJ$4-1&gt;0),BJ17*in_rev_installments_pct/(T_Delivery-BJ$4-1),0)</f>
        <v/>
      </c>
      <c r="BK20" s="34">
        <f>IF(AND(BK$4&lt;T_Delivery,T_Delivery-BK$4-1&gt;0),BK17*in_rev_installments_pct/(T_Delivery-BK$4-1),0)</f>
        <v/>
      </c>
      <c r="BL20" s="34">
        <f>IF(AND(BL$4&lt;T_Delivery,T_Delivery-BL$4-1&gt;0),BL17*in_rev_installments_pct/(T_Delivery-BL$4-1),0)</f>
        <v/>
      </c>
      <c r="BM20" s="34">
        <f>IF(AND(BM$4&lt;T_Delivery,T_Delivery-BM$4-1&gt;0),BM17*in_rev_installments_pct/(T_Delivery-BM$4-1),0)</f>
        <v/>
      </c>
      <c r="BN20" s="34">
        <f>IF(AND(BN$4&lt;T_Delivery,T_Delivery-BN$4-1&gt;0),BN17*in_rev_installments_pct/(T_Delivery-BN$4-1),0)</f>
        <v/>
      </c>
      <c r="BO20" s="34">
        <f>IF(AND(BO$4&lt;T_Delivery,T_Delivery-BO$4-1&gt;0),BO17*in_rev_installments_pct/(T_Delivery-BO$4-1),0)</f>
        <v/>
      </c>
      <c r="BP20" s="34">
        <f>IF(AND(BP$4&lt;T_Delivery,T_Delivery-BP$4-1&gt;0),BP17*in_rev_installments_pct/(T_Delivery-BP$4-1),0)</f>
        <v/>
      </c>
      <c r="BQ20" s="34">
        <f>IF(AND(BQ$4&lt;T_Delivery,T_Delivery-BQ$4-1&gt;0),BQ17*in_rev_installments_pct/(T_Delivery-BQ$4-1),0)</f>
        <v/>
      </c>
      <c r="BR20" s="34">
        <f>IF(AND(BR$4&lt;T_Delivery,T_Delivery-BR$4-1&gt;0),BR17*in_rev_installments_pct/(T_Delivery-BR$4-1),0)</f>
        <v/>
      </c>
      <c r="BS20" s="34">
        <f>IF(AND(BS$4&lt;T_Delivery,T_Delivery-BS$4-1&gt;0),BS17*in_rev_installments_pct/(T_Delivery-BS$4-1),0)</f>
        <v/>
      </c>
      <c r="BT20" s="34">
        <f>IF(AND(BT$4&lt;T_Delivery,T_Delivery-BT$4-1&gt;0),BT17*in_rev_installments_pct/(T_Delivery-BT$4-1),0)</f>
        <v/>
      </c>
      <c r="BU20" s="34">
        <f>IF(AND(BU$4&lt;T_Delivery,T_Delivery-BU$4-1&gt;0),BU17*in_rev_installments_pct/(T_Delivery-BU$4-1),0)</f>
        <v/>
      </c>
      <c r="BV20" s="34">
        <f>IF(AND(BV$4&lt;T_Delivery,T_Delivery-BV$4-1&gt;0),BV17*in_rev_installments_pct/(T_Delivery-BV$4-1),0)</f>
        <v/>
      </c>
      <c r="BW20" s="34">
        <f>IF(AND(BW$4&lt;T_Delivery,T_Delivery-BW$4-1&gt;0),BW17*in_rev_installments_pct/(T_Delivery-BW$4-1),0)</f>
        <v/>
      </c>
      <c r="BX20" s="34">
        <f>IF(AND(BX$4&lt;T_Delivery,T_Delivery-BX$4-1&gt;0),BX17*in_rev_installments_pct/(T_Delivery-BX$4-1),0)</f>
        <v/>
      </c>
      <c r="BY20" s="34">
        <f>IF(AND(BY$4&lt;T_Delivery,T_Delivery-BY$4-1&gt;0),BY17*in_rev_installments_pct/(T_Delivery-BY$4-1),0)</f>
        <v/>
      </c>
      <c r="BZ20" s="34">
        <f>IF(AND(BZ$4&lt;T_Delivery,T_Delivery-BZ$4-1&gt;0),BZ17*in_rev_installments_pct/(T_Delivery-BZ$4-1),0)</f>
        <v/>
      </c>
      <c r="CA20" s="34">
        <f>IF(AND(CA$4&lt;T_Delivery,T_Delivery-CA$4-1&gt;0),CA17*in_rev_installments_pct/(T_Delivery-CA$4-1),0)</f>
        <v/>
      </c>
      <c r="CB20" s="34">
        <f>IF(AND(CB$4&lt;T_Delivery,T_Delivery-CB$4-1&gt;0),CB17*in_rev_installments_pct/(T_Delivery-CB$4-1),0)</f>
        <v/>
      </c>
      <c r="CC20" s="34">
        <f>IF(AND(CC$4&lt;T_Delivery,T_Delivery-CC$4-1&gt;0),CC17*in_rev_installments_pct/(T_Delivery-CC$4-1),0)</f>
        <v/>
      </c>
      <c r="CD20" s="34">
        <f>IF(AND(CD$4&lt;T_Delivery,T_Delivery-CD$4-1&gt;0),CD17*in_rev_installments_pct/(T_Delivery-CD$4-1),0)</f>
        <v/>
      </c>
      <c r="CE20" s="34">
        <f>IF(AND(CE$4&lt;T_Delivery,T_Delivery-CE$4-1&gt;0),CE17*in_rev_installments_pct/(T_Delivery-CE$4-1),0)</f>
        <v/>
      </c>
      <c r="CF20" s="34">
        <f>IF(AND(CF$4&lt;T_Delivery,T_Delivery-CF$4-1&gt;0),CF17*in_rev_installments_pct/(T_Delivery-CF$4-1),0)</f>
        <v/>
      </c>
      <c r="CG20" s="34">
        <f>IF(AND(CG$4&lt;T_Delivery,T_Delivery-CG$4-1&gt;0),CG17*in_rev_installments_pct/(T_Delivery-CG$4-1),0)</f>
        <v/>
      </c>
      <c r="CH20" s="34">
        <f>IF(AND(CH$4&lt;T_Delivery,T_Delivery-CH$4-1&gt;0),CH17*in_rev_installments_pct/(T_Delivery-CH$4-1),0)</f>
        <v/>
      </c>
      <c r="CI20" s="34">
        <f>IF(AND(CI$4&lt;T_Delivery,T_Delivery-CI$4-1&gt;0),CI17*in_rev_installments_pct/(T_Delivery-CI$4-1),0)</f>
        <v/>
      </c>
      <c r="CJ20" s="34">
        <f>IF(AND(CJ$4&lt;T_Delivery,T_Delivery-CJ$4-1&gt;0),CJ17*in_rev_installments_pct/(T_Delivery-CJ$4-1),0)</f>
        <v/>
      </c>
      <c r="CK20" s="34">
        <f>IF(AND(CK$4&lt;T_Delivery,T_Delivery-CK$4-1&gt;0),CK17*in_rev_installments_pct/(T_Delivery-CK$4-1),0)</f>
        <v/>
      </c>
      <c r="CL20" s="34">
        <f>IF(AND(CL$4&lt;T_Delivery,T_Delivery-CL$4-1&gt;0),CL17*in_rev_installments_pct/(T_Delivery-CL$4-1),0)</f>
        <v/>
      </c>
      <c r="CM20" s="34">
        <f>IF(AND(CM$4&lt;T_Delivery,T_Delivery-CM$4-1&gt;0),CM17*in_rev_installments_pct/(T_Delivery-CM$4-1),0)</f>
        <v/>
      </c>
      <c r="CN20" s="34">
        <f>IF(AND(CN$4&lt;T_Delivery,T_Delivery-CN$4-1&gt;0),CN17*in_rev_installments_pct/(T_Delivery-CN$4-1),0)</f>
        <v/>
      </c>
      <c r="CO20" s="34">
        <f>IF(AND(CO$4&lt;T_Delivery,T_Delivery-CO$4-1&gt;0),CO17*in_rev_installments_pct/(T_Delivery-CO$4-1),0)</f>
        <v/>
      </c>
      <c r="CP20" s="34">
        <f>IF(AND(CP$4&lt;T_Delivery,T_Delivery-CP$4-1&gt;0),CP17*in_rev_installments_pct/(T_Delivery-CP$4-1),0)</f>
        <v/>
      </c>
      <c r="CQ20" s="34">
        <f>IF(AND(CQ$4&lt;T_Delivery,T_Delivery-CQ$4-1&gt;0),CQ17*in_rev_installments_pct/(T_Delivery-CQ$4-1),0)</f>
        <v/>
      </c>
      <c r="CR20" s="34">
        <f>IF(AND(CR$4&lt;T_Delivery,T_Delivery-CR$4-1&gt;0),CR17*in_rev_installments_pct/(T_Delivery-CR$4-1),0)</f>
        <v/>
      </c>
      <c r="CS20" s="34">
        <f>IF(AND(CS$4&lt;T_Delivery,T_Delivery-CS$4-1&gt;0),CS17*in_rev_installments_pct/(T_Delivery-CS$4-1),0)</f>
        <v/>
      </c>
      <c r="CT20" s="34">
        <f>IF(AND(CT$4&lt;T_Delivery,T_Delivery-CT$4-1&gt;0),CT17*in_rev_installments_pct/(T_Delivery-CT$4-1),0)</f>
        <v/>
      </c>
      <c r="CU20" s="34">
        <f>IF(AND(CU$4&lt;T_Delivery,T_Delivery-CU$4-1&gt;0),CU17*in_rev_installments_pct/(T_Delivery-CU$4-1),0)</f>
        <v/>
      </c>
    </row>
    <row r="21">
      <c r="A21" s="7" t="inlineStr">
        <is>
          <t>Construction-stage installments</t>
        </is>
      </c>
      <c r="B21" s="21">
        <f>SUM(D21:CU21)</f>
        <v/>
      </c>
      <c r="C21" s="11" t="inlineStr"/>
      <c r="D21" s="34">
        <f>IF(D$4&lt;T_Delivery,SUMPRODUCT(($D$4:$CU$4&lt;D$4)*$D$20:$CU$20),0)</f>
        <v/>
      </c>
      <c r="E21" s="34">
        <f>IF(E$4&lt;T_Delivery,SUMPRODUCT(($D$4:$CU$4&lt;E$4)*$D$20:$CU$20),0)</f>
        <v/>
      </c>
      <c r="F21" s="34">
        <f>IF(F$4&lt;T_Delivery,SUMPRODUCT(($D$4:$CU$4&lt;F$4)*$D$20:$CU$20),0)</f>
        <v/>
      </c>
      <c r="G21" s="34">
        <f>IF(G$4&lt;T_Delivery,SUMPRODUCT(($D$4:$CU$4&lt;G$4)*$D$20:$CU$20),0)</f>
        <v/>
      </c>
      <c r="H21" s="34">
        <f>IF(H$4&lt;T_Delivery,SUMPRODUCT(($D$4:$CU$4&lt;H$4)*$D$20:$CU$20),0)</f>
        <v/>
      </c>
      <c r="I21" s="34">
        <f>IF(I$4&lt;T_Delivery,SUMPRODUCT(($D$4:$CU$4&lt;I$4)*$D$20:$CU$20),0)</f>
        <v/>
      </c>
      <c r="J21" s="34">
        <f>IF(J$4&lt;T_Delivery,SUMPRODUCT(($D$4:$CU$4&lt;J$4)*$D$20:$CU$20),0)</f>
        <v/>
      </c>
      <c r="K21" s="34">
        <f>IF(K$4&lt;T_Delivery,SUMPRODUCT(($D$4:$CU$4&lt;K$4)*$D$20:$CU$20),0)</f>
        <v/>
      </c>
      <c r="L21" s="34">
        <f>IF(L$4&lt;T_Delivery,SUMPRODUCT(($D$4:$CU$4&lt;L$4)*$D$20:$CU$20),0)</f>
        <v/>
      </c>
      <c r="M21" s="34">
        <f>IF(M$4&lt;T_Delivery,SUMPRODUCT(($D$4:$CU$4&lt;M$4)*$D$20:$CU$20),0)</f>
        <v/>
      </c>
      <c r="N21" s="34">
        <f>IF(N$4&lt;T_Delivery,SUMPRODUCT(($D$4:$CU$4&lt;N$4)*$D$20:$CU$20),0)</f>
        <v/>
      </c>
      <c r="O21" s="34">
        <f>IF(O$4&lt;T_Delivery,SUMPRODUCT(($D$4:$CU$4&lt;O$4)*$D$20:$CU$20),0)</f>
        <v/>
      </c>
      <c r="P21" s="34">
        <f>IF(P$4&lt;T_Delivery,SUMPRODUCT(($D$4:$CU$4&lt;P$4)*$D$20:$CU$20),0)</f>
        <v/>
      </c>
      <c r="Q21" s="34">
        <f>IF(Q$4&lt;T_Delivery,SUMPRODUCT(($D$4:$CU$4&lt;Q$4)*$D$20:$CU$20),0)</f>
        <v/>
      </c>
      <c r="R21" s="34">
        <f>IF(R$4&lt;T_Delivery,SUMPRODUCT(($D$4:$CU$4&lt;R$4)*$D$20:$CU$20),0)</f>
        <v/>
      </c>
      <c r="S21" s="34">
        <f>IF(S$4&lt;T_Delivery,SUMPRODUCT(($D$4:$CU$4&lt;S$4)*$D$20:$CU$20),0)</f>
        <v/>
      </c>
      <c r="T21" s="34">
        <f>IF(T$4&lt;T_Delivery,SUMPRODUCT(($D$4:$CU$4&lt;T$4)*$D$20:$CU$20),0)</f>
        <v/>
      </c>
      <c r="U21" s="34">
        <f>IF(U$4&lt;T_Delivery,SUMPRODUCT(($D$4:$CU$4&lt;U$4)*$D$20:$CU$20),0)</f>
        <v/>
      </c>
      <c r="V21" s="34">
        <f>IF(V$4&lt;T_Delivery,SUMPRODUCT(($D$4:$CU$4&lt;V$4)*$D$20:$CU$20),0)</f>
        <v/>
      </c>
      <c r="W21" s="34">
        <f>IF(W$4&lt;T_Delivery,SUMPRODUCT(($D$4:$CU$4&lt;W$4)*$D$20:$CU$20),0)</f>
        <v/>
      </c>
      <c r="X21" s="34">
        <f>IF(X$4&lt;T_Delivery,SUMPRODUCT(($D$4:$CU$4&lt;X$4)*$D$20:$CU$20),0)</f>
        <v/>
      </c>
      <c r="Y21" s="34">
        <f>IF(Y$4&lt;T_Delivery,SUMPRODUCT(($D$4:$CU$4&lt;Y$4)*$D$20:$CU$20),0)</f>
        <v/>
      </c>
      <c r="Z21" s="34">
        <f>IF(Z$4&lt;T_Delivery,SUMPRODUCT(($D$4:$CU$4&lt;Z$4)*$D$20:$CU$20),0)</f>
        <v/>
      </c>
      <c r="AA21" s="34">
        <f>IF(AA$4&lt;T_Delivery,SUMPRODUCT(($D$4:$CU$4&lt;AA$4)*$D$20:$CU$20),0)</f>
        <v/>
      </c>
      <c r="AB21" s="34">
        <f>IF(AB$4&lt;T_Delivery,SUMPRODUCT(($D$4:$CU$4&lt;AB$4)*$D$20:$CU$20),0)</f>
        <v/>
      </c>
      <c r="AC21" s="34">
        <f>IF(AC$4&lt;T_Delivery,SUMPRODUCT(($D$4:$CU$4&lt;AC$4)*$D$20:$CU$20),0)</f>
        <v/>
      </c>
      <c r="AD21" s="34">
        <f>IF(AD$4&lt;T_Delivery,SUMPRODUCT(($D$4:$CU$4&lt;AD$4)*$D$20:$CU$20),0)</f>
        <v/>
      </c>
      <c r="AE21" s="34">
        <f>IF(AE$4&lt;T_Delivery,SUMPRODUCT(($D$4:$CU$4&lt;AE$4)*$D$20:$CU$20),0)</f>
        <v/>
      </c>
      <c r="AF21" s="34">
        <f>IF(AF$4&lt;T_Delivery,SUMPRODUCT(($D$4:$CU$4&lt;AF$4)*$D$20:$CU$20),0)</f>
        <v/>
      </c>
      <c r="AG21" s="34">
        <f>IF(AG$4&lt;T_Delivery,SUMPRODUCT(($D$4:$CU$4&lt;AG$4)*$D$20:$CU$20),0)</f>
        <v/>
      </c>
      <c r="AH21" s="34">
        <f>IF(AH$4&lt;T_Delivery,SUMPRODUCT(($D$4:$CU$4&lt;AH$4)*$D$20:$CU$20),0)</f>
        <v/>
      </c>
      <c r="AI21" s="34">
        <f>IF(AI$4&lt;T_Delivery,SUMPRODUCT(($D$4:$CU$4&lt;AI$4)*$D$20:$CU$20),0)</f>
        <v/>
      </c>
      <c r="AJ21" s="34">
        <f>IF(AJ$4&lt;T_Delivery,SUMPRODUCT(($D$4:$CU$4&lt;AJ$4)*$D$20:$CU$20),0)</f>
        <v/>
      </c>
      <c r="AK21" s="34">
        <f>IF(AK$4&lt;T_Delivery,SUMPRODUCT(($D$4:$CU$4&lt;AK$4)*$D$20:$CU$20),0)</f>
        <v/>
      </c>
      <c r="AL21" s="34">
        <f>IF(AL$4&lt;T_Delivery,SUMPRODUCT(($D$4:$CU$4&lt;AL$4)*$D$20:$CU$20),0)</f>
        <v/>
      </c>
      <c r="AM21" s="34">
        <f>IF(AM$4&lt;T_Delivery,SUMPRODUCT(($D$4:$CU$4&lt;AM$4)*$D$20:$CU$20),0)</f>
        <v/>
      </c>
      <c r="AN21" s="34">
        <f>IF(AN$4&lt;T_Delivery,SUMPRODUCT(($D$4:$CU$4&lt;AN$4)*$D$20:$CU$20),0)</f>
        <v/>
      </c>
      <c r="AO21" s="34">
        <f>IF(AO$4&lt;T_Delivery,SUMPRODUCT(($D$4:$CU$4&lt;AO$4)*$D$20:$CU$20),0)</f>
        <v/>
      </c>
      <c r="AP21" s="34">
        <f>IF(AP$4&lt;T_Delivery,SUMPRODUCT(($D$4:$CU$4&lt;AP$4)*$D$20:$CU$20),0)</f>
        <v/>
      </c>
      <c r="AQ21" s="34">
        <f>IF(AQ$4&lt;T_Delivery,SUMPRODUCT(($D$4:$CU$4&lt;AQ$4)*$D$20:$CU$20),0)</f>
        <v/>
      </c>
      <c r="AR21" s="34">
        <f>IF(AR$4&lt;T_Delivery,SUMPRODUCT(($D$4:$CU$4&lt;AR$4)*$D$20:$CU$20),0)</f>
        <v/>
      </c>
      <c r="AS21" s="34">
        <f>IF(AS$4&lt;T_Delivery,SUMPRODUCT(($D$4:$CU$4&lt;AS$4)*$D$20:$CU$20),0)</f>
        <v/>
      </c>
      <c r="AT21" s="34">
        <f>IF(AT$4&lt;T_Delivery,SUMPRODUCT(($D$4:$CU$4&lt;AT$4)*$D$20:$CU$20),0)</f>
        <v/>
      </c>
      <c r="AU21" s="34">
        <f>IF(AU$4&lt;T_Delivery,SUMPRODUCT(($D$4:$CU$4&lt;AU$4)*$D$20:$CU$20),0)</f>
        <v/>
      </c>
      <c r="AV21" s="34">
        <f>IF(AV$4&lt;T_Delivery,SUMPRODUCT(($D$4:$CU$4&lt;AV$4)*$D$20:$CU$20),0)</f>
        <v/>
      </c>
      <c r="AW21" s="34">
        <f>IF(AW$4&lt;T_Delivery,SUMPRODUCT(($D$4:$CU$4&lt;AW$4)*$D$20:$CU$20),0)</f>
        <v/>
      </c>
      <c r="AX21" s="34">
        <f>IF(AX$4&lt;T_Delivery,SUMPRODUCT(($D$4:$CU$4&lt;AX$4)*$D$20:$CU$20),0)</f>
        <v/>
      </c>
      <c r="AY21" s="34">
        <f>IF(AY$4&lt;T_Delivery,SUMPRODUCT(($D$4:$CU$4&lt;AY$4)*$D$20:$CU$20),0)</f>
        <v/>
      </c>
      <c r="AZ21" s="34">
        <f>IF(AZ$4&lt;T_Delivery,SUMPRODUCT(($D$4:$CU$4&lt;AZ$4)*$D$20:$CU$20),0)</f>
        <v/>
      </c>
      <c r="BA21" s="34">
        <f>IF(BA$4&lt;T_Delivery,SUMPRODUCT(($D$4:$CU$4&lt;BA$4)*$D$20:$CU$20),0)</f>
        <v/>
      </c>
      <c r="BB21" s="34">
        <f>IF(BB$4&lt;T_Delivery,SUMPRODUCT(($D$4:$CU$4&lt;BB$4)*$D$20:$CU$20),0)</f>
        <v/>
      </c>
      <c r="BC21" s="34">
        <f>IF(BC$4&lt;T_Delivery,SUMPRODUCT(($D$4:$CU$4&lt;BC$4)*$D$20:$CU$20),0)</f>
        <v/>
      </c>
      <c r="BD21" s="34">
        <f>IF(BD$4&lt;T_Delivery,SUMPRODUCT(($D$4:$CU$4&lt;BD$4)*$D$20:$CU$20),0)</f>
        <v/>
      </c>
      <c r="BE21" s="34">
        <f>IF(BE$4&lt;T_Delivery,SUMPRODUCT(($D$4:$CU$4&lt;BE$4)*$D$20:$CU$20),0)</f>
        <v/>
      </c>
      <c r="BF21" s="34">
        <f>IF(BF$4&lt;T_Delivery,SUMPRODUCT(($D$4:$CU$4&lt;BF$4)*$D$20:$CU$20),0)</f>
        <v/>
      </c>
      <c r="BG21" s="34">
        <f>IF(BG$4&lt;T_Delivery,SUMPRODUCT(($D$4:$CU$4&lt;BG$4)*$D$20:$CU$20),0)</f>
        <v/>
      </c>
      <c r="BH21" s="34">
        <f>IF(BH$4&lt;T_Delivery,SUMPRODUCT(($D$4:$CU$4&lt;BH$4)*$D$20:$CU$20),0)</f>
        <v/>
      </c>
      <c r="BI21" s="34">
        <f>IF(BI$4&lt;T_Delivery,SUMPRODUCT(($D$4:$CU$4&lt;BI$4)*$D$20:$CU$20),0)</f>
        <v/>
      </c>
      <c r="BJ21" s="34">
        <f>IF(BJ$4&lt;T_Delivery,SUMPRODUCT(($D$4:$CU$4&lt;BJ$4)*$D$20:$CU$20),0)</f>
        <v/>
      </c>
      <c r="BK21" s="34">
        <f>IF(BK$4&lt;T_Delivery,SUMPRODUCT(($D$4:$CU$4&lt;BK$4)*$D$20:$CU$20),0)</f>
        <v/>
      </c>
      <c r="BL21" s="34">
        <f>IF(BL$4&lt;T_Delivery,SUMPRODUCT(($D$4:$CU$4&lt;BL$4)*$D$20:$CU$20),0)</f>
        <v/>
      </c>
      <c r="BM21" s="34">
        <f>IF(BM$4&lt;T_Delivery,SUMPRODUCT(($D$4:$CU$4&lt;BM$4)*$D$20:$CU$20),0)</f>
        <v/>
      </c>
      <c r="BN21" s="34">
        <f>IF(BN$4&lt;T_Delivery,SUMPRODUCT(($D$4:$CU$4&lt;BN$4)*$D$20:$CU$20),0)</f>
        <v/>
      </c>
      <c r="BO21" s="34">
        <f>IF(BO$4&lt;T_Delivery,SUMPRODUCT(($D$4:$CU$4&lt;BO$4)*$D$20:$CU$20),0)</f>
        <v/>
      </c>
      <c r="BP21" s="34">
        <f>IF(BP$4&lt;T_Delivery,SUMPRODUCT(($D$4:$CU$4&lt;BP$4)*$D$20:$CU$20),0)</f>
        <v/>
      </c>
      <c r="BQ21" s="34">
        <f>IF(BQ$4&lt;T_Delivery,SUMPRODUCT(($D$4:$CU$4&lt;BQ$4)*$D$20:$CU$20),0)</f>
        <v/>
      </c>
      <c r="BR21" s="34">
        <f>IF(BR$4&lt;T_Delivery,SUMPRODUCT(($D$4:$CU$4&lt;BR$4)*$D$20:$CU$20),0)</f>
        <v/>
      </c>
      <c r="BS21" s="34">
        <f>IF(BS$4&lt;T_Delivery,SUMPRODUCT(($D$4:$CU$4&lt;BS$4)*$D$20:$CU$20),0)</f>
        <v/>
      </c>
      <c r="BT21" s="34">
        <f>IF(BT$4&lt;T_Delivery,SUMPRODUCT(($D$4:$CU$4&lt;BT$4)*$D$20:$CU$20),0)</f>
        <v/>
      </c>
      <c r="BU21" s="34">
        <f>IF(BU$4&lt;T_Delivery,SUMPRODUCT(($D$4:$CU$4&lt;BU$4)*$D$20:$CU$20),0)</f>
        <v/>
      </c>
      <c r="BV21" s="34">
        <f>IF(BV$4&lt;T_Delivery,SUMPRODUCT(($D$4:$CU$4&lt;BV$4)*$D$20:$CU$20),0)</f>
        <v/>
      </c>
      <c r="BW21" s="34">
        <f>IF(BW$4&lt;T_Delivery,SUMPRODUCT(($D$4:$CU$4&lt;BW$4)*$D$20:$CU$20),0)</f>
        <v/>
      </c>
      <c r="BX21" s="34">
        <f>IF(BX$4&lt;T_Delivery,SUMPRODUCT(($D$4:$CU$4&lt;BX$4)*$D$20:$CU$20),0)</f>
        <v/>
      </c>
      <c r="BY21" s="34">
        <f>IF(BY$4&lt;T_Delivery,SUMPRODUCT(($D$4:$CU$4&lt;BY$4)*$D$20:$CU$20),0)</f>
        <v/>
      </c>
      <c r="BZ21" s="34">
        <f>IF(BZ$4&lt;T_Delivery,SUMPRODUCT(($D$4:$CU$4&lt;BZ$4)*$D$20:$CU$20),0)</f>
        <v/>
      </c>
      <c r="CA21" s="34">
        <f>IF(CA$4&lt;T_Delivery,SUMPRODUCT(($D$4:$CU$4&lt;CA$4)*$D$20:$CU$20),0)</f>
        <v/>
      </c>
      <c r="CB21" s="34">
        <f>IF(CB$4&lt;T_Delivery,SUMPRODUCT(($D$4:$CU$4&lt;CB$4)*$D$20:$CU$20),0)</f>
        <v/>
      </c>
      <c r="CC21" s="34">
        <f>IF(CC$4&lt;T_Delivery,SUMPRODUCT(($D$4:$CU$4&lt;CC$4)*$D$20:$CU$20),0)</f>
        <v/>
      </c>
      <c r="CD21" s="34">
        <f>IF(CD$4&lt;T_Delivery,SUMPRODUCT(($D$4:$CU$4&lt;CD$4)*$D$20:$CU$20),0)</f>
        <v/>
      </c>
      <c r="CE21" s="34">
        <f>IF(CE$4&lt;T_Delivery,SUMPRODUCT(($D$4:$CU$4&lt;CE$4)*$D$20:$CU$20),0)</f>
        <v/>
      </c>
      <c r="CF21" s="34">
        <f>IF(CF$4&lt;T_Delivery,SUMPRODUCT(($D$4:$CU$4&lt;CF$4)*$D$20:$CU$20),0)</f>
        <v/>
      </c>
      <c r="CG21" s="34">
        <f>IF(CG$4&lt;T_Delivery,SUMPRODUCT(($D$4:$CU$4&lt;CG$4)*$D$20:$CU$20),0)</f>
        <v/>
      </c>
      <c r="CH21" s="34">
        <f>IF(CH$4&lt;T_Delivery,SUMPRODUCT(($D$4:$CU$4&lt;CH$4)*$D$20:$CU$20),0)</f>
        <v/>
      </c>
      <c r="CI21" s="34">
        <f>IF(CI$4&lt;T_Delivery,SUMPRODUCT(($D$4:$CU$4&lt;CI$4)*$D$20:$CU$20),0)</f>
        <v/>
      </c>
      <c r="CJ21" s="34">
        <f>IF(CJ$4&lt;T_Delivery,SUMPRODUCT(($D$4:$CU$4&lt;CJ$4)*$D$20:$CU$20),0)</f>
        <v/>
      </c>
      <c r="CK21" s="34">
        <f>IF(CK$4&lt;T_Delivery,SUMPRODUCT(($D$4:$CU$4&lt;CK$4)*$D$20:$CU$20),0)</f>
        <v/>
      </c>
      <c r="CL21" s="34">
        <f>IF(CL$4&lt;T_Delivery,SUMPRODUCT(($D$4:$CU$4&lt;CL$4)*$D$20:$CU$20),0)</f>
        <v/>
      </c>
      <c r="CM21" s="34">
        <f>IF(CM$4&lt;T_Delivery,SUMPRODUCT(($D$4:$CU$4&lt;CM$4)*$D$20:$CU$20),0)</f>
        <v/>
      </c>
      <c r="CN21" s="34">
        <f>IF(CN$4&lt;T_Delivery,SUMPRODUCT(($D$4:$CU$4&lt;CN$4)*$D$20:$CU$20),0)</f>
        <v/>
      </c>
      <c r="CO21" s="34">
        <f>IF(CO$4&lt;T_Delivery,SUMPRODUCT(($D$4:$CU$4&lt;CO$4)*$D$20:$CU$20),0)</f>
        <v/>
      </c>
      <c r="CP21" s="34">
        <f>IF(CP$4&lt;T_Delivery,SUMPRODUCT(($D$4:$CU$4&lt;CP$4)*$D$20:$CU$20),0)</f>
        <v/>
      </c>
      <c r="CQ21" s="34">
        <f>IF(CQ$4&lt;T_Delivery,SUMPRODUCT(($D$4:$CU$4&lt;CQ$4)*$D$20:$CU$20),0)</f>
        <v/>
      </c>
      <c r="CR21" s="34">
        <f>IF(CR$4&lt;T_Delivery,SUMPRODUCT(($D$4:$CU$4&lt;CR$4)*$D$20:$CU$20),0)</f>
        <v/>
      </c>
      <c r="CS21" s="34">
        <f>IF(CS$4&lt;T_Delivery,SUMPRODUCT(($D$4:$CU$4&lt;CS$4)*$D$20:$CU$20),0)</f>
        <v/>
      </c>
      <c r="CT21" s="34">
        <f>IF(CT$4&lt;T_Delivery,SUMPRODUCT(($D$4:$CU$4&lt;CT$4)*$D$20:$CU$20),0)</f>
        <v/>
      </c>
      <c r="CU21" s="34">
        <f>IF(CU$4&lt;T_Delivery,SUMPRODUCT(($D$4:$CU$4&lt;CU$4)*$D$20:$CU$20),0)</f>
        <v/>
      </c>
    </row>
    <row r="22">
      <c r="A22" s="7" t="inlineStr">
        <is>
          <t>Balance at delivery (closing)</t>
        </is>
      </c>
      <c r="B22" s="21">
        <f>SUM(D22:CU22)</f>
        <v/>
      </c>
      <c r="C22" s="11" t="inlineStr"/>
      <c r="D22" s="34">
        <f>IF(D$4=T_Delivery,in_rev_closing_pct*SUMPRODUCT(($D$4:$CU$4&lt;T_Delivery)*$D$17:$CU$17)+in_rev_installments_pct*SUMPRODUCT(($D$4:$CU$4=T_Delivery-1)*$D$17:$CU$17),0)</f>
        <v/>
      </c>
      <c r="E22" s="34">
        <f>IF(E$4=T_Delivery,in_rev_closing_pct*SUMPRODUCT(($D$4:$CU$4&lt;T_Delivery)*$D$17:$CU$17)+in_rev_installments_pct*SUMPRODUCT(($D$4:$CU$4=T_Delivery-1)*$D$17:$CU$17),0)</f>
        <v/>
      </c>
      <c r="F22" s="34">
        <f>IF(F$4=T_Delivery,in_rev_closing_pct*SUMPRODUCT(($D$4:$CU$4&lt;T_Delivery)*$D$17:$CU$17)+in_rev_installments_pct*SUMPRODUCT(($D$4:$CU$4=T_Delivery-1)*$D$17:$CU$17),0)</f>
        <v/>
      </c>
      <c r="G22" s="34">
        <f>IF(G$4=T_Delivery,in_rev_closing_pct*SUMPRODUCT(($D$4:$CU$4&lt;T_Delivery)*$D$17:$CU$17)+in_rev_installments_pct*SUMPRODUCT(($D$4:$CU$4=T_Delivery-1)*$D$17:$CU$17),0)</f>
        <v/>
      </c>
      <c r="H22" s="34">
        <f>IF(H$4=T_Delivery,in_rev_closing_pct*SUMPRODUCT(($D$4:$CU$4&lt;T_Delivery)*$D$17:$CU$17)+in_rev_installments_pct*SUMPRODUCT(($D$4:$CU$4=T_Delivery-1)*$D$17:$CU$17),0)</f>
        <v/>
      </c>
      <c r="I22" s="34">
        <f>IF(I$4=T_Delivery,in_rev_closing_pct*SUMPRODUCT(($D$4:$CU$4&lt;T_Delivery)*$D$17:$CU$17)+in_rev_installments_pct*SUMPRODUCT(($D$4:$CU$4=T_Delivery-1)*$D$17:$CU$17),0)</f>
        <v/>
      </c>
      <c r="J22" s="34">
        <f>IF(J$4=T_Delivery,in_rev_closing_pct*SUMPRODUCT(($D$4:$CU$4&lt;T_Delivery)*$D$17:$CU$17)+in_rev_installments_pct*SUMPRODUCT(($D$4:$CU$4=T_Delivery-1)*$D$17:$CU$17),0)</f>
        <v/>
      </c>
      <c r="K22" s="34">
        <f>IF(K$4=T_Delivery,in_rev_closing_pct*SUMPRODUCT(($D$4:$CU$4&lt;T_Delivery)*$D$17:$CU$17)+in_rev_installments_pct*SUMPRODUCT(($D$4:$CU$4=T_Delivery-1)*$D$17:$CU$17),0)</f>
        <v/>
      </c>
      <c r="L22" s="34">
        <f>IF(L$4=T_Delivery,in_rev_closing_pct*SUMPRODUCT(($D$4:$CU$4&lt;T_Delivery)*$D$17:$CU$17)+in_rev_installments_pct*SUMPRODUCT(($D$4:$CU$4=T_Delivery-1)*$D$17:$CU$17),0)</f>
        <v/>
      </c>
      <c r="M22" s="34">
        <f>IF(M$4=T_Delivery,in_rev_closing_pct*SUMPRODUCT(($D$4:$CU$4&lt;T_Delivery)*$D$17:$CU$17)+in_rev_installments_pct*SUMPRODUCT(($D$4:$CU$4=T_Delivery-1)*$D$17:$CU$17),0)</f>
        <v/>
      </c>
      <c r="N22" s="34">
        <f>IF(N$4=T_Delivery,in_rev_closing_pct*SUMPRODUCT(($D$4:$CU$4&lt;T_Delivery)*$D$17:$CU$17)+in_rev_installments_pct*SUMPRODUCT(($D$4:$CU$4=T_Delivery-1)*$D$17:$CU$17),0)</f>
        <v/>
      </c>
      <c r="O22" s="34">
        <f>IF(O$4=T_Delivery,in_rev_closing_pct*SUMPRODUCT(($D$4:$CU$4&lt;T_Delivery)*$D$17:$CU$17)+in_rev_installments_pct*SUMPRODUCT(($D$4:$CU$4=T_Delivery-1)*$D$17:$CU$17),0)</f>
        <v/>
      </c>
      <c r="P22" s="34">
        <f>IF(P$4=T_Delivery,in_rev_closing_pct*SUMPRODUCT(($D$4:$CU$4&lt;T_Delivery)*$D$17:$CU$17)+in_rev_installments_pct*SUMPRODUCT(($D$4:$CU$4=T_Delivery-1)*$D$17:$CU$17),0)</f>
        <v/>
      </c>
      <c r="Q22" s="34">
        <f>IF(Q$4=T_Delivery,in_rev_closing_pct*SUMPRODUCT(($D$4:$CU$4&lt;T_Delivery)*$D$17:$CU$17)+in_rev_installments_pct*SUMPRODUCT(($D$4:$CU$4=T_Delivery-1)*$D$17:$CU$17),0)</f>
        <v/>
      </c>
      <c r="R22" s="34">
        <f>IF(R$4=T_Delivery,in_rev_closing_pct*SUMPRODUCT(($D$4:$CU$4&lt;T_Delivery)*$D$17:$CU$17)+in_rev_installments_pct*SUMPRODUCT(($D$4:$CU$4=T_Delivery-1)*$D$17:$CU$17),0)</f>
        <v/>
      </c>
      <c r="S22" s="34">
        <f>IF(S$4=T_Delivery,in_rev_closing_pct*SUMPRODUCT(($D$4:$CU$4&lt;T_Delivery)*$D$17:$CU$17)+in_rev_installments_pct*SUMPRODUCT(($D$4:$CU$4=T_Delivery-1)*$D$17:$CU$17),0)</f>
        <v/>
      </c>
      <c r="T22" s="34">
        <f>IF(T$4=T_Delivery,in_rev_closing_pct*SUMPRODUCT(($D$4:$CU$4&lt;T_Delivery)*$D$17:$CU$17)+in_rev_installments_pct*SUMPRODUCT(($D$4:$CU$4=T_Delivery-1)*$D$17:$CU$17),0)</f>
        <v/>
      </c>
      <c r="U22" s="34">
        <f>IF(U$4=T_Delivery,in_rev_closing_pct*SUMPRODUCT(($D$4:$CU$4&lt;T_Delivery)*$D$17:$CU$17)+in_rev_installments_pct*SUMPRODUCT(($D$4:$CU$4=T_Delivery-1)*$D$17:$CU$17),0)</f>
        <v/>
      </c>
      <c r="V22" s="34">
        <f>IF(V$4=T_Delivery,in_rev_closing_pct*SUMPRODUCT(($D$4:$CU$4&lt;T_Delivery)*$D$17:$CU$17)+in_rev_installments_pct*SUMPRODUCT(($D$4:$CU$4=T_Delivery-1)*$D$17:$CU$17),0)</f>
        <v/>
      </c>
      <c r="W22" s="34">
        <f>IF(W$4=T_Delivery,in_rev_closing_pct*SUMPRODUCT(($D$4:$CU$4&lt;T_Delivery)*$D$17:$CU$17)+in_rev_installments_pct*SUMPRODUCT(($D$4:$CU$4=T_Delivery-1)*$D$17:$CU$17),0)</f>
        <v/>
      </c>
      <c r="X22" s="34">
        <f>IF(X$4=T_Delivery,in_rev_closing_pct*SUMPRODUCT(($D$4:$CU$4&lt;T_Delivery)*$D$17:$CU$17)+in_rev_installments_pct*SUMPRODUCT(($D$4:$CU$4=T_Delivery-1)*$D$17:$CU$17),0)</f>
        <v/>
      </c>
      <c r="Y22" s="34">
        <f>IF(Y$4=T_Delivery,in_rev_closing_pct*SUMPRODUCT(($D$4:$CU$4&lt;T_Delivery)*$D$17:$CU$17)+in_rev_installments_pct*SUMPRODUCT(($D$4:$CU$4=T_Delivery-1)*$D$17:$CU$17),0)</f>
        <v/>
      </c>
      <c r="Z22" s="34">
        <f>IF(Z$4=T_Delivery,in_rev_closing_pct*SUMPRODUCT(($D$4:$CU$4&lt;T_Delivery)*$D$17:$CU$17)+in_rev_installments_pct*SUMPRODUCT(($D$4:$CU$4=T_Delivery-1)*$D$17:$CU$17),0)</f>
        <v/>
      </c>
      <c r="AA22" s="34">
        <f>IF(AA$4=T_Delivery,in_rev_closing_pct*SUMPRODUCT(($D$4:$CU$4&lt;T_Delivery)*$D$17:$CU$17)+in_rev_installments_pct*SUMPRODUCT(($D$4:$CU$4=T_Delivery-1)*$D$17:$CU$17),0)</f>
        <v/>
      </c>
      <c r="AB22" s="34">
        <f>IF(AB$4=T_Delivery,in_rev_closing_pct*SUMPRODUCT(($D$4:$CU$4&lt;T_Delivery)*$D$17:$CU$17)+in_rev_installments_pct*SUMPRODUCT(($D$4:$CU$4=T_Delivery-1)*$D$17:$CU$17),0)</f>
        <v/>
      </c>
      <c r="AC22" s="34">
        <f>IF(AC$4=T_Delivery,in_rev_closing_pct*SUMPRODUCT(($D$4:$CU$4&lt;T_Delivery)*$D$17:$CU$17)+in_rev_installments_pct*SUMPRODUCT(($D$4:$CU$4=T_Delivery-1)*$D$17:$CU$17),0)</f>
        <v/>
      </c>
      <c r="AD22" s="34">
        <f>IF(AD$4=T_Delivery,in_rev_closing_pct*SUMPRODUCT(($D$4:$CU$4&lt;T_Delivery)*$D$17:$CU$17)+in_rev_installments_pct*SUMPRODUCT(($D$4:$CU$4=T_Delivery-1)*$D$17:$CU$17),0)</f>
        <v/>
      </c>
      <c r="AE22" s="34">
        <f>IF(AE$4=T_Delivery,in_rev_closing_pct*SUMPRODUCT(($D$4:$CU$4&lt;T_Delivery)*$D$17:$CU$17)+in_rev_installments_pct*SUMPRODUCT(($D$4:$CU$4=T_Delivery-1)*$D$17:$CU$17),0)</f>
        <v/>
      </c>
      <c r="AF22" s="34">
        <f>IF(AF$4=T_Delivery,in_rev_closing_pct*SUMPRODUCT(($D$4:$CU$4&lt;T_Delivery)*$D$17:$CU$17)+in_rev_installments_pct*SUMPRODUCT(($D$4:$CU$4=T_Delivery-1)*$D$17:$CU$17),0)</f>
        <v/>
      </c>
      <c r="AG22" s="34">
        <f>IF(AG$4=T_Delivery,in_rev_closing_pct*SUMPRODUCT(($D$4:$CU$4&lt;T_Delivery)*$D$17:$CU$17)+in_rev_installments_pct*SUMPRODUCT(($D$4:$CU$4=T_Delivery-1)*$D$17:$CU$17),0)</f>
        <v/>
      </c>
      <c r="AH22" s="34">
        <f>IF(AH$4=T_Delivery,in_rev_closing_pct*SUMPRODUCT(($D$4:$CU$4&lt;T_Delivery)*$D$17:$CU$17)+in_rev_installments_pct*SUMPRODUCT(($D$4:$CU$4=T_Delivery-1)*$D$17:$CU$17),0)</f>
        <v/>
      </c>
      <c r="AI22" s="34">
        <f>IF(AI$4=T_Delivery,in_rev_closing_pct*SUMPRODUCT(($D$4:$CU$4&lt;T_Delivery)*$D$17:$CU$17)+in_rev_installments_pct*SUMPRODUCT(($D$4:$CU$4=T_Delivery-1)*$D$17:$CU$17),0)</f>
        <v/>
      </c>
      <c r="AJ22" s="34">
        <f>IF(AJ$4=T_Delivery,in_rev_closing_pct*SUMPRODUCT(($D$4:$CU$4&lt;T_Delivery)*$D$17:$CU$17)+in_rev_installments_pct*SUMPRODUCT(($D$4:$CU$4=T_Delivery-1)*$D$17:$CU$17),0)</f>
        <v/>
      </c>
      <c r="AK22" s="34">
        <f>IF(AK$4=T_Delivery,in_rev_closing_pct*SUMPRODUCT(($D$4:$CU$4&lt;T_Delivery)*$D$17:$CU$17)+in_rev_installments_pct*SUMPRODUCT(($D$4:$CU$4=T_Delivery-1)*$D$17:$CU$17),0)</f>
        <v/>
      </c>
      <c r="AL22" s="34">
        <f>IF(AL$4=T_Delivery,in_rev_closing_pct*SUMPRODUCT(($D$4:$CU$4&lt;T_Delivery)*$D$17:$CU$17)+in_rev_installments_pct*SUMPRODUCT(($D$4:$CU$4=T_Delivery-1)*$D$17:$CU$17),0)</f>
        <v/>
      </c>
      <c r="AM22" s="34">
        <f>IF(AM$4=T_Delivery,in_rev_closing_pct*SUMPRODUCT(($D$4:$CU$4&lt;T_Delivery)*$D$17:$CU$17)+in_rev_installments_pct*SUMPRODUCT(($D$4:$CU$4=T_Delivery-1)*$D$17:$CU$17),0)</f>
        <v/>
      </c>
      <c r="AN22" s="34">
        <f>IF(AN$4=T_Delivery,in_rev_closing_pct*SUMPRODUCT(($D$4:$CU$4&lt;T_Delivery)*$D$17:$CU$17)+in_rev_installments_pct*SUMPRODUCT(($D$4:$CU$4=T_Delivery-1)*$D$17:$CU$17),0)</f>
        <v/>
      </c>
      <c r="AO22" s="34">
        <f>IF(AO$4=T_Delivery,in_rev_closing_pct*SUMPRODUCT(($D$4:$CU$4&lt;T_Delivery)*$D$17:$CU$17)+in_rev_installments_pct*SUMPRODUCT(($D$4:$CU$4=T_Delivery-1)*$D$17:$CU$17),0)</f>
        <v/>
      </c>
      <c r="AP22" s="34">
        <f>IF(AP$4=T_Delivery,in_rev_closing_pct*SUMPRODUCT(($D$4:$CU$4&lt;T_Delivery)*$D$17:$CU$17)+in_rev_installments_pct*SUMPRODUCT(($D$4:$CU$4=T_Delivery-1)*$D$17:$CU$17),0)</f>
        <v/>
      </c>
      <c r="AQ22" s="34">
        <f>IF(AQ$4=T_Delivery,in_rev_closing_pct*SUMPRODUCT(($D$4:$CU$4&lt;T_Delivery)*$D$17:$CU$17)+in_rev_installments_pct*SUMPRODUCT(($D$4:$CU$4=T_Delivery-1)*$D$17:$CU$17),0)</f>
        <v/>
      </c>
      <c r="AR22" s="34">
        <f>IF(AR$4=T_Delivery,in_rev_closing_pct*SUMPRODUCT(($D$4:$CU$4&lt;T_Delivery)*$D$17:$CU$17)+in_rev_installments_pct*SUMPRODUCT(($D$4:$CU$4=T_Delivery-1)*$D$17:$CU$17),0)</f>
        <v/>
      </c>
      <c r="AS22" s="34">
        <f>IF(AS$4=T_Delivery,in_rev_closing_pct*SUMPRODUCT(($D$4:$CU$4&lt;T_Delivery)*$D$17:$CU$17)+in_rev_installments_pct*SUMPRODUCT(($D$4:$CU$4=T_Delivery-1)*$D$17:$CU$17),0)</f>
        <v/>
      </c>
      <c r="AT22" s="34">
        <f>IF(AT$4=T_Delivery,in_rev_closing_pct*SUMPRODUCT(($D$4:$CU$4&lt;T_Delivery)*$D$17:$CU$17)+in_rev_installments_pct*SUMPRODUCT(($D$4:$CU$4=T_Delivery-1)*$D$17:$CU$17),0)</f>
        <v/>
      </c>
      <c r="AU22" s="34">
        <f>IF(AU$4=T_Delivery,in_rev_closing_pct*SUMPRODUCT(($D$4:$CU$4&lt;T_Delivery)*$D$17:$CU$17)+in_rev_installments_pct*SUMPRODUCT(($D$4:$CU$4=T_Delivery-1)*$D$17:$CU$17),0)</f>
        <v/>
      </c>
      <c r="AV22" s="34">
        <f>IF(AV$4=T_Delivery,in_rev_closing_pct*SUMPRODUCT(($D$4:$CU$4&lt;T_Delivery)*$D$17:$CU$17)+in_rev_installments_pct*SUMPRODUCT(($D$4:$CU$4=T_Delivery-1)*$D$17:$CU$17),0)</f>
        <v/>
      </c>
      <c r="AW22" s="34">
        <f>IF(AW$4=T_Delivery,in_rev_closing_pct*SUMPRODUCT(($D$4:$CU$4&lt;T_Delivery)*$D$17:$CU$17)+in_rev_installments_pct*SUMPRODUCT(($D$4:$CU$4=T_Delivery-1)*$D$17:$CU$17),0)</f>
        <v/>
      </c>
      <c r="AX22" s="34">
        <f>IF(AX$4=T_Delivery,in_rev_closing_pct*SUMPRODUCT(($D$4:$CU$4&lt;T_Delivery)*$D$17:$CU$17)+in_rev_installments_pct*SUMPRODUCT(($D$4:$CU$4=T_Delivery-1)*$D$17:$CU$17),0)</f>
        <v/>
      </c>
      <c r="AY22" s="34">
        <f>IF(AY$4=T_Delivery,in_rev_closing_pct*SUMPRODUCT(($D$4:$CU$4&lt;T_Delivery)*$D$17:$CU$17)+in_rev_installments_pct*SUMPRODUCT(($D$4:$CU$4=T_Delivery-1)*$D$17:$CU$17),0)</f>
        <v/>
      </c>
      <c r="AZ22" s="34">
        <f>IF(AZ$4=T_Delivery,in_rev_closing_pct*SUMPRODUCT(($D$4:$CU$4&lt;T_Delivery)*$D$17:$CU$17)+in_rev_installments_pct*SUMPRODUCT(($D$4:$CU$4=T_Delivery-1)*$D$17:$CU$17),0)</f>
        <v/>
      </c>
      <c r="BA22" s="34">
        <f>IF(BA$4=T_Delivery,in_rev_closing_pct*SUMPRODUCT(($D$4:$CU$4&lt;T_Delivery)*$D$17:$CU$17)+in_rev_installments_pct*SUMPRODUCT(($D$4:$CU$4=T_Delivery-1)*$D$17:$CU$17),0)</f>
        <v/>
      </c>
      <c r="BB22" s="34">
        <f>IF(BB$4=T_Delivery,in_rev_closing_pct*SUMPRODUCT(($D$4:$CU$4&lt;T_Delivery)*$D$17:$CU$17)+in_rev_installments_pct*SUMPRODUCT(($D$4:$CU$4=T_Delivery-1)*$D$17:$CU$17),0)</f>
        <v/>
      </c>
      <c r="BC22" s="34">
        <f>IF(BC$4=T_Delivery,in_rev_closing_pct*SUMPRODUCT(($D$4:$CU$4&lt;T_Delivery)*$D$17:$CU$17)+in_rev_installments_pct*SUMPRODUCT(($D$4:$CU$4=T_Delivery-1)*$D$17:$CU$17),0)</f>
        <v/>
      </c>
      <c r="BD22" s="34">
        <f>IF(BD$4=T_Delivery,in_rev_closing_pct*SUMPRODUCT(($D$4:$CU$4&lt;T_Delivery)*$D$17:$CU$17)+in_rev_installments_pct*SUMPRODUCT(($D$4:$CU$4=T_Delivery-1)*$D$17:$CU$17),0)</f>
        <v/>
      </c>
      <c r="BE22" s="34">
        <f>IF(BE$4=T_Delivery,in_rev_closing_pct*SUMPRODUCT(($D$4:$CU$4&lt;T_Delivery)*$D$17:$CU$17)+in_rev_installments_pct*SUMPRODUCT(($D$4:$CU$4=T_Delivery-1)*$D$17:$CU$17),0)</f>
        <v/>
      </c>
      <c r="BF22" s="34">
        <f>IF(BF$4=T_Delivery,in_rev_closing_pct*SUMPRODUCT(($D$4:$CU$4&lt;T_Delivery)*$D$17:$CU$17)+in_rev_installments_pct*SUMPRODUCT(($D$4:$CU$4=T_Delivery-1)*$D$17:$CU$17),0)</f>
        <v/>
      </c>
      <c r="BG22" s="34">
        <f>IF(BG$4=T_Delivery,in_rev_closing_pct*SUMPRODUCT(($D$4:$CU$4&lt;T_Delivery)*$D$17:$CU$17)+in_rev_installments_pct*SUMPRODUCT(($D$4:$CU$4=T_Delivery-1)*$D$17:$CU$17),0)</f>
        <v/>
      </c>
      <c r="BH22" s="34">
        <f>IF(BH$4=T_Delivery,in_rev_closing_pct*SUMPRODUCT(($D$4:$CU$4&lt;T_Delivery)*$D$17:$CU$17)+in_rev_installments_pct*SUMPRODUCT(($D$4:$CU$4=T_Delivery-1)*$D$17:$CU$17),0)</f>
        <v/>
      </c>
      <c r="BI22" s="34">
        <f>IF(BI$4=T_Delivery,in_rev_closing_pct*SUMPRODUCT(($D$4:$CU$4&lt;T_Delivery)*$D$17:$CU$17)+in_rev_installments_pct*SUMPRODUCT(($D$4:$CU$4=T_Delivery-1)*$D$17:$CU$17),0)</f>
        <v/>
      </c>
      <c r="BJ22" s="34">
        <f>IF(BJ$4=T_Delivery,in_rev_closing_pct*SUMPRODUCT(($D$4:$CU$4&lt;T_Delivery)*$D$17:$CU$17)+in_rev_installments_pct*SUMPRODUCT(($D$4:$CU$4=T_Delivery-1)*$D$17:$CU$17),0)</f>
        <v/>
      </c>
      <c r="BK22" s="34">
        <f>IF(BK$4=T_Delivery,in_rev_closing_pct*SUMPRODUCT(($D$4:$CU$4&lt;T_Delivery)*$D$17:$CU$17)+in_rev_installments_pct*SUMPRODUCT(($D$4:$CU$4=T_Delivery-1)*$D$17:$CU$17),0)</f>
        <v/>
      </c>
      <c r="BL22" s="34">
        <f>IF(BL$4=T_Delivery,in_rev_closing_pct*SUMPRODUCT(($D$4:$CU$4&lt;T_Delivery)*$D$17:$CU$17)+in_rev_installments_pct*SUMPRODUCT(($D$4:$CU$4=T_Delivery-1)*$D$17:$CU$17),0)</f>
        <v/>
      </c>
      <c r="BM22" s="34">
        <f>IF(BM$4=T_Delivery,in_rev_closing_pct*SUMPRODUCT(($D$4:$CU$4&lt;T_Delivery)*$D$17:$CU$17)+in_rev_installments_pct*SUMPRODUCT(($D$4:$CU$4=T_Delivery-1)*$D$17:$CU$17),0)</f>
        <v/>
      </c>
      <c r="BN22" s="34">
        <f>IF(BN$4=T_Delivery,in_rev_closing_pct*SUMPRODUCT(($D$4:$CU$4&lt;T_Delivery)*$D$17:$CU$17)+in_rev_installments_pct*SUMPRODUCT(($D$4:$CU$4=T_Delivery-1)*$D$17:$CU$17),0)</f>
        <v/>
      </c>
      <c r="BO22" s="34">
        <f>IF(BO$4=T_Delivery,in_rev_closing_pct*SUMPRODUCT(($D$4:$CU$4&lt;T_Delivery)*$D$17:$CU$17)+in_rev_installments_pct*SUMPRODUCT(($D$4:$CU$4=T_Delivery-1)*$D$17:$CU$17),0)</f>
        <v/>
      </c>
      <c r="BP22" s="34">
        <f>IF(BP$4=T_Delivery,in_rev_closing_pct*SUMPRODUCT(($D$4:$CU$4&lt;T_Delivery)*$D$17:$CU$17)+in_rev_installments_pct*SUMPRODUCT(($D$4:$CU$4=T_Delivery-1)*$D$17:$CU$17),0)</f>
        <v/>
      </c>
      <c r="BQ22" s="34">
        <f>IF(BQ$4=T_Delivery,in_rev_closing_pct*SUMPRODUCT(($D$4:$CU$4&lt;T_Delivery)*$D$17:$CU$17)+in_rev_installments_pct*SUMPRODUCT(($D$4:$CU$4=T_Delivery-1)*$D$17:$CU$17),0)</f>
        <v/>
      </c>
      <c r="BR22" s="34">
        <f>IF(BR$4=T_Delivery,in_rev_closing_pct*SUMPRODUCT(($D$4:$CU$4&lt;T_Delivery)*$D$17:$CU$17)+in_rev_installments_pct*SUMPRODUCT(($D$4:$CU$4=T_Delivery-1)*$D$17:$CU$17),0)</f>
        <v/>
      </c>
      <c r="BS22" s="34">
        <f>IF(BS$4=T_Delivery,in_rev_closing_pct*SUMPRODUCT(($D$4:$CU$4&lt;T_Delivery)*$D$17:$CU$17)+in_rev_installments_pct*SUMPRODUCT(($D$4:$CU$4=T_Delivery-1)*$D$17:$CU$17),0)</f>
        <v/>
      </c>
      <c r="BT22" s="34">
        <f>IF(BT$4=T_Delivery,in_rev_closing_pct*SUMPRODUCT(($D$4:$CU$4&lt;T_Delivery)*$D$17:$CU$17)+in_rev_installments_pct*SUMPRODUCT(($D$4:$CU$4=T_Delivery-1)*$D$17:$CU$17),0)</f>
        <v/>
      </c>
      <c r="BU22" s="34">
        <f>IF(BU$4=T_Delivery,in_rev_closing_pct*SUMPRODUCT(($D$4:$CU$4&lt;T_Delivery)*$D$17:$CU$17)+in_rev_installments_pct*SUMPRODUCT(($D$4:$CU$4=T_Delivery-1)*$D$17:$CU$17),0)</f>
        <v/>
      </c>
      <c r="BV22" s="34">
        <f>IF(BV$4=T_Delivery,in_rev_closing_pct*SUMPRODUCT(($D$4:$CU$4&lt;T_Delivery)*$D$17:$CU$17)+in_rev_installments_pct*SUMPRODUCT(($D$4:$CU$4=T_Delivery-1)*$D$17:$CU$17),0)</f>
        <v/>
      </c>
      <c r="BW22" s="34">
        <f>IF(BW$4=T_Delivery,in_rev_closing_pct*SUMPRODUCT(($D$4:$CU$4&lt;T_Delivery)*$D$17:$CU$17)+in_rev_installments_pct*SUMPRODUCT(($D$4:$CU$4=T_Delivery-1)*$D$17:$CU$17),0)</f>
        <v/>
      </c>
      <c r="BX22" s="34">
        <f>IF(BX$4=T_Delivery,in_rev_closing_pct*SUMPRODUCT(($D$4:$CU$4&lt;T_Delivery)*$D$17:$CU$17)+in_rev_installments_pct*SUMPRODUCT(($D$4:$CU$4=T_Delivery-1)*$D$17:$CU$17),0)</f>
        <v/>
      </c>
      <c r="BY22" s="34">
        <f>IF(BY$4=T_Delivery,in_rev_closing_pct*SUMPRODUCT(($D$4:$CU$4&lt;T_Delivery)*$D$17:$CU$17)+in_rev_installments_pct*SUMPRODUCT(($D$4:$CU$4=T_Delivery-1)*$D$17:$CU$17),0)</f>
        <v/>
      </c>
      <c r="BZ22" s="34">
        <f>IF(BZ$4=T_Delivery,in_rev_closing_pct*SUMPRODUCT(($D$4:$CU$4&lt;T_Delivery)*$D$17:$CU$17)+in_rev_installments_pct*SUMPRODUCT(($D$4:$CU$4=T_Delivery-1)*$D$17:$CU$17),0)</f>
        <v/>
      </c>
      <c r="CA22" s="34">
        <f>IF(CA$4=T_Delivery,in_rev_closing_pct*SUMPRODUCT(($D$4:$CU$4&lt;T_Delivery)*$D$17:$CU$17)+in_rev_installments_pct*SUMPRODUCT(($D$4:$CU$4=T_Delivery-1)*$D$17:$CU$17),0)</f>
        <v/>
      </c>
      <c r="CB22" s="34">
        <f>IF(CB$4=T_Delivery,in_rev_closing_pct*SUMPRODUCT(($D$4:$CU$4&lt;T_Delivery)*$D$17:$CU$17)+in_rev_installments_pct*SUMPRODUCT(($D$4:$CU$4=T_Delivery-1)*$D$17:$CU$17),0)</f>
        <v/>
      </c>
      <c r="CC22" s="34">
        <f>IF(CC$4=T_Delivery,in_rev_closing_pct*SUMPRODUCT(($D$4:$CU$4&lt;T_Delivery)*$D$17:$CU$17)+in_rev_installments_pct*SUMPRODUCT(($D$4:$CU$4=T_Delivery-1)*$D$17:$CU$17),0)</f>
        <v/>
      </c>
      <c r="CD22" s="34">
        <f>IF(CD$4=T_Delivery,in_rev_closing_pct*SUMPRODUCT(($D$4:$CU$4&lt;T_Delivery)*$D$17:$CU$17)+in_rev_installments_pct*SUMPRODUCT(($D$4:$CU$4=T_Delivery-1)*$D$17:$CU$17),0)</f>
        <v/>
      </c>
      <c r="CE22" s="34">
        <f>IF(CE$4=T_Delivery,in_rev_closing_pct*SUMPRODUCT(($D$4:$CU$4&lt;T_Delivery)*$D$17:$CU$17)+in_rev_installments_pct*SUMPRODUCT(($D$4:$CU$4=T_Delivery-1)*$D$17:$CU$17),0)</f>
        <v/>
      </c>
      <c r="CF22" s="34">
        <f>IF(CF$4=T_Delivery,in_rev_closing_pct*SUMPRODUCT(($D$4:$CU$4&lt;T_Delivery)*$D$17:$CU$17)+in_rev_installments_pct*SUMPRODUCT(($D$4:$CU$4=T_Delivery-1)*$D$17:$CU$17),0)</f>
        <v/>
      </c>
      <c r="CG22" s="34">
        <f>IF(CG$4=T_Delivery,in_rev_closing_pct*SUMPRODUCT(($D$4:$CU$4&lt;T_Delivery)*$D$17:$CU$17)+in_rev_installments_pct*SUMPRODUCT(($D$4:$CU$4=T_Delivery-1)*$D$17:$CU$17),0)</f>
        <v/>
      </c>
      <c r="CH22" s="34">
        <f>IF(CH$4=T_Delivery,in_rev_closing_pct*SUMPRODUCT(($D$4:$CU$4&lt;T_Delivery)*$D$17:$CU$17)+in_rev_installments_pct*SUMPRODUCT(($D$4:$CU$4=T_Delivery-1)*$D$17:$CU$17),0)</f>
        <v/>
      </c>
      <c r="CI22" s="34">
        <f>IF(CI$4=T_Delivery,in_rev_closing_pct*SUMPRODUCT(($D$4:$CU$4&lt;T_Delivery)*$D$17:$CU$17)+in_rev_installments_pct*SUMPRODUCT(($D$4:$CU$4=T_Delivery-1)*$D$17:$CU$17),0)</f>
        <v/>
      </c>
      <c r="CJ22" s="34">
        <f>IF(CJ$4=T_Delivery,in_rev_closing_pct*SUMPRODUCT(($D$4:$CU$4&lt;T_Delivery)*$D$17:$CU$17)+in_rev_installments_pct*SUMPRODUCT(($D$4:$CU$4=T_Delivery-1)*$D$17:$CU$17),0)</f>
        <v/>
      </c>
      <c r="CK22" s="34">
        <f>IF(CK$4=T_Delivery,in_rev_closing_pct*SUMPRODUCT(($D$4:$CU$4&lt;T_Delivery)*$D$17:$CU$17)+in_rev_installments_pct*SUMPRODUCT(($D$4:$CU$4=T_Delivery-1)*$D$17:$CU$17),0)</f>
        <v/>
      </c>
      <c r="CL22" s="34">
        <f>IF(CL$4=T_Delivery,in_rev_closing_pct*SUMPRODUCT(($D$4:$CU$4&lt;T_Delivery)*$D$17:$CU$17)+in_rev_installments_pct*SUMPRODUCT(($D$4:$CU$4=T_Delivery-1)*$D$17:$CU$17),0)</f>
        <v/>
      </c>
      <c r="CM22" s="34">
        <f>IF(CM$4=T_Delivery,in_rev_closing_pct*SUMPRODUCT(($D$4:$CU$4&lt;T_Delivery)*$D$17:$CU$17)+in_rev_installments_pct*SUMPRODUCT(($D$4:$CU$4=T_Delivery-1)*$D$17:$CU$17),0)</f>
        <v/>
      </c>
      <c r="CN22" s="34">
        <f>IF(CN$4=T_Delivery,in_rev_closing_pct*SUMPRODUCT(($D$4:$CU$4&lt;T_Delivery)*$D$17:$CU$17)+in_rev_installments_pct*SUMPRODUCT(($D$4:$CU$4=T_Delivery-1)*$D$17:$CU$17),0)</f>
        <v/>
      </c>
      <c r="CO22" s="34">
        <f>IF(CO$4=T_Delivery,in_rev_closing_pct*SUMPRODUCT(($D$4:$CU$4&lt;T_Delivery)*$D$17:$CU$17)+in_rev_installments_pct*SUMPRODUCT(($D$4:$CU$4=T_Delivery-1)*$D$17:$CU$17),0)</f>
        <v/>
      </c>
      <c r="CP22" s="34">
        <f>IF(CP$4=T_Delivery,in_rev_closing_pct*SUMPRODUCT(($D$4:$CU$4&lt;T_Delivery)*$D$17:$CU$17)+in_rev_installments_pct*SUMPRODUCT(($D$4:$CU$4=T_Delivery-1)*$D$17:$CU$17),0)</f>
        <v/>
      </c>
      <c r="CQ22" s="34">
        <f>IF(CQ$4=T_Delivery,in_rev_closing_pct*SUMPRODUCT(($D$4:$CU$4&lt;T_Delivery)*$D$17:$CU$17)+in_rev_installments_pct*SUMPRODUCT(($D$4:$CU$4=T_Delivery-1)*$D$17:$CU$17),0)</f>
        <v/>
      </c>
      <c r="CR22" s="34">
        <f>IF(CR$4=T_Delivery,in_rev_closing_pct*SUMPRODUCT(($D$4:$CU$4&lt;T_Delivery)*$D$17:$CU$17)+in_rev_installments_pct*SUMPRODUCT(($D$4:$CU$4=T_Delivery-1)*$D$17:$CU$17),0)</f>
        <v/>
      </c>
      <c r="CS22" s="34">
        <f>IF(CS$4=T_Delivery,in_rev_closing_pct*SUMPRODUCT(($D$4:$CU$4&lt;T_Delivery)*$D$17:$CU$17)+in_rev_installments_pct*SUMPRODUCT(($D$4:$CU$4=T_Delivery-1)*$D$17:$CU$17),0)</f>
        <v/>
      </c>
      <c r="CT22" s="34">
        <f>IF(CT$4=T_Delivery,in_rev_closing_pct*SUMPRODUCT(($D$4:$CU$4&lt;T_Delivery)*$D$17:$CU$17)+in_rev_installments_pct*SUMPRODUCT(($D$4:$CU$4=T_Delivery-1)*$D$17:$CU$17),0)</f>
        <v/>
      </c>
      <c r="CU22" s="34">
        <f>IF(CU$4=T_Delivery,in_rev_closing_pct*SUMPRODUCT(($D$4:$CU$4&lt;T_Delivery)*$D$17:$CU$17)+in_rev_installments_pct*SUMPRODUCT(($D$4:$CU$4=T_Delivery-1)*$D$17:$CU$17),0)</f>
        <v/>
      </c>
    </row>
    <row r="23">
      <c r="A23" s="7" t="inlineStr">
        <is>
          <t>Sales after delivery (paid in full)</t>
        </is>
      </c>
      <c r="B23" s="21">
        <f>SUM(D23:CU23)</f>
        <v/>
      </c>
      <c r="C23" s="11" t="inlineStr"/>
      <c r="D23" s="34">
        <f>IF(D$4&gt;=T_Delivery,D17,0)</f>
        <v/>
      </c>
      <c r="E23" s="34">
        <f>IF(E$4&gt;=T_Delivery,E17,0)</f>
        <v/>
      </c>
      <c r="F23" s="34">
        <f>IF(F$4&gt;=T_Delivery,F17,0)</f>
        <v/>
      </c>
      <c r="G23" s="34">
        <f>IF(G$4&gt;=T_Delivery,G17,0)</f>
        <v/>
      </c>
      <c r="H23" s="34">
        <f>IF(H$4&gt;=T_Delivery,H17,0)</f>
        <v/>
      </c>
      <c r="I23" s="34">
        <f>IF(I$4&gt;=T_Delivery,I17,0)</f>
        <v/>
      </c>
      <c r="J23" s="34">
        <f>IF(J$4&gt;=T_Delivery,J17,0)</f>
        <v/>
      </c>
      <c r="K23" s="34">
        <f>IF(K$4&gt;=T_Delivery,K17,0)</f>
        <v/>
      </c>
      <c r="L23" s="34">
        <f>IF(L$4&gt;=T_Delivery,L17,0)</f>
        <v/>
      </c>
      <c r="M23" s="34">
        <f>IF(M$4&gt;=T_Delivery,M17,0)</f>
        <v/>
      </c>
      <c r="N23" s="34">
        <f>IF(N$4&gt;=T_Delivery,N17,0)</f>
        <v/>
      </c>
      <c r="O23" s="34">
        <f>IF(O$4&gt;=T_Delivery,O17,0)</f>
        <v/>
      </c>
      <c r="P23" s="34">
        <f>IF(P$4&gt;=T_Delivery,P17,0)</f>
        <v/>
      </c>
      <c r="Q23" s="34">
        <f>IF(Q$4&gt;=T_Delivery,Q17,0)</f>
        <v/>
      </c>
      <c r="R23" s="34">
        <f>IF(R$4&gt;=T_Delivery,R17,0)</f>
        <v/>
      </c>
      <c r="S23" s="34">
        <f>IF(S$4&gt;=T_Delivery,S17,0)</f>
        <v/>
      </c>
      <c r="T23" s="34">
        <f>IF(T$4&gt;=T_Delivery,T17,0)</f>
        <v/>
      </c>
      <c r="U23" s="34">
        <f>IF(U$4&gt;=T_Delivery,U17,0)</f>
        <v/>
      </c>
      <c r="V23" s="34">
        <f>IF(V$4&gt;=T_Delivery,V17,0)</f>
        <v/>
      </c>
      <c r="W23" s="34">
        <f>IF(W$4&gt;=T_Delivery,W17,0)</f>
        <v/>
      </c>
      <c r="X23" s="34">
        <f>IF(X$4&gt;=T_Delivery,X17,0)</f>
        <v/>
      </c>
      <c r="Y23" s="34">
        <f>IF(Y$4&gt;=T_Delivery,Y17,0)</f>
        <v/>
      </c>
      <c r="Z23" s="34">
        <f>IF(Z$4&gt;=T_Delivery,Z17,0)</f>
        <v/>
      </c>
      <c r="AA23" s="34">
        <f>IF(AA$4&gt;=T_Delivery,AA17,0)</f>
        <v/>
      </c>
      <c r="AB23" s="34">
        <f>IF(AB$4&gt;=T_Delivery,AB17,0)</f>
        <v/>
      </c>
      <c r="AC23" s="34">
        <f>IF(AC$4&gt;=T_Delivery,AC17,0)</f>
        <v/>
      </c>
      <c r="AD23" s="34">
        <f>IF(AD$4&gt;=T_Delivery,AD17,0)</f>
        <v/>
      </c>
      <c r="AE23" s="34">
        <f>IF(AE$4&gt;=T_Delivery,AE17,0)</f>
        <v/>
      </c>
      <c r="AF23" s="34">
        <f>IF(AF$4&gt;=T_Delivery,AF17,0)</f>
        <v/>
      </c>
      <c r="AG23" s="34">
        <f>IF(AG$4&gt;=T_Delivery,AG17,0)</f>
        <v/>
      </c>
      <c r="AH23" s="34">
        <f>IF(AH$4&gt;=T_Delivery,AH17,0)</f>
        <v/>
      </c>
      <c r="AI23" s="34">
        <f>IF(AI$4&gt;=T_Delivery,AI17,0)</f>
        <v/>
      </c>
      <c r="AJ23" s="34">
        <f>IF(AJ$4&gt;=T_Delivery,AJ17,0)</f>
        <v/>
      </c>
      <c r="AK23" s="34">
        <f>IF(AK$4&gt;=T_Delivery,AK17,0)</f>
        <v/>
      </c>
      <c r="AL23" s="34">
        <f>IF(AL$4&gt;=T_Delivery,AL17,0)</f>
        <v/>
      </c>
      <c r="AM23" s="34">
        <f>IF(AM$4&gt;=T_Delivery,AM17,0)</f>
        <v/>
      </c>
      <c r="AN23" s="34">
        <f>IF(AN$4&gt;=T_Delivery,AN17,0)</f>
        <v/>
      </c>
      <c r="AO23" s="34">
        <f>IF(AO$4&gt;=T_Delivery,AO17,0)</f>
        <v/>
      </c>
      <c r="AP23" s="34">
        <f>IF(AP$4&gt;=T_Delivery,AP17,0)</f>
        <v/>
      </c>
      <c r="AQ23" s="34">
        <f>IF(AQ$4&gt;=T_Delivery,AQ17,0)</f>
        <v/>
      </c>
      <c r="AR23" s="34">
        <f>IF(AR$4&gt;=T_Delivery,AR17,0)</f>
        <v/>
      </c>
      <c r="AS23" s="34">
        <f>IF(AS$4&gt;=T_Delivery,AS17,0)</f>
        <v/>
      </c>
      <c r="AT23" s="34">
        <f>IF(AT$4&gt;=T_Delivery,AT17,0)</f>
        <v/>
      </c>
      <c r="AU23" s="34">
        <f>IF(AU$4&gt;=T_Delivery,AU17,0)</f>
        <v/>
      </c>
      <c r="AV23" s="34">
        <f>IF(AV$4&gt;=T_Delivery,AV17,0)</f>
        <v/>
      </c>
      <c r="AW23" s="34">
        <f>IF(AW$4&gt;=T_Delivery,AW17,0)</f>
        <v/>
      </c>
      <c r="AX23" s="34">
        <f>IF(AX$4&gt;=T_Delivery,AX17,0)</f>
        <v/>
      </c>
      <c r="AY23" s="34">
        <f>IF(AY$4&gt;=T_Delivery,AY17,0)</f>
        <v/>
      </c>
      <c r="AZ23" s="34">
        <f>IF(AZ$4&gt;=T_Delivery,AZ17,0)</f>
        <v/>
      </c>
      <c r="BA23" s="34">
        <f>IF(BA$4&gt;=T_Delivery,BA17,0)</f>
        <v/>
      </c>
      <c r="BB23" s="34">
        <f>IF(BB$4&gt;=T_Delivery,BB17,0)</f>
        <v/>
      </c>
      <c r="BC23" s="34">
        <f>IF(BC$4&gt;=T_Delivery,BC17,0)</f>
        <v/>
      </c>
      <c r="BD23" s="34">
        <f>IF(BD$4&gt;=T_Delivery,BD17,0)</f>
        <v/>
      </c>
      <c r="BE23" s="34">
        <f>IF(BE$4&gt;=T_Delivery,BE17,0)</f>
        <v/>
      </c>
      <c r="BF23" s="34">
        <f>IF(BF$4&gt;=T_Delivery,BF17,0)</f>
        <v/>
      </c>
      <c r="BG23" s="34">
        <f>IF(BG$4&gt;=T_Delivery,BG17,0)</f>
        <v/>
      </c>
      <c r="BH23" s="34">
        <f>IF(BH$4&gt;=T_Delivery,BH17,0)</f>
        <v/>
      </c>
      <c r="BI23" s="34">
        <f>IF(BI$4&gt;=T_Delivery,BI17,0)</f>
        <v/>
      </c>
      <c r="BJ23" s="34">
        <f>IF(BJ$4&gt;=T_Delivery,BJ17,0)</f>
        <v/>
      </c>
      <c r="BK23" s="34">
        <f>IF(BK$4&gt;=T_Delivery,BK17,0)</f>
        <v/>
      </c>
      <c r="BL23" s="34">
        <f>IF(BL$4&gt;=T_Delivery,BL17,0)</f>
        <v/>
      </c>
      <c r="BM23" s="34">
        <f>IF(BM$4&gt;=T_Delivery,BM17,0)</f>
        <v/>
      </c>
      <c r="BN23" s="34">
        <f>IF(BN$4&gt;=T_Delivery,BN17,0)</f>
        <v/>
      </c>
      <c r="BO23" s="34">
        <f>IF(BO$4&gt;=T_Delivery,BO17,0)</f>
        <v/>
      </c>
      <c r="BP23" s="34">
        <f>IF(BP$4&gt;=T_Delivery,BP17,0)</f>
        <v/>
      </c>
      <c r="BQ23" s="34">
        <f>IF(BQ$4&gt;=T_Delivery,BQ17,0)</f>
        <v/>
      </c>
      <c r="BR23" s="34">
        <f>IF(BR$4&gt;=T_Delivery,BR17,0)</f>
        <v/>
      </c>
      <c r="BS23" s="34">
        <f>IF(BS$4&gt;=T_Delivery,BS17,0)</f>
        <v/>
      </c>
      <c r="BT23" s="34">
        <f>IF(BT$4&gt;=T_Delivery,BT17,0)</f>
        <v/>
      </c>
      <c r="BU23" s="34">
        <f>IF(BU$4&gt;=T_Delivery,BU17,0)</f>
        <v/>
      </c>
      <c r="BV23" s="34">
        <f>IF(BV$4&gt;=T_Delivery,BV17,0)</f>
        <v/>
      </c>
      <c r="BW23" s="34">
        <f>IF(BW$4&gt;=T_Delivery,BW17,0)</f>
        <v/>
      </c>
      <c r="BX23" s="34">
        <f>IF(BX$4&gt;=T_Delivery,BX17,0)</f>
        <v/>
      </c>
      <c r="BY23" s="34">
        <f>IF(BY$4&gt;=T_Delivery,BY17,0)</f>
        <v/>
      </c>
      <c r="BZ23" s="34">
        <f>IF(BZ$4&gt;=T_Delivery,BZ17,0)</f>
        <v/>
      </c>
      <c r="CA23" s="34">
        <f>IF(CA$4&gt;=T_Delivery,CA17,0)</f>
        <v/>
      </c>
      <c r="CB23" s="34">
        <f>IF(CB$4&gt;=T_Delivery,CB17,0)</f>
        <v/>
      </c>
      <c r="CC23" s="34">
        <f>IF(CC$4&gt;=T_Delivery,CC17,0)</f>
        <v/>
      </c>
      <c r="CD23" s="34">
        <f>IF(CD$4&gt;=T_Delivery,CD17,0)</f>
        <v/>
      </c>
      <c r="CE23" s="34">
        <f>IF(CE$4&gt;=T_Delivery,CE17,0)</f>
        <v/>
      </c>
      <c r="CF23" s="34">
        <f>IF(CF$4&gt;=T_Delivery,CF17,0)</f>
        <v/>
      </c>
      <c r="CG23" s="34">
        <f>IF(CG$4&gt;=T_Delivery,CG17,0)</f>
        <v/>
      </c>
      <c r="CH23" s="34">
        <f>IF(CH$4&gt;=T_Delivery,CH17,0)</f>
        <v/>
      </c>
      <c r="CI23" s="34">
        <f>IF(CI$4&gt;=T_Delivery,CI17,0)</f>
        <v/>
      </c>
      <c r="CJ23" s="34">
        <f>IF(CJ$4&gt;=T_Delivery,CJ17,0)</f>
        <v/>
      </c>
      <c r="CK23" s="34">
        <f>IF(CK$4&gt;=T_Delivery,CK17,0)</f>
        <v/>
      </c>
      <c r="CL23" s="34">
        <f>IF(CL$4&gt;=T_Delivery,CL17,0)</f>
        <v/>
      </c>
      <c r="CM23" s="34">
        <f>IF(CM$4&gt;=T_Delivery,CM17,0)</f>
        <v/>
      </c>
      <c r="CN23" s="34">
        <f>IF(CN$4&gt;=T_Delivery,CN17,0)</f>
        <v/>
      </c>
      <c r="CO23" s="34">
        <f>IF(CO$4&gt;=T_Delivery,CO17,0)</f>
        <v/>
      </c>
      <c r="CP23" s="34">
        <f>IF(CP$4&gt;=T_Delivery,CP17,0)</f>
        <v/>
      </c>
      <c r="CQ23" s="34">
        <f>IF(CQ$4&gt;=T_Delivery,CQ17,0)</f>
        <v/>
      </c>
      <c r="CR23" s="34">
        <f>IF(CR$4&gt;=T_Delivery,CR17,0)</f>
        <v/>
      </c>
      <c r="CS23" s="34">
        <f>IF(CS$4&gt;=T_Delivery,CS17,0)</f>
        <v/>
      </c>
      <c r="CT23" s="34">
        <f>IF(CT$4&gt;=T_Delivery,CT17,0)</f>
        <v/>
      </c>
      <c r="CU23" s="34">
        <f>IF(CU$4&gt;=T_Delivery,CU17,0)</f>
        <v/>
      </c>
    </row>
    <row r="24">
      <c r="A24" s="7" t="inlineStr">
        <is>
          <t>User-defined income per unit sold</t>
        </is>
      </c>
      <c r="B24" s="21">
        <f>SUM(D24:CU24)</f>
        <v/>
      </c>
      <c r="C24" s="11" t="inlineStr"/>
      <c r="D24" s="34">
        <f>D13*SUMPRODUCT((cv_effect="revenue_per_unit")*cv_value)</f>
        <v/>
      </c>
      <c r="E24" s="34">
        <f>E13*SUMPRODUCT((cv_effect="revenue_per_unit")*cv_value)</f>
        <v/>
      </c>
      <c r="F24" s="34">
        <f>F13*SUMPRODUCT((cv_effect="revenue_per_unit")*cv_value)</f>
        <v/>
      </c>
      <c r="G24" s="34">
        <f>G13*SUMPRODUCT((cv_effect="revenue_per_unit")*cv_value)</f>
        <v/>
      </c>
      <c r="H24" s="34">
        <f>H13*SUMPRODUCT((cv_effect="revenue_per_unit")*cv_value)</f>
        <v/>
      </c>
      <c r="I24" s="34">
        <f>I13*SUMPRODUCT((cv_effect="revenue_per_unit")*cv_value)</f>
        <v/>
      </c>
      <c r="J24" s="34">
        <f>J13*SUMPRODUCT((cv_effect="revenue_per_unit")*cv_value)</f>
        <v/>
      </c>
      <c r="K24" s="34">
        <f>K13*SUMPRODUCT((cv_effect="revenue_per_unit")*cv_value)</f>
        <v/>
      </c>
      <c r="L24" s="34">
        <f>L13*SUMPRODUCT((cv_effect="revenue_per_unit")*cv_value)</f>
        <v/>
      </c>
      <c r="M24" s="34">
        <f>M13*SUMPRODUCT((cv_effect="revenue_per_unit")*cv_value)</f>
        <v/>
      </c>
      <c r="N24" s="34">
        <f>N13*SUMPRODUCT((cv_effect="revenue_per_unit")*cv_value)</f>
        <v/>
      </c>
      <c r="O24" s="34">
        <f>O13*SUMPRODUCT((cv_effect="revenue_per_unit")*cv_value)</f>
        <v/>
      </c>
      <c r="P24" s="34">
        <f>P13*SUMPRODUCT((cv_effect="revenue_per_unit")*cv_value)</f>
        <v/>
      </c>
      <c r="Q24" s="34">
        <f>Q13*SUMPRODUCT((cv_effect="revenue_per_unit")*cv_value)</f>
        <v/>
      </c>
      <c r="R24" s="34">
        <f>R13*SUMPRODUCT((cv_effect="revenue_per_unit")*cv_value)</f>
        <v/>
      </c>
      <c r="S24" s="34">
        <f>S13*SUMPRODUCT((cv_effect="revenue_per_unit")*cv_value)</f>
        <v/>
      </c>
      <c r="T24" s="34">
        <f>T13*SUMPRODUCT((cv_effect="revenue_per_unit")*cv_value)</f>
        <v/>
      </c>
      <c r="U24" s="34">
        <f>U13*SUMPRODUCT((cv_effect="revenue_per_unit")*cv_value)</f>
        <v/>
      </c>
      <c r="V24" s="34">
        <f>V13*SUMPRODUCT((cv_effect="revenue_per_unit")*cv_value)</f>
        <v/>
      </c>
      <c r="W24" s="34">
        <f>W13*SUMPRODUCT((cv_effect="revenue_per_unit")*cv_value)</f>
        <v/>
      </c>
      <c r="X24" s="34">
        <f>X13*SUMPRODUCT((cv_effect="revenue_per_unit")*cv_value)</f>
        <v/>
      </c>
      <c r="Y24" s="34">
        <f>Y13*SUMPRODUCT((cv_effect="revenue_per_unit")*cv_value)</f>
        <v/>
      </c>
      <c r="Z24" s="34">
        <f>Z13*SUMPRODUCT((cv_effect="revenue_per_unit")*cv_value)</f>
        <v/>
      </c>
      <c r="AA24" s="34">
        <f>AA13*SUMPRODUCT((cv_effect="revenue_per_unit")*cv_value)</f>
        <v/>
      </c>
      <c r="AB24" s="34">
        <f>AB13*SUMPRODUCT((cv_effect="revenue_per_unit")*cv_value)</f>
        <v/>
      </c>
      <c r="AC24" s="34">
        <f>AC13*SUMPRODUCT((cv_effect="revenue_per_unit")*cv_value)</f>
        <v/>
      </c>
      <c r="AD24" s="34">
        <f>AD13*SUMPRODUCT((cv_effect="revenue_per_unit")*cv_value)</f>
        <v/>
      </c>
      <c r="AE24" s="34">
        <f>AE13*SUMPRODUCT((cv_effect="revenue_per_unit")*cv_value)</f>
        <v/>
      </c>
      <c r="AF24" s="34">
        <f>AF13*SUMPRODUCT((cv_effect="revenue_per_unit")*cv_value)</f>
        <v/>
      </c>
      <c r="AG24" s="34">
        <f>AG13*SUMPRODUCT((cv_effect="revenue_per_unit")*cv_value)</f>
        <v/>
      </c>
      <c r="AH24" s="34">
        <f>AH13*SUMPRODUCT((cv_effect="revenue_per_unit")*cv_value)</f>
        <v/>
      </c>
      <c r="AI24" s="34">
        <f>AI13*SUMPRODUCT((cv_effect="revenue_per_unit")*cv_value)</f>
        <v/>
      </c>
      <c r="AJ24" s="34">
        <f>AJ13*SUMPRODUCT((cv_effect="revenue_per_unit")*cv_value)</f>
        <v/>
      </c>
      <c r="AK24" s="34">
        <f>AK13*SUMPRODUCT((cv_effect="revenue_per_unit")*cv_value)</f>
        <v/>
      </c>
      <c r="AL24" s="34">
        <f>AL13*SUMPRODUCT((cv_effect="revenue_per_unit")*cv_value)</f>
        <v/>
      </c>
      <c r="AM24" s="34">
        <f>AM13*SUMPRODUCT((cv_effect="revenue_per_unit")*cv_value)</f>
        <v/>
      </c>
      <c r="AN24" s="34">
        <f>AN13*SUMPRODUCT((cv_effect="revenue_per_unit")*cv_value)</f>
        <v/>
      </c>
      <c r="AO24" s="34">
        <f>AO13*SUMPRODUCT((cv_effect="revenue_per_unit")*cv_value)</f>
        <v/>
      </c>
      <c r="AP24" s="34">
        <f>AP13*SUMPRODUCT((cv_effect="revenue_per_unit")*cv_value)</f>
        <v/>
      </c>
      <c r="AQ24" s="34">
        <f>AQ13*SUMPRODUCT((cv_effect="revenue_per_unit")*cv_value)</f>
        <v/>
      </c>
      <c r="AR24" s="34">
        <f>AR13*SUMPRODUCT((cv_effect="revenue_per_unit")*cv_value)</f>
        <v/>
      </c>
      <c r="AS24" s="34">
        <f>AS13*SUMPRODUCT((cv_effect="revenue_per_unit")*cv_value)</f>
        <v/>
      </c>
      <c r="AT24" s="34">
        <f>AT13*SUMPRODUCT((cv_effect="revenue_per_unit")*cv_value)</f>
        <v/>
      </c>
      <c r="AU24" s="34">
        <f>AU13*SUMPRODUCT((cv_effect="revenue_per_unit")*cv_value)</f>
        <v/>
      </c>
      <c r="AV24" s="34">
        <f>AV13*SUMPRODUCT((cv_effect="revenue_per_unit")*cv_value)</f>
        <v/>
      </c>
      <c r="AW24" s="34">
        <f>AW13*SUMPRODUCT((cv_effect="revenue_per_unit")*cv_value)</f>
        <v/>
      </c>
      <c r="AX24" s="34">
        <f>AX13*SUMPRODUCT((cv_effect="revenue_per_unit")*cv_value)</f>
        <v/>
      </c>
      <c r="AY24" s="34">
        <f>AY13*SUMPRODUCT((cv_effect="revenue_per_unit")*cv_value)</f>
        <v/>
      </c>
      <c r="AZ24" s="34">
        <f>AZ13*SUMPRODUCT((cv_effect="revenue_per_unit")*cv_value)</f>
        <v/>
      </c>
      <c r="BA24" s="34">
        <f>BA13*SUMPRODUCT((cv_effect="revenue_per_unit")*cv_value)</f>
        <v/>
      </c>
      <c r="BB24" s="34">
        <f>BB13*SUMPRODUCT((cv_effect="revenue_per_unit")*cv_value)</f>
        <v/>
      </c>
      <c r="BC24" s="34">
        <f>BC13*SUMPRODUCT((cv_effect="revenue_per_unit")*cv_value)</f>
        <v/>
      </c>
      <c r="BD24" s="34">
        <f>BD13*SUMPRODUCT((cv_effect="revenue_per_unit")*cv_value)</f>
        <v/>
      </c>
      <c r="BE24" s="34">
        <f>BE13*SUMPRODUCT((cv_effect="revenue_per_unit")*cv_value)</f>
        <v/>
      </c>
      <c r="BF24" s="34">
        <f>BF13*SUMPRODUCT((cv_effect="revenue_per_unit")*cv_value)</f>
        <v/>
      </c>
      <c r="BG24" s="34">
        <f>BG13*SUMPRODUCT((cv_effect="revenue_per_unit")*cv_value)</f>
        <v/>
      </c>
      <c r="BH24" s="34">
        <f>BH13*SUMPRODUCT((cv_effect="revenue_per_unit")*cv_value)</f>
        <v/>
      </c>
      <c r="BI24" s="34">
        <f>BI13*SUMPRODUCT((cv_effect="revenue_per_unit")*cv_value)</f>
        <v/>
      </c>
      <c r="BJ24" s="34">
        <f>BJ13*SUMPRODUCT((cv_effect="revenue_per_unit")*cv_value)</f>
        <v/>
      </c>
      <c r="BK24" s="34">
        <f>BK13*SUMPRODUCT((cv_effect="revenue_per_unit")*cv_value)</f>
        <v/>
      </c>
      <c r="BL24" s="34">
        <f>BL13*SUMPRODUCT((cv_effect="revenue_per_unit")*cv_value)</f>
        <v/>
      </c>
      <c r="BM24" s="34">
        <f>BM13*SUMPRODUCT((cv_effect="revenue_per_unit")*cv_value)</f>
        <v/>
      </c>
      <c r="BN24" s="34">
        <f>BN13*SUMPRODUCT((cv_effect="revenue_per_unit")*cv_value)</f>
        <v/>
      </c>
      <c r="BO24" s="34">
        <f>BO13*SUMPRODUCT((cv_effect="revenue_per_unit")*cv_value)</f>
        <v/>
      </c>
      <c r="BP24" s="34">
        <f>BP13*SUMPRODUCT((cv_effect="revenue_per_unit")*cv_value)</f>
        <v/>
      </c>
      <c r="BQ24" s="34">
        <f>BQ13*SUMPRODUCT((cv_effect="revenue_per_unit")*cv_value)</f>
        <v/>
      </c>
      <c r="BR24" s="34">
        <f>BR13*SUMPRODUCT((cv_effect="revenue_per_unit")*cv_value)</f>
        <v/>
      </c>
      <c r="BS24" s="34">
        <f>BS13*SUMPRODUCT((cv_effect="revenue_per_unit")*cv_value)</f>
        <v/>
      </c>
      <c r="BT24" s="34">
        <f>BT13*SUMPRODUCT((cv_effect="revenue_per_unit")*cv_value)</f>
        <v/>
      </c>
      <c r="BU24" s="34">
        <f>BU13*SUMPRODUCT((cv_effect="revenue_per_unit")*cv_value)</f>
        <v/>
      </c>
      <c r="BV24" s="34">
        <f>BV13*SUMPRODUCT((cv_effect="revenue_per_unit")*cv_value)</f>
        <v/>
      </c>
      <c r="BW24" s="34">
        <f>BW13*SUMPRODUCT((cv_effect="revenue_per_unit")*cv_value)</f>
        <v/>
      </c>
      <c r="BX24" s="34">
        <f>BX13*SUMPRODUCT((cv_effect="revenue_per_unit")*cv_value)</f>
        <v/>
      </c>
      <c r="BY24" s="34">
        <f>BY13*SUMPRODUCT((cv_effect="revenue_per_unit")*cv_value)</f>
        <v/>
      </c>
      <c r="BZ24" s="34">
        <f>BZ13*SUMPRODUCT((cv_effect="revenue_per_unit")*cv_value)</f>
        <v/>
      </c>
      <c r="CA24" s="34">
        <f>CA13*SUMPRODUCT((cv_effect="revenue_per_unit")*cv_value)</f>
        <v/>
      </c>
      <c r="CB24" s="34">
        <f>CB13*SUMPRODUCT((cv_effect="revenue_per_unit")*cv_value)</f>
        <v/>
      </c>
      <c r="CC24" s="34">
        <f>CC13*SUMPRODUCT((cv_effect="revenue_per_unit")*cv_value)</f>
        <v/>
      </c>
      <c r="CD24" s="34">
        <f>CD13*SUMPRODUCT((cv_effect="revenue_per_unit")*cv_value)</f>
        <v/>
      </c>
      <c r="CE24" s="34">
        <f>CE13*SUMPRODUCT((cv_effect="revenue_per_unit")*cv_value)</f>
        <v/>
      </c>
      <c r="CF24" s="34">
        <f>CF13*SUMPRODUCT((cv_effect="revenue_per_unit")*cv_value)</f>
        <v/>
      </c>
      <c r="CG24" s="34">
        <f>CG13*SUMPRODUCT((cv_effect="revenue_per_unit")*cv_value)</f>
        <v/>
      </c>
      <c r="CH24" s="34">
        <f>CH13*SUMPRODUCT((cv_effect="revenue_per_unit")*cv_value)</f>
        <v/>
      </c>
      <c r="CI24" s="34">
        <f>CI13*SUMPRODUCT((cv_effect="revenue_per_unit")*cv_value)</f>
        <v/>
      </c>
      <c r="CJ24" s="34">
        <f>CJ13*SUMPRODUCT((cv_effect="revenue_per_unit")*cv_value)</f>
        <v/>
      </c>
      <c r="CK24" s="34">
        <f>CK13*SUMPRODUCT((cv_effect="revenue_per_unit")*cv_value)</f>
        <v/>
      </c>
      <c r="CL24" s="34">
        <f>CL13*SUMPRODUCT((cv_effect="revenue_per_unit")*cv_value)</f>
        <v/>
      </c>
      <c r="CM24" s="34">
        <f>CM13*SUMPRODUCT((cv_effect="revenue_per_unit")*cv_value)</f>
        <v/>
      </c>
      <c r="CN24" s="34">
        <f>CN13*SUMPRODUCT((cv_effect="revenue_per_unit")*cv_value)</f>
        <v/>
      </c>
      <c r="CO24" s="34">
        <f>CO13*SUMPRODUCT((cv_effect="revenue_per_unit")*cv_value)</f>
        <v/>
      </c>
      <c r="CP24" s="34">
        <f>CP13*SUMPRODUCT((cv_effect="revenue_per_unit")*cv_value)</f>
        <v/>
      </c>
      <c r="CQ24" s="34">
        <f>CQ13*SUMPRODUCT((cv_effect="revenue_per_unit")*cv_value)</f>
        <v/>
      </c>
      <c r="CR24" s="34">
        <f>CR13*SUMPRODUCT((cv_effect="revenue_per_unit")*cv_value)</f>
        <v/>
      </c>
      <c r="CS24" s="34">
        <f>CS13*SUMPRODUCT((cv_effect="revenue_per_unit")*cv_value)</f>
        <v/>
      </c>
      <c r="CT24" s="34">
        <f>CT13*SUMPRODUCT((cv_effect="revenue_per_unit")*cv_value)</f>
        <v/>
      </c>
      <c r="CU24" s="34">
        <f>CU13*SUMPRODUCT((cv_effect="revenue_per_unit")*cv_value)</f>
        <v/>
      </c>
    </row>
    <row r="25">
      <c r="A25" s="38" t="inlineStr">
        <is>
          <t>Total sales collections</t>
        </is>
      </c>
      <c r="B25" s="39">
        <f>SUM(D25:CU25)</f>
        <v/>
      </c>
      <c r="C25" s="40" t="inlineStr"/>
      <c r="D25" s="39">
        <f>D19+D21+D22+D23</f>
        <v/>
      </c>
      <c r="E25" s="39">
        <f>E19+E21+E22+E23</f>
        <v/>
      </c>
      <c r="F25" s="39">
        <f>F19+F21+F22+F23</f>
        <v/>
      </c>
      <c r="G25" s="39">
        <f>G19+G21+G22+G23</f>
        <v/>
      </c>
      <c r="H25" s="39">
        <f>H19+H21+H22+H23</f>
        <v/>
      </c>
      <c r="I25" s="39">
        <f>I19+I21+I22+I23</f>
        <v/>
      </c>
      <c r="J25" s="39">
        <f>J19+J21+J22+J23</f>
        <v/>
      </c>
      <c r="K25" s="39">
        <f>K19+K21+K22+K23</f>
        <v/>
      </c>
      <c r="L25" s="39">
        <f>L19+L21+L22+L23</f>
        <v/>
      </c>
      <c r="M25" s="39">
        <f>M19+M21+M22+M23</f>
        <v/>
      </c>
      <c r="N25" s="39">
        <f>N19+N21+N22+N23</f>
        <v/>
      </c>
      <c r="O25" s="39">
        <f>O19+O21+O22+O23</f>
        <v/>
      </c>
      <c r="P25" s="39">
        <f>P19+P21+P22+P23</f>
        <v/>
      </c>
      <c r="Q25" s="39">
        <f>Q19+Q21+Q22+Q23</f>
        <v/>
      </c>
      <c r="R25" s="39">
        <f>R19+R21+R22+R23</f>
        <v/>
      </c>
      <c r="S25" s="39">
        <f>S19+S21+S22+S23</f>
        <v/>
      </c>
      <c r="T25" s="39">
        <f>T19+T21+T22+T23</f>
        <v/>
      </c>
      <c r="U25" s="39">
        <f>U19+U21+U22+U23</f>
        <v/>
      </c>
      <c r="V25" s="39">
        <f>V19+V21+V22+V23</f>
        <v/>
      </c>
      <c r="W25" s="39">
        <f>W19+W21+W22+W23</f>
        <v/>
      </c>
      <c r="X25" s="39">
        <f>X19+X21+X22+X23</f>
        <v/>
      </c>
      <c r="Y25" s="39">
        <f>Y19+Y21+Y22+Y23</f>
        <v/>
      </c>
      <c r="Z25" s="39">
        <f>Z19+Z21+Z22+Z23</f>
        <v/>
      </c>
      <c r="AA25" s="39">
        <f>AA19+AA21+AA22+AA23</f>
        <v/>
      </c>
      <c r="AB25" s="39">
        <f>AB19+AB21+AB22+AB23</f>
        <v/>
      </c>
      <c r="AC25" s="39">
        <f>AC19+AC21+AC22+AC23</f>
        <v/>
      </c>
      <c r="AD25" s="39">
        <f>AD19+AD21+AD22+AD23</f>
        <v/>
      </c>
      <c r="AE25" s="39">
        <f>AE19+AE21+AE22+AE23</f>
        <v/>
      </c>
      <c r="AF25" s="39">
        <f>AF19+AF21+AF22+AF23</f>
        <v/>
      </c>
      <c r="AG25" s="39">
        <f>AG19+AG21+AG22+AG23</f>
        <v/>
      </c>
      <c r="AH25" s="39">
        <f>AH19+AH21+AH22+AH23</f>
        <v/>
      </c>
      <c r="AI25" s="39">
        <f>AI19+AI21+AI22+AI23</f>
        <v/>
      </c>
      <c r="AJ25" s="39">
        <f>AJ19+AJ21+AJ22+AJ23</f>
        <v/>
      </c>
      <c r="AK25" s="39">
        <f>AK19+AK21+AK22+AK23</f>
        <v/>
      </c>
      <c r="AL25" s="39">
        <f>AL19+AL21+AL22+AL23</f>
        <v/>
      </c>
      <c r="AM25" s="39">
        <f>AM19+AM21+AM22+AM23</f>
        <v/>
      </c>
      <c r="AN25" s="39">
        <f>AN19+AN21+AN22+AN23</f>
        <v/>
      </c>
      <c r="AO25" s="39">
        <f>AO19+AO21+AO22+AO23</f>
        <v/>
      </c>
      <c r="AP25" s="39">
        <f>AP19+AP21+AP22+AP23</f>
        <v/>
      </c>
      <c r="AQ25" s="39">
        <f>AQ19+AQ21+AQ22+AQ23</f>
        <v/>
      </c>
      <c r="AR25" s="39">
        <f>AR19+AR21+AR22+AR23</f>
        <v/>
      </c>
      <c r="AS25" s="39">
        <f>AS19+AS21+AS22+AS23</f>
        <v/>
      </c>
      <c r="AT25" s="39">
        <f>AT19+AT21+AT22+AT23</f>
        <v/>
      </c>
      <c r="AU25" s="39">
        <f>AU19+AU21+AU22+AU23</f>
        <v/>
      </c>
      <c r="AV25" s="39">
        <f>AV19+AV21+AV22+AV23</f>
        <v/>
      </c>
      <c r="AW25" s="39">
        <f>AW19+AW21+AW22+AW23</f>
        <v/>
      </c>
      <c r="AX25" s="39">
        <f>AX19+AX21+AX22+AX23</f>
        <v/>
      </c>
      <c r="AY25" s="39">
        <f>AY19+AY21+AY22+AY23</f>
        <v/>
      </c>
      <c r="AZ25" s="39">
        <f>AZ19+AZ21+AZ22+AZ23</f>
        <v/>
      </c>
      <c r="BA25" s="39">
        <f>BA19+BA21+BA22+BA23</f>
        <v/>
      </c>
      <c r="BB25" s="39">
        <f>BB19+BB21+BB22+BB23</f>
        <v/>
      </c>
      <c r="BC25" s="39">
        <f>BC19+BC21+BC22+BC23</f>
        <v/>
      </c>
      <c r="BD25" s="39">
        <f>BD19+BD21+BD22+BD23</f>
        <v/>
      </c>
      <c r="BE25" s="39">
        <f>BE19+BE21+BE22+BE23</f>
        <v/>
      </c>
      <c r="BF25" s="39">
        <f>BF19+BF21+BF22+BF23</f>
        <v/>
      </c>
      <c r="BG25" s="39">
        <f>BG19+BG21+BG22+BG23</f>
        <v/>
      </c>
      <c r="BH25" s="39">
        <f>BH19+BH21+BH22+BH23</f>
        <v/>
      </c>
      <c r="BI25" s="39">
        <f>BI19+BI21+BI22+BI23</f>
        <v/>
      </c>
      <c r="BJ25" s="39">
        <f>BJ19+BJ21+BJ22+BJ23</f>
        <v/>
      </c>
      <c r="BK25" s="39">
        <f>BK19+BK21+BK22+BK23</f>
        <v/>
      </c>
      <c r="BL25" s="39">
        <f>BL19+BL21+BL22+BL23</f>
        <v/>
      </c>
      <c r="BM25" s="39">
        <f>BM19+BM21+BM22+BM23</f>
        <v/>
      </c>
      <c r="BN25" s="39">
        <f>BN19+BN21+BN22+BN23</f>
        <v/>
      </c>
      <c r="BO25" s="39">
        <f>BO19+BO21+BO22+BO23</f>
        <v/>
      </c>
      <c r="BP25" s="39">
        <f>BP19+BP21+BP22+BP23</f>
        <v/>
      </c>
      <c r="BQ25" s="39">
        <f>BQ19+BQ21+BQ22+BQ23</f>
        <v/>
      </c>
      <c r="BR25" s="39">
        <f>BR19+BR21+BR22+BR23</f>
        <v/>
      </c>
      <c r="BS25" s="39">
        <f>BS19+BS21+BS22+BS23</f>
        <v/>
      </c>
      <c r="BT25" s="39">
        <f>BT19+BT21+BT22+BT23</f>
        <v/>
      </c>
      <c r="BU25" s="39">
        <f>BU19+BU21+BU22+BU23</f>
        <v/>
      </c>
      <c r="BV25" s="39">
        <f>BV19+BV21+BV22+BV23</f>
        <v/>
      </c>
      <c r="BW25" s="39">
        <f>BW19+BW21+BW22+BW23</f>
        <v/>
      </c>
      <c r="BX25" s="39">
        <f>BX19+BX21+BX22+BX23</f>
        <v/>
      </c>
      <c r="BY25" s="39">
        <f>BY19+BY21+BY22+BY23</f>
        <v/>
      </c>
      <c r="BZ25" s="39">
        <f>BZ19+BZ21+BZ22+BZ23</f>
        <v/>
      </c>
      <c r="CA25" s="39">
        <f>CA19+CA21+CA22+CA23</f>
        <v/>
      </c>
      <c r="CB25" s="39">
        <f>CB19+CB21+CB22+CB23</f>
        <v/>
      </c>
      <c r="CC25" s="39">
        <f>CC19+CC21+CC22+CC23</f>
        <v/>
      </c>
      <c r="CD25" s="39">
        <f>CD19+CD21+CD22+CD23</f>
        <v/>
      </c>
      <c r="CE25" s="39">
        <f>CE19+CE21+CE22+CE23</f>
        <v/>
      </c>
      <c r="CF25" s="39">
        <f>CF19+CF21+CF22+CF23</f>
        <v/>
      </c>
      <c r="CG25" s="39">
        <f>CG19+CG21+CG22+CG23</f>
        <v/>
      </c>
      <c r="CH25" s="39">
        <f>CH19+CH21+CH22+CH23</f>
        <v/>
      </c>
      <c r="CI25" s="39">
        <f>CI19+CI21+CI22+CI23</f>
        <v/>
      </c>
      <c r="CJ25" s="39">
        <f>CJ19+CJ21+CJ22+CJ23</f>
        <v/>
      </c>
      <c r="CK25" s="39">
        <f>CK19+CK21+CK22+CK23</f>
        <v/>
      </c>
      <c r="CL25" s="39">
        <f>CL19+CL21+CL22+CL23</f>
        <v/>
      </c>
      <c r="CM25" s="39">
        <f>CM19+CM21+CM22+CM23</f>
        <v/>
      </c>
      <c r="CN25" s="39">
        <f>CN19+CN21+CN22+CN23</f>
        <v/>
      </c>
      <c r="CO25" s="39">
        <f>CO19+CO21+CO22+CO23</f>
        <v/>
      </c>
      <c r="CP25" s="39">
        <f>CP19+CP21+CP22+CP23</f>
        <v/>
      </c>
      <c r="CQ25" s="39">
        <f>CQ19+CQ21+CQ22+CQ23</f>
        <v/>
      </c>
      <c r="CR25" s="39">
        <f>CR19+CR21+CR22+CR23</f>
        <v/>
      </c>
      <c r="CS25" s="39">
        <f>CS19+CS21+CS22+CS23</f>
        <v/>
      </c>
      <c r="CT25" s="39">
        <f>CT19+CT21+CT22+CT23</f>
        <v/>
      </c>
      <c r="CU25" s="39">
        <f>CU19+CU21+CU22+CU23</f>
        <v/>
      </c>
    </row>
    <row r="26">
      <c r="A26" s="13" t="inlineStr">
        <is>
          <t>Sales costs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</row>
    <row r="27">
      <c r="A27" s="7" t="inlineStr">
        <is>
          <t>Sales commissions (paid at contract)</t>
        </is>
      </c>
      <c r="B27" s="21">
        <f>SUM(D27:CU27)</f>
        <v/>
      </c>
      <c r="C27" s="11" t="inlineStr"/>
      <c r="D27" s="34">
        <f>D17*in_rev_commission_pct</f>
        <v/>
      </c>
      <c r="E27" s="34">
        <f>E17*in_rev_commission_pct</f>
        <v/>
      </c>
      <c r="F27" s="34">
        <f>F17*in_rev_commission_pct</f>
        <v/>
      </c>
      <c r="G27" s="34">
        <f>G17*in_rev_commission_pct</f>
        <v/>
      </c>
      <c r="H27" s="34">
        <f>H17*in_rev_commission_pct</f>
        <v/>
      </c>
      <c r="I27" s="34">
        <f>I17*in_rev_commission_pct</f>
        <v/>
      </c>
      <c r="J27" s="34">
        <f>J17*in_rev_commission_pct</f>
        <v/>
      </c>
      <c r="K27" s="34">
        <f>K17*in_rev_commission_pct</f>
        <v/>
      </c>
      <c r="L27" s="34">
        <f>L17*in_rev_commission_pct</f>
        <v/>
      </c>
      <c r="M27" s="34">
        <f>M17*in_rev_commission_pct</f>
        <v/>
      </c>
      <c r="N27" s="34">
        <f>N17*in_rev_commission_pct</f>
        <v/>
      </c>
      <c r="O27" s="34">
        <f>O17*in_rev_commission_pct</f>
        <v/>
      </c>
      <c r="P27" s="34">
        <f>P17*in_rev_commission_pct</f>
        <v/>
      </c>
      <c r="Q27" s="34">
        <f>Q17*in_rev_commission_pct</f>
        <v/>
      </c>
      <c r="R27" s="34">
        <f>R17*in_rev_commission_pct</f>
        <v/>
      </c>
      <c r="S27" s="34">
        <f>S17*in_rev_commission_pct</f>
        <v/>
      </c>
      <c r="T27" s="34">
        <f>T17*in_rev_commission_pct</f>
        <v/>
      </c>
      <c r="U27" s="34">
        <f>U17*in_rev_commission_pct</f>
        <v/>
      </c>
      <c r="V27" s="34">
        <f>V17*in_rev_commission_pct</f>
        <v/>
      </c>
      <c r="W27" s="34">
        <f>W17*in_rev_commission_pct</f>
        <v/>
      </c>
      <c r="X27" s="34">
        <f>X17*in_rev_commission_pct</f>
        <v/>
      </c>
      <c r="Y27" s="34">
        <f>Y17*in_rev_commission_pct</f>
        <v/>
      </c>
      <c r="Z27" s="34">
        <f>Z17*in_rev_commission_pct</f>
        <v/>
      </c>
      <c r="AA27" s="34">
        <f>AA17*in_rev_commission_pct</f>
        <v/>
      </c>
      <c r="AB27" s="34">
        <f>AB17*in_rev_commission_pct</f>
        <v/>
      </c>
      <c r="AC27" s="34">
        <f>AC17*in_rev_commission_pct</f>
        <v/>
      </c>
      <c r="AD27" s="34">
        <f>AD17*in_rev_commission_pct</f>
        <v/>
      </c>
      <c r="AE27" s="34">
        <f>AE17*in_rev_commission_pct</f>
        <v/>
      </c>
      <c r="AF27" s="34">
        <f>AF17*in_rev_commission_pct</f>
        <v/>
      </c>
      <c r="AG27" s="34">
        <f>AG17*in_rev_commission_pct</f>
        <v/>
      </c>
      <c r="AH27" s="34">
        <f>AH17*in_rev_commission_pct</f>
        <v/>
      </c>
      <c r="AI27" s="34">
        <f>AI17*in_rev_commission_pct</f>
        <v/>
      </c>
      <c r="AJ27" s="34">
        <f>AJ17*in_rev_commission_pct</f>
        <v/>
      </c>
      <c r="AK27" s="34">
        <f>AK17*in_rev_commission_pct</f>
        <v/>
      </c>
      <c r="AL27" s="34">
        <f>AL17*in_rev_commission_pct</f>
        <v/>
      </c>
      <c r="AM27" s="34">
        <f>AM17*in_rev_commission_pct</f>
        <v/>
      </c>
      <c r="AN27" s="34">
        <f>AN17*in_rev_commission_pct</f>
        <v/>
      </c>
      <c r="AO27" s="34">
        <f>AO17*in_rev_commission_pct</f>
        <v/>
      </c>
      <c r="AP27" s="34">
        <f>AP17*in_rev_commission_pct</f>
        <v/>
      </c>
      <c r="AQ27" s="34">
        <f>AQ17*in_rev_commission_pct</f>
        <v/>
      </c>
      <c r="AR27" s="34">
        <f>AR17*in_rev_commission_pct</f>
        <v/>
      </c>
      <c r="AS27" s="34">
        <f>AS17*in_rev_commission_pct</f>
        <v/>
      </c>
      <c r="AT27" s="34">
        <f>AT17*in_rev_commission_pct</f>
        <v/>
      </c>
      <c r="AU27" s="34">
        <f>AU17*in_rev_commission_pct</f>
        <v/>
      </c>
      <c r="AV27" s="34">
        <f>AV17*in_rev_commission_pct</f>
        <v/>
      </c>
      <c r="AW27" s="34">
        <f>AW17*in_rev_commission_pct</f>
        <v/>
      </c>
      <c r="AX27" s="34">
        <f>AX17*in_rev_commission_pct</f>
        <v/>
      </c>
      <c r="AY27" s="34">
        <f>AY17*in_rev_commission_pct</f>
        <v/>
      </c>
      <c r="AZ27" s="34">
        <f>AZ17*in_rev_commission_pct</f>
        <v/>
      </c>
      <c r="BA27" s="34">
        <f>BA17*in_rev_commission_pct</f>
        <v/>
      </c>
      <c r="BB27" s="34">
        <f>BB17*in_rev_commission_pct</f>
        <v/>
      </c>
      <c r="BC27" s="34">
        <f>BC17*in_rev_commission_pct</f>
        <v/>
      </c>
      <c r="BD27" s="34">
        <f>BD17*in_rev_commission_pct</f>
        <v/>
      </c>
      <c r="BE27" s="34">
        <f>BE17*in_rev_commission_pct</f>
        <v/>
      </c>
      <c r="BF27" s="34">
        <f>BF17*in_rev_commission_pct</f>
        <v/>
      </c>
      <c r="BG27" s="34">
        <f>BG17*in_rev_commission_pct</f>
        <v/>
      </c>
      <c r="BH27" s="34">
        <f>BH17*in_rev_commission_pct</f>
        <v/>
      </c>
      <c r="BI27" s="34">
        <f>BI17*in_rev_commission_pct</f>
        <v/>
      </c>
      <c r="BJ27" s="34">
        <f>BJ17*in_rev_commission_pct</f>
        <v/>
      </c>
      <c r="BK27" s="34">
        <f>BK17*in_rev_commission_pct</f>
        <v/>
      </c>
      <c r="BL27" s="34">
        <f>BL17*in_rev_commission_pct</f>
        <v/>
      </c>
      <c r="BM27" s="34">
        <f>BM17*in_rev_commission_pct</f>
        <v/>
      </c>
      <c r="BN27" s="34">
        <f>BN17*in_rev_commission_pct</f>
        <v/>
      </c>
      <c r="BO27" s="34">
        <f>BO17*in_rev_commission_pct</f>
        <v/>
      </c>
      <c r="BP27" s="34">
        <f>BP17*in_rev_commission_pct</f>
        <v/>
      </c>
      <c r="BQ27" s="34">
        <f>BQ17*in_rev_commission_pct</f>
        <v/>
      </c>
      <c r="BR27" s="34">
        <f>BR17*in_rev_commission_pct</f>
        <v/>
      </c>
      <c r="BS27" s="34">
        <f>BS17*in_rev_commission_pct</f>
        <v/>
      </c>
      <c r="BT27" s="34">
        <f>BT17*in_rev_commission_pct</f>
        <v/>
      </c>
      <c r="BU27" s="34">
        <f>BU17*in_rev_commission_pct</f>
        <v/>
      </c>
      <c r="BV27" s="34">
        <f>BV17*in_rev_commission_pct</f>
        <v/>
      </c>
      <c r="BW27" s="34">
        <f>BW17*in_rev_commission_pct</f>
        <v/>
      </c>
      <c r="BX27" s="34">
        <f>BX17*in_rev_commission_pct</f>
        <v/>
      </c>
      <c r="BY27" s="34">
        <f>BY17*in_rev_commission_pct</f>
        <v/>
      </c>
      <c r="BZ27" s="34">
        <f>BZ17*in_rev_commission_pct</f>
        <v/>
      </c>
      <c r="CA27" s="34">
        <f>CA17*in_rev_commission_pct</f>
        <v/>
      </c>
      <c r="CB27" s="34">
        <f>CB17*in_rev_commission_pct</f>
        <v/>
      </c>
      <c r="CC27" s="34">
        <f>CC17*in_rev_commission_pct</f>
        <v/>
      </c>
      <c r="CD27" s="34">
        <f>CD17*in_rev_commission_pct</f>
        <v/>
      </c>
      <c r="CE27" s="34">
        <f>CE17*in_rev_commission_pct</f>
        <v/>
      </c>
      <c r="CF27" s="34">
        <f>CF17*in_rev_commission_pct</f>
        <v/>
      </c>
      <c r="CG27" s="34">
        <f>CG17*in_rev_commission_pct</f>
        <v/>
      </c>
      <c r="CH27" s="34">
        <f>CH17*in_rev_commission_pct</f>
        <v/>
      </c>
      <c r="CI27" s="34">
        <f>CI17*in_rev_commission_pct</f>
        <v/>
      </c>
      <c r="CJ27" s="34">
        <f>CJ17*in_rev_commission_pct</f>
        <v/>
      </c>
      <c r="CK27" s="34">
        <f>CK17*in_rev_commission_pct</f>
        <v/>
      </c>
      <c r="CL27" s="34">
        <f>CL17*in_rev_commission_pct</f>
        <v/>
      </c>
      <c r="CM27" s="34">
        <f>CM17*in_rev_commission_pct</f>
        <v/>
      </c>
      <c r="CN27" s="34">
        <f>CN17*in_rev_commission_pct</f>
        <v/>
      </c>
      <c r="CO27" s="34">
        <f>CO17*in_rev_commission_pct</f>
        <v/>
      </c>
      <c r="CP27" s="34">
        <f>CP17*in_rev_commission_pct</f>
        <v/>
      </c>
      <c r="CQ27" s="34">
        <f>CQ17*in_rev_commission_pct</f>
        <v/>
      </c>
      <c r="CR27" s="34">
        <f>CR17*in_rev_commission_pct</f>
        <v/>
      </c>
      <c r="CS27" s="34">
        <f>CS17*in_rev_commission_pct</f>
        <v/>
      </c>
      <c r="CT27" s="34">
        <f>CT17*in_rev_commission_pct</f>
        <v/>
      </c>
      <c r="CU27" s="34">
        <f>CU17*in_rev_commission_pct</f>
        <v/>
      </c>
    </row>
    <row r="28">
      <c r="A28" s="7" t="inlineStr">
        <is>
          <t>Marketing &amp; sales office</t>
        </is>
      </c>
      <c r="B28" s="21">
        <f>SUM(D28:CU28)</f>
        <v/>
      </c>
      <c r="C28" s="11" t="inlineStr"/>
      <c r="D28" s="34">
        <f>IF(AND(D$4&gt;=Sales_Start,D$4&lt;=Sales_Last),S_GDV*in_rev_marketing_pct/(Sales_Last-Sales_Start+1),0)</f>
        <v/>
      </c>
      <c r="E28" s="34">
        <f>IF(AND(E$4&gt;=Sales_Start,E$4&lt;=Sales_Last),S_GDV*in_rev_marketing_pct/(Sales_Last-Sales_Start+1),0)</f>
        <v/>
      </c>
      <c r="F28" s="34">
        <f>IF(AND(F$4&gt;=Sales_Start,F$4&lt;=Sales_Last),S_GDV*in_rev_marketing_pct/(Sales_Last-Sales_Start+1),0)</f>
        <v/>
      </c>
      <c r="G28" s="34">
        <f>IF(AND(G$4&gt;=Sales_Start,G$4&lt;=Sales_Last),S_GDV*in_rev_marketing_pct/(Sales_Last-Sales_Start+1),0)</f>
        <v/>
      </c>
      <c r="H28" s="34">
        <f>IF(AND(H$4&gt;=Sales_Start,H$4&lt;=Sales_Last),S_GDV*in_rev_marketing_pct/(Sales_Last-Sales_Start+1),0)</f>
        <v/>
      </c>
      <c r="I28" s="34">
        <f>IF(AND(I$4&gt;=Sales_Start,I$4&lt;=Sales_Last),S_GDV*in_rev_marketing_pct/(Sales_Last-Sales_Start+1),0)</f>
        <v/>
      </c>
      <c r="J28" s="34">
        <f>IF(AND(J$4&gt;=Sales_Start,J$4&lt;=Sales_Last),S_GDV*in_rev_marketing_pct/(Sales_Last-Sales_Start+1),0)</f>
        <v/>
      </c>
      <c r="K28" s="34">
        <f>IF(AND(K$4&gt;=Sales_Start,K$4&lt;=Sales_Last),S_GDV*in_rev_marketing_pct/(Sales_Last-Sales_Start+1),0)</f>
        <v/>
      </c>
      <c r="L28" s="34">
        <f>IF(AND(L$4&gt;=Sales_Start,L$4&lt;=Sales_Last),S_GDV*in_rev_marketing_pct/(Sales_Last-Sales_Start+1),0)</f>
        <v/>
      </c>
      <c r="M28" s="34">
        <f>IF(AND(M$4&gt;=Sales_Start,M$4&lt;=Sales_Last),S_GDV*in_rev_marketing_pct/(Sales_Last-Sales_Start+1),0)</f>
        <v/>
      </c>
      <c r="N28" s="34">
        <f>IF(AND(N$4&gt;=Sales_Start,N$4&lt;=Sales_Last),S_GDV*in_rev_marketing_pct/(Sales_Last-Sales_Start+1),0)</f>
        <v/>
      </c>
      <c r="O28" s="34">
        <f>IF(AND(O$4&gt;=Sales_Start,O$4&lt;=Sales_Last),S_GDV*in_rev_marketing_pct/(Sales_Last-Sales_Start+1),0)</f>
        <v/>
      </c>
      <c r="P28" s="34">
        <f>IF(AND(P$4&gt;=Sales_Start,P$4&lt;=Sales_Last),S_GDV*in_rev_marketing_pct/(Sales_Last-Sales_Start+1),0)</f>
        <v/>
      </c>
      <c r="Q28" s="34">
        <f>IF(AND(Q$4&gt;=Sales_Start,Q$4&lt;=Sales_Last),S_GDV*in_rev_marketing_pct/(Sales_Last-Sales_Start+1),0)</f>
        <v/>
      </c>
      <c r="R28" s="34">
        <f>IF(AND(R$4&gt;=Sales_Start,R$4&lt;=Sales_Last),S_GDV*in_rev_marketing_pct/(Sales_Last-Sales_Start+1),0)</f>
        <v/>
      </c>
      <c r="S28" s="34">
        <f>IF(AND(S$4&gt;=Sales_Start,S$4&lt;=Sales_Last),S_GDV*in_rev_marketing_pct/(Sales_Last-Sales_Start+1),0)</f>
        <v/>
      </c>
      <c r="T28" s="34">
        <f>IF(AND(T$4&gt;=Sales_Start,T$4&lt;=Sales_Last),S_GDV*in_rev_marketing_pct/(Sales_Last-Sales_Start+1),0)</f>
        <v/>
      </c>
      <c r="U28" s="34">
        <f>IF(AND(U$4&gt;=Sales_Start,U$4&lt;=Sales_Last),S_GDV*in_rev_marketing_pct/(Sales_Last-Sales_Start+1),0)</f>
        <v/>
      </c>
      <c r="V28" s="34">
        <f>IF(AND(V$4&gt;=Sales_Start,V$4&lt;=Sales_Last),S_GDV*in_rev_marketing_pct/(Sales_Last-Sales_Start+1),0)</f>
        <v/>
      </c>
      <c r="W28" s="34">
        <f>IF(AND(W$4&gt;=Sales_Start,W$4&lt;=Sales_Last),S_GDV*in_rev_marketing_pct/(Sales_Last-Sales_Start+1),0)</f>
        <v/>
      </c>
      <c r="X28" s="34">
        <f>IF(AND(X$4&gt;=Sales_Start,X$4&lt;=Sales_Last),S_GDV*in_rev_marketing_pct/(Sales_Last-Sales_Start+1),0)</f>
        <v/>
      </c>
      <c r="Y28" s="34">
        <f>IF(AND(Y$4&gt;=Sales_Start,Y$4&lt;=Sales_Last),S_GDV*in_rev_marketing_pct/(Sales_Last-Sales_Start+1),0)</f>
        <v/>
      </c>
      <c r="Z28" s="34">
        <f>IF(AND(Z$4&gt;=Sales_Start,Z$4&lt;=Sales_Last),S_GDV*in_rev_marketing_pct/(Sales_Last-Sales_Start+1),0)</f>
        <v/>
      </c>
      <c r="AA28" s="34">
        <f>IF(AND(AA$4&gt;=Sales_Start,AA$4&lt;=Sales_Last),S_GDV*in_rev_marketing_pct/(Sales_Last-Sales_Start+1),0)</f>
        <v/>
      </c>
      <c r="AB28" s="34">
        <f>IF(AND(AB$4&gt;=Sales_Start,AB$4&lt;=Sales_Last),S_GDV*in_rev_marketing_pct/(Sales_Last-Sales_Start+1),0)</f>
        <v/>
      </c>
      <c r="AC28" s="34">
        <f>IF(AND(AC$4&gt;=Sales_Start,AC$4&lt;=Sales_Last),S_GDV*in_rev_marketing_pct/(Sales_Last-Sales_Start+1),0)</f>
        <v/>
      </c>
      <c r="AD28" s="34">
        <f>IF(AND(AD$4&gt;=Sales_Start,AD$4&lt;=Sales_Last),S_GDV*in_rev_marketing_pct/(Sales_Last-Sales_Start+1),0)</f>
        <v/>
      </c>
      <c r="AE28" s="34">
        <f>IF(AND(AE$4&gt;=Sales_Start,AE$4&lt;=Sales_Last),S_GDV*in_rev_marketing_pct/(Sales_Last-Sales_Start+1),0)</f>
        <v/>
      </c>
      <c r="AF28" s="34">
        <f>IF(AND(AF$4&gt;=Sales_Start,AF$4&lt;=Sales_Last),S_GDV*in_rev_marketing_pct/(Sales_Last-Sales_Start+1),0)</f>
        <v/>
      </c>
      <c r="AG28" s="34">
        <f>IF(AND(AG$4&gt;=Sales_Start,AG$4&lt;=Sales_Last),S_GDV*in_rev_marketing_pct/(Sales_Last-Sales_Start+1),0)</f>
        <v/>
      </c>
      <c r="AH28" s="34">
        <f>IF(AND(AH$4&gt;=Sales_Start,AH$4&lt;=Sales_Last),S_GDV*in_rev_marketing_pct/(Sales_Last-Sales_Start+1),0)</f>
        <v/>
      </c>
      <c r="AI28" s="34">
        <f>IF(AND(AI$4&gt;=Sales_Start,AI$4&lt;=Sales_Last),S_GDV*in_rev_marketing_pct/(Sales_Last-Sales_Start+1),0)</f>
        <v/>
      </c>
      <c r="AJ28" s="34">
        <f>IF(AND(AJ$4&gt;=Sales_Start,AJ$4&lt;=Sales_Last),S_GDV*in_rev_marketing_pct/(Sales_Last-Sales_Start+1),0)</f>
        <v/>
      </c>
      <c r="AK28" s="34">
        <f>IF(AND(AK$4&gt;=Sales_Start,AK$4&lt;=Sales_Last),S_GDV*in_rev_marketing_pct/(Sales_Last-Sales_Start+1),0)</f>
        <v/>
      </c>
      <c r="AL28" s="34">
        <f>IF(AND(AL$4&gt;=Sales_Start,AL$4&lt;=Sales_Last),S_GDV*in_rev_marketing_pct/(Sales_Last-Sales_Start+1),0)</f>
        <v/>
      </c>
      <c r="AM28" s="34">
        <f>IF(AND(AM$4&gt;=Sales_Start,AM$4&lt;=Sales_Last),S_GDV*in_rev_marketing_pct/(Sales_Last-Sales_Start+1),0)</f>
        <v/>
      </c>
      <c r="AN28" s="34">
        <f>IF(AND(AN$4&gt;=Sales_Start,AN$4&lt;=Sales_Last),S_GDV*in_rev_marketing_pct/(Sales_Last-Sales_Start+1),0)</f>
        <v/>
      </c>
      <c r="AO28" s="34">
        <f>IF(AND(AO$4&gt;=Sales_Start,AO$4&lt;=Sales_Last),S_GDV*in_rev_marketing_pct/(Sales_Last-Sales_Start+1),0)</f>
        <v/>
      </c>
      <c r="AP28" s="34">
        <f>IF(AND(AP$4&gt;=Sales_Start,AP$4&lt;=Sales_Last),S_GDV*in_rev_marketing_pct/(Sales_Last-Sales_Start+1),0)</f>
        <v/>
      </c>
      <c r="AQ28" s="34">
        <f>IF(AND(AQ$4&gt;=Sales_Start,AQ$4&lt;=Sales_Last),S_GDV*in_rev_marketing_pct/(Sales_Last-Sales_Start+1),0)</f>
        <v/>
      </c>
      <c r="AR28" s="34">
        <f>IF(AND(AR$4&gt;=Sales_Start,AR$4&lt;=Sales_Last),S_GDV*in_rev_marketing_pct/(Sales_Last-Sales_Start+1),0)</f>
        <v/>
      </c>
      <c r="AS28" s="34">
        <f>IF(AND(AS$4&gt;=Sales_Start,AS$4&lt;=Sales_Last),S_GDV*in_rev_marketing_pct/(Sales_Last-Sales_Start+1),0)</f>
        <v/>
      </c>
      <c r="AT28" s="34">
        <f>IF(AND(AT$4&gt;=Sales_Start,AT$4&lt;=Sales_Last),S_GDV*in_rev_marketing_pct/(Sales_Last-Sales_Start+1),0)</f>
        <v/>
      </c>
      <c r="AU28" s="34">
        <f>IF(AND(AU$4&gt;=Sales_Start,AU$4&lt;=Sales_Last),S_GDV*in_rev_marketing_pct/(Sales_Last-Sales_Start+1),0)</f>
        <v/>
      </c>
      <c r="AV28" s="34">
        <f>IF(AND(AV$4&gt;=Sales_Start,AV$4&lt;=Sales_Last),S_GDV*in_rev_marketing_pct/(Sales_Last-Sales_Start+1),0)</f>
        <v/>
      </c>
      <c r="AW28" s="34">
        <f>IF(AND(AW$4&gt;=Sales_Start,AW$4&lt;=Sales_Last),S_GDV*in_rev_marketing_pct/(Sales_Last-Sales_Start+1),0)</f>
        <v/>
      </c>
      <c r="AX28" s="34">
        <f>IF(AND(AX$4&gt;=Sales_Start,AX$4&lt;=Sales_Last),S_GDV*in_rev_marketing_pct/(Sales_Last-Sales_Start+1),0)</f>
        <v/>
      </c>
      <c r="AY28" s="34">
        <f>IF(AND(AY$4&gt;=Sales_Start,AY$4&lt;=Sales_Last),S_GDV*in_rev_marketing_pct/(Sales_Last-Sales_Start+1),0)</f>
        <v/>
      </c>
      <c r="AZ28" s="34">
        <f>IF(AND(AZ$4&gt;=Sales_Start,AZ$4&lt;=Sales_Last),S_GDV*in_rev_marketing_pct/(Sales_Last-Sales_Start+1),0)</f>
        <v/>
      </c>
      <c r="BA28" s="34">
        <f>IF(AND(BA$4&gt;=Sales_Start,BA$4&lt;=Sales_Last),S_GDV*in_rev_marketing_pct/(Sales_Last-Sales_Start+1),0)</f>
        <v/>
      </c>
      <c r="BB28" s="34">
        <f>IF(AND(BB$4&gt;=Sales_Start,BB$4&lt;=Sales_Last),S_GDV*in_rev_marketing_pct/(Sales_Last-Sales_Start+1),0)</f>
        <v/>
      </c>
      <c r="BC28" s="34">
        <f>IF(AND(BC$4&gt;=Sales_Start,BC$4&lt;=Sales_Last),S_GDV*in_rev_marketing_pct/(Sales_Last-Sales_Start+1),0)</f>
        <v/>
      </c>
      <c r="BD28" s="34">
        <f>IF(AND(BD$4&gt;=Sales_Start,BD$4&lt;=Sales_Last),S_GDV*in_rev_marketing_pct/(Sales_Last-Sales_Start+1),0)</f>
        <v/>
      </c>
      <c r="BE28" s="34">
        <f>IF(AND(BE$4&gt;=Sales_Start,BE$4&lt;=Sales_Last),S_GDV*in_rev_marketing_pct/(Sales_Last-Sales_Start+1),0)</f>
        <v/>
      </c>
      <c r="BF28" s="34">
        <f>IF(AND(BF$4&gt;=Sales_Start,BF$4&lt;=Sales_Last),S_GDV*in_rev_marketing_pct/(Sales_Last-Sales_Start+1),0)</f>
        <v/>
      </c>
      <c r="BG28" s="34">
        <f>IF(AND(BG$4&gt;=Sales_Start,BG$4&lt;=Sales_Last),S_GDV*in_rev_marketing_pct/(Sales_Last-Sales_Start+1),0)</f>
        <v/>
      </c>
      <c r="BH28" s="34">
        <f>IF(AND(BH$4&gt;=Sales_Start,BH$4&lt;=Sales_Last),S_GDV*in_rev_marketing_pct/(Sales_Last-Sales_Start+1),0)</f>
        <v/>
      </c>
      <c r="BI28" s="34">
        <f>IF(AND(BI$4&gt;=Sales_Start,BI$4&lt;=Sales_Last),S_GDV*in_rev_marketing_pct/(Sales_Last-Sales_Start+1),0)</f>
        <v/>
      </c>
      <c r="BJ28" s="34">
        <f>IF(AND(BJ$4&gt;=Sales_Start,BJ$4&lt;=Sales_Last),S_GDV*in_rev_marketing_pct/(Sales_Last-Sales_Start+1),0)</f>
        <v/>
      </c>
      <c r="BK28" s="34">
        <f>IF(AND(BK$4&gt;=Sales_Start,BK$4&lt;=Sales_Last),S_GDV*in_rev_marketing_pct/(Sales_Last-Sales_Start+1),0)</f>
        <v/>
      </c>
      <c r="BL28" s="34">
        <f>IF(AND(BL$4&gt;=Sales_Start,BL$4&lt;=Sales_Last),S_GDV*in_rev_marketing_pct/(Sales_Last-Sales_Start+1),0)</f>
        <v/>
      </c>
      <c r="BM28" s="34">
        <f>IF(AND(BM$4&gt;=Sales_Start,BM$4&lt;=Sales_Last),S_GDV*in_rev_marketing_pct/(Sales_Last-Sales_Start+1),0)</f>
        <v/>
      </c>
      <c r="BN28" s="34">
        <f>IF(AND(BN$4&gt;=Sales_Start,BN$4&lt;=Sales_Last),S_GDV*in_rev_marketing_pct/(Sales_Last-Sales_Start+1),0)</f>
        <v/>
      </c>
      <c r="BO28" s="34">
        <f>IF(AND(BO$4&gt;=Sales_Start,BO$4&lt;=Sales_Last),S_GDV*in_rev_marketing_pct/(Sales_Last-Sales_Start+1),0)</f>
        <v/>
      </c>
      <c r="BP28" s="34">
        <f>IF(AND(BP$4&gt;=Sales_Start,BP$4&lt;=Sales_Last),S_GDV*in_rev_marketing_pct/(Sales_Last-Sales_Start+1),0)</f>
        <v/>
      </c>
      <c r="BQ28" s="34">
        <f>IF(AND(BQ$4&gt;=Sales_Start,BQ$4&lt;=Sales_Last),S_GDV*in_rev_marketing_pct/(Sales_Last-Sales_Start+1),0)</f>
        <v/>
      </c>
      <c r="BR28" s="34">
        <f>IF(AND(BR$4&gt;=Sales_Start,BR$4&lt;=Sales_Last),S_GDV*in_rev_marketing_pct/(Sales_Last-Sales_Start+1),0)</f>
        <v/>
      </c>
      <c r="BS28" s="34">
        <f>IF(AND(BS$4&gt;=Sales_Start,BS$4&lt;=Sales_Last),S_GDV*in_rev_marketing_pct/(Sales_Last-Sales_Start+1),0)</f>
        <v/>
      </c>
      <c r="BT28" s="34">
        <f>IF(AND(BT$4&gt;=Sales_Start,BT$4&lt;=Sales_Last),S_GDV*in_rev_marketing_pct/(Sales_Last-Sales_Start+1),0)</f>
        <v/>
      </c>
      <c r="BU28" s="34">
        <f>IF(AND(BU$4&gt;=Sales_Start,BU$4&lt;=Sales_Last),S_GDV*in_rev_marketing_pct/(Sales_Last-Sales_Start+1),0)</f>
        <v/>
      </c>
      <c r="BV28" s="34">
        <f>IF(AND(BV$4&gt;=Sales_Start,BV$4&lt;=Sales_Last),S_GDV*in_rev_marketing_pct/(Sales_Last-Sales_Start+1),0)</f>
        <v/>
      </c>
      <c r="BW28" s="34">
        <f>IF(AND(BW$4&gt;=Sales_Start,BW$4&lt;=Sales_Last),S_GDV*in_rev_marketing_pct/(Sales_Last-Sales_Start+1),0)</f>
        <v/>
      </c>
      <c r="BX28" s="34">
        <f>IF(AND(BX$4&gt;=Sales_Start,BX$4&lt;=Sales_Last),S_GDV*in_rev_marketing_pct/(Sales_Last-Sales_Start+1),0)</f>
        <v/>
      </c>
      <c r="BY28" s="34">
        <f>IF(AND(BY$4&gt;=Sales_Start,BY$4&lt;=Sales_Last),S_GDV*in_rev_marketing_pct/(Sales_Last-Sales_Start+1),0)</f>
        <v/>
      </c>
      <c r="BZ28" s="34">
        <f>IF(AND(BZ$4&gt;=Sales_Start,BZ$4&lt;=Sales_Last),S_GDV*in_rev_marketing_pct/(Sales_Last-Sales_Start+1),0)</f>
        <v/>
      </c>
      <c r="CA28" s="34">
        <f>IF(AND(CA$4&gt;=Sales_Start,CA$4&lt;=Sales_Last),S_GDV*in_rev_marketing_pct/(Sales_Last-Sales_Start+1),0)</f>
        <v/>
      </c>
      <c r="CB28" s="34">
        <f>IF(AND(CB$4&gt;=Sales_Start,CB$4&lt;=Sales_Last),S_GDV*in_rev_marketing_pct/(Sales_Last-Sales_Start+1),0)</f>
        <v/>
      </c>
      <c r="CC28" s="34">
        <f>IF(AND(CC$4&gt;=Sales_Start,CC$4&lt;=Sales_Last),S_GDV*in_rev_marketing_pct/(Sales_Last-Sales_Start+1),0)</f>
        <v/>
      </c>
      <c r="CD28" s="34">
        <f>IF(AND(CD$4&gt;=Sales_Start,CD$4&lt;=Sales_Last),S_GDV*in_rev_marketing_pct/(Sales_Last-Sales_Start+1),0)</f>
        <v/>
      </c>
      <c r="CE28" s="34">
        <f>IF(AND(CE$4&gt;=Sales_Start,CE$4&lt;=Sales_Last),S_GDV*in_rev_marketing_pct/(Sales_Last-Sales_Start+1),0)</f>
        <v/>
      </c>
      <c r="CF28" s="34">
        <f>IF(AND(CF$4&gt;=Sales_Start,CF$4&lt;=Sales_Last),S_GDV*in_rev_marketing_pct/(Sales_Last-Sales_Start+1),0)</f>
        <v/>
      </c>
      <c r="CG28" s="34">
        <f>IF(AND(CG$4&gt;=Sales_Start,CG$4&lt;=Sales_Last),S_GDV*in_rev_marketing_pct/(Sales_Last-Sales_Start+1),0)</f>
        <v/>
      </c>
      <c r="CH28" s="34">
        <f>IF(AND(CH$4&gt;=Sales_Start,CH$4&lt;=Sales_Last),S_GDV*in_rev_marketing_pct/(Sales_Last-Sales_Start+1),0)</f>
        <v/>
      </c>
      <c r="CI28" s="34">
        <f>IF(AND(CI$4&gt;=Sales_Start,CI$4&lt;=Sales_Last),S_GDV*in_rev_marketing_pct/(Sales_Last-Sales_Start+1),0)</f>
        <v/>
      </c>
      <c r="CJ28" s="34">
        <f>IF(AND(CJ$4&gt;=Sales_Start,CJ$4&lt;=Sales_Last),S_GDV*in_rev_marketing_pct/(Sales_Last-Sales_Start+1),0)</f>
        <v/>
      </c>
      <c r="CK28" s="34">
        <f>IF(AND(CK$4&gt;=Sales_Start,CK$4&lt;=Sales_Last),S_GDV*in_rev_marketing_pct/(Sales_Last-Sales_Start+1),0)</f>
        <v/>
      </c>
      <c r="CL28" s="34">
        <f>IF(AND(CL$4&gt;=Sales_Start,CL$4&lt;=Sales_Last),S_GDV*in_rev_marketing_pct/(Sales_Last-Sales_Start+1),0)</f>
        <v/>
      </c>
      <c r="CM28" s="34">
        <f>IF(AND(CM$4&gt;=Sales_Start,CM$4&lt;=Sales_Last),S_GDV*in_rev_marketing_pct/(Sales_Last-Sales_Start+1),0)</f>
        <v/>
      </c>
      <c r="CN28" s="34">
        <f>IF(AND(CN$4&gt;=Sales_Start,CN$4&lt;=Sales_Last),S_GDV*in_rev_marketing_pct/(Sales_Last-Sales_Start+1),0)</f>
        <v/>
      </c>
      <c r="CO28" s="34">
        <f>IF(AND(CO$4&gt;=Sales_Start,CO$4&lt;=Sales_Last),S_GDV*in_rev_marketing_pct/(Sales_Last-Sales_Start+1),0)</f>
        <v/>
      </c>
      <c r="CP28" s="34">
        <f>IF(AND(CP$4&gt;=Sales_Start,CP$4&lt;=Sales_Last),S_GDV*in_rev_marketing_pct/(Sales_Last-Sales_Start+1),0)</f>
        <v/>
      </c>
      <c r="CQ28" s="34">
        <f>IF(AND(CQ$4&gt;=Sales_Start,CQ$4&lt;=Sales_Last),S_GDV*in_rev_marketing_pct/(Sales_Last-Sales_Start+1),0)</f>
        <v/>
      </c>
      <c r="CR28" s="34">
        <f>IF(AND(CR$4&gt;=Sales_Start,CR$4&lt;=Sales_Last),S_GDV*in_rev_marketing_pct/(Sales_Last-Sales_Start+1),0)</f>
        <v/>
      </c>
      <c r="CS28" s="34">
        <f>IF(AND(CS$4&gt;=Sales_Start,CS$4&lt;=Sales_Last),S_GDV*in_rev_marketing_pct/(Sales_Last-Sales_Start+1),0)</f>
        <v/>
      </c>
      <c r="CT28" s="34">
        <f>IF(AND(CT$4&gt;=Sales_Start,CT$4&lt;=Sales_Last),S_GDV*in_rev_marketing_pct/(Sales_Last-Sales_Start+1),0)</f>
        <v/>
      </c>
      <c r="CU28" s="34">
        <f>IF(AND(CU$4&gt;=Sales_Start,CU$4&lt;=Sales_Last),S_GDV*in_rev_marketing_pct/(Sales_Last-Sales_Start+1),0)</f>
        <v/>
      </c>
    </row>
    <row r="29">
      <c r="A29" s="7" t="inlineStr">
        <is>
          <t>User-defined % of collections (e.g. trust fees)</t>
        </is>
      </c>
      <c r="B29" s="21">
        <f>SUM(D29:CU29)</f>
        <v/>
      </c>
      <c r="C29" s="11" t="inlineStr"/>
      <c r="D29" s="34">
        <f>D25*SUMPRODUCT((cv_effect="cost_pct_revenue")*cv_value)</f>
        <v/>
      </c>
      <c r="E29" s="34">
        <f>E25*SUMPRODUCT((cv_effect="cost_pct_revenue")*cv_value)</f>
        <v/>
      </c>
      <c r="F29" s="34">
        <f>F25*SUMPRODUCT((cv_effect="cost_pct_revenue")*cv_value)</f>
        <v/>
      </c>
      <c r="G29" s="34">
        <f>G25*SUMPRODUCT((cv_effect="cost_pct_revenue")*cv_value)</f>
        <v/>
      </c>
      <c r="H29" s="34">
        <f>H25*SUMPRODUCT((cv_effect="cost_pct_revenue")*cv_value)</f>
        <v/>
      </c>
      <c r="I29" s="34">
        <f>I25*SUMPRODUCT((cv_effect="cost_pct_revenue")*cv_value)</f>
        <v/>
      </c>
      <c r="J29" s="34">
        <f>J25*SUMPRODUCT((cv_effect="cost_pct_revenue")*cv_value)</f>
        <v/>
      </c>
      <c r="K29" s="34">
        <f>K25*SUMPRODUCT((cv_effect="cost_pct_revenue")*cv_value)</f>
        <v/>
      </c>
      <c r="L29" s="34">
        <f>L25*SUMPRODUCT((cv_effect="cost_pct_revenue")*cv_value)</f>
        <v/>
      </c>
      <c r="M29" s="34">
        <f>M25*SUMPRODUCT((cv_effect="cost_pct_revenue")*cv_value)</f>
        <v/>
      </c>
      <c r="N29" s="34">
        <f>N25*SUMPRODUCT((cv_effect="cost_pct_revenue")*cv_value)</f>
        <v/>
      </c>
      <c r="O29" s="34">
        <f>O25*SUMPRODUCT((cv_effect="cost_pct_revenue")*cv_value)</f>
        <v/>
      </c>
      <c r="P29" s="34">
        <f>P25*SUMPRODUCT((cv_effect="cost_pct_revenue")*cv_value)</f>
        <v/>
      </c>
      <c r="Q29" s="34">
        <f>Q25*SUMPRODUCT((cv_effect="cost_pct_revenue")*cv_value)</f>
        <v/>
      </c>
      <c r="R29" s="34">
        <f>R25*SUMPRODUCT((cv_effect="cost_pct_revenue")*cv_value)</f>
        <v/>
      </c>
      <c r="S29" s="34">
        <f>S25*SUMPRODUCT((cv_effect="cost_pct_revenue")*cv_value)</f>
        <v/>
      </c>
      <c r="T29" s="34">
        <f>T25*SUMPRODUCT((cv_effect="cost_pct_revenue")*cv_value)</f>
        <v/>
      </c>
      <c r="U29" s="34">
        <f>U25*SUMPRODUCT((cv_effect="cost_pct_revenue")*cv_value)</f>
        <v/>
      </c>
      <c r="V29" s="34">
        <f>V25*SUMPRODUCT((cv_effect="cost_pct_revenue")*cv_value)</f>
        <v/>
      </c>
      <c r="W29" s="34">
        <f>W25*SUMPRODUCT((cv_effect="cost_pct_revenue")*cv_value)</f>
        <v/>
      </c>
      <c r="X29" s="34">
        <f>X25*SUMPRODUCT((cv_effect="cost_pct_revenue")*cv_value)</f>
        <v/>
      </c>
      <c r="Y29" s="34">
        <f>Y25*SUMPRODUCT((cv_effect="cost_pct_revenue")*cv_value)</f>
        <v/>
      </c>
      <c r="Z29" s="34">
        <f>Z25*SUMPRODUCT((cv_effect="cost_pct_revenue")*cv_value)</f>
        <v/>
      </c>
      <c r="AA29" s="34">
        <f>AA25*SUMPRODUCT((cv_effect="cost_pct_revenue")*cv_value)</f>
        <v/>
      </c>
      <c r="AB29" s="34">
        <f>AB25*SUMPRODUCT((cv_effect="cost_pct_revenue")*cv_value)</f>
        <v/>
      </c>
      <c r="AC29" s="34">
        <f>AC25*SUMPRODUCT((cv_effect="cost_pct_revenue")*cv_value)</f>
        <v/>
      </c>
      <c r="AD29" s="34">
        <f>AD25*SUMPRODUCT((cv_effect="cost_pct_revenue")*cv_value)</f>
        <v/>
      </c>
      <c r="AE29" s="34">
        <f>AE25*SUMPRODUCT((cv_effect="cost_pct_revenue")*cv_value)</f>
        <v/>
      </c>
      <c r="AF29" s="34">
        <f>AF25*SUMPRODUCT((cv_effect="cost_pct_revenue")*cv_value)</f>
        <v/>
      </c>
      <c r="AG29" s="34">
        <f>AG25*SUMPRODUCT((cv_effect="cost_pct_revenue")*cv_value)</f>
        <v/>
      </c>
      <c r="AH29" s="34">
        <f>AH25*SUMPRODUCT((cv_effect="cost_pct_revenue")*cv_value)</f>
        <v/>
      </c>
      <c r="AI29" s="34">
        <f>AI25*SUMPRODUCT((cv_effect="cost_pct_revenue")*cv_value)</f>
        <v/>
      </c>
      <c r="AJ29" s="34">
        <f>AJ25*SUMPRODUCT((cv_effect="cost_pct_revenue")*cv_value)</f>
        <v/>
      </c>
      <c r="AK29" s="34">
        <f>AK25*SUMPRODUCT((cv_effect="cost_pct_revenue")*cv_value)</f>
        <v/>
      </c>
      <c r="AL29" s="34">
        <f>AL25*SUMPRODUCT((cv_effect="cost_pct_revenue")*cv_value)</f>
        <v/>
      </c>
      <c r="AM29" s="34">
        <f>AM25*SUMPRODUCT((cv_effect="cost_pct_revenue")*cv_value)</f>
        <v/>
      </c>
      <c r="AN29" s="34">
        <f>AN25*SUMPRODUCT((cv_effect="cost_pct_revenue")*cv_value)</f>
        <v/>
      </c>
      <c r="AO29" s="34">
        <f>AO25*SUMPRODUCT((cv_effect="cost_pct_revenue")*cv_value)</f>
        <v/>
      </c>
      <c r="AP29" s="34">
        <f>AP25*SUMPRODUCT((cv_effect="cost_pct_revenue")*cv_value)</f>
        <v/>
      </c>
      <c r="AQ29" s="34">
        <f>AQ25*SUMPRODUCT((cv_effect="cost_pct_revenue")*cv_value)</f>
        <v/>
      </c>
      <c r="AR29" s="34">
        <f>AR25*SUMPRODUCT((cv_effect="cost_pct_revenue")*cv_value)</f>
        <v/>
      </c>
      <c r="AS29" s="34">
        <f>AS25*SUMPRODUCT((cv_effect="cost_pct_revenue")*cv_value)</f>
        <v/>
      </c>
      <c r="AT29" s="34">
        <f>AT25*SUMPRODUCT((cv_effect="cost_pct_revenue")*cv_value)</f>
        <v/>
      </c>
      <c r="AU29" s="34">
        <f>AU25*SUMPRODUCT((cv_effect="cost_pct_revenue")*cv_value)</f>
        <v/>
      </c>
      <c r="AV29" s="34">
        <f>AV25*SUMPRODUCT((cv_effect="cost_pct_revenue")*cv_value)</f>
        <v/>
      </c>
      <c r="AW29" s="34">
        <f>AW25*SUMPRODUCT((cv_effect="cost_pct_revenue")*cv_value)</f>
        <v/>
      </c>
      <c r="AX29" s="34">
        <f>AX25*SUMPRODUCT((cv_effect="cost_pct_revenue")*cv_value)</f>
        <v/>
      </c>
      <c r="AY29" s="34">
        <f>AY25*SUMPRODUCT((cv_effect="cost_pct_revenue")*cv_value)</f>
        <v/>
      </c>
      <c r="AZ29" s="34">
        <f>AZ25*SUMPRODUCT((cv_effect="cost_pct_revenue")*cv_value)</f>
        <v/>
      </c>
      <c r="BA29" s="34">
        <f>BA25*SUMPRODUCT((cv_effect="cost_pct_revenue")*cv_value)</f>
        <v/>
      </c>
      <c r="BB29" s="34">
        <f>BB25*SUMPRODUCT((cv_effect="cost_pct_revenue")*cv_value)</f>
        <v/>
      </c>
      <c r="BC29" s="34">
        <f>BC25*SUMPRODUCT((cv_effect="cost_pct_revenue")*cv_value)</f>
        <v/>
      </c>
      <c r="BD29" s="34">
        <f>BD25*SUMPRODUCT((cv_effect="cost_pct_revenue")*cv_value)</f>
        <v/>
      </c>
      <c r="BE29" s="34">
        <f>BE25*SUMPRODUCT((cv_effect="cost_pct_revenue")*cv_value)</f>
        <v/>
      </c>
      <c r="BF29" s="34">
        <f>BF25*SUMPRODUCT((cv_effect="cost_pct_revenue")*cv_value)</f>
        <v/>
      </c>
      <c r="BG29" s="34">
        <f>BG25*SUMPRODUCT((cv_effect="cost_pct_revenue")*cv_value)</f>
        <v/>
      </c>
      <c r="BH29" s="34">
        <f>BH25*SUMPRODUCT((cv_effect="cost_pct_revenue")*cv_value)</f>
        <v/>
      </c>
      <c r="BI29" s="34">
        <f>BI25*SUMPRODUCT((cv_effect="cost_pct_revenue")*cv_value)</f>
        <v/>
      </c>
      <c r="BJ29" s="34">
        <f>BJ25*SUMPRODUCT((cv_effect="cost_pct_revenue")*cv_value)</f>
        <v/>
      </c>
      <c r="BK29" s="34">
        <f>BK25*SUMPRODUCT((cv_effect="cost_pct_revenue")*cv_value)</f>
        <v/>
      </c>
      <c r="BL29" s="34">
        <f>BL25*SUMPRODUCT((cv_effect="cost_pct_revenue")*cv_value)</f>
        <v/>
      </c>
      <c r="BM29" s="34">
        <f>BM25*SUMPRODUCT((cv_effect="cost_pct_revenue")*cv_value)</f>
        <v/>
      </c>
      <c r="BN29" s="34">
        <f>BN25*SUMPRODUCT((cv_effect="cost_pct_revenue")*cv_value)</f>
        <v/>
      </c>
      <c r="BO29" s="34">
        <f>BO25*SUMPRODUCT((cv_effect="cost_pct_revenue")*cv_value)</f>
        <v/>
      </c>
      <c r="BP29" s="34">
        <f>BP25*SUMPRODUCT((cv_effect="cost_pct_revenue")*cv_value)</f>
        <v/>
      </c>
      <c r="BQ29" s="34">
        <f>BQ25*SUMPRODUCT((cv_effect="cost_pct_revenue")*cv_value)</f>
        <v/>
      </c>
      <c r="BR29" s="34">
        <f>BR25*SUMPRODUCT((cv_effect="cost_pct_revenue")*cv_value)</f>
        <v/>
      </c>
      <c r="BS29" s="34">
        <f>BS25*SUMPRODUCT((cv_effect="cost_pct_revenue")*cv_value)</f>
        <v/>
      </c>
      <c r="BT29" s="34">
        <f>BT25*SUMPRODUCT((cv_effect="cost_pct_revenue")*cv_value)</f>
        <v/>
      </c>
      <c r="BU29" s="34">
        <f>BU25*SUMPRODUCT((cv_effect="cost_pct_revenue")*cv_value)</f>
        <v/>
      </c>
      <c r="BV29" s="34">
        <f>BV25*SUMPRODUCT((cv_effect="cost_pct_revenue")*cv_value)</f>
        <v/>
      </c>
      <c r="BW29" s="34">
        <f>BW25*SUMPRODUCT((cv_effect="cost_pct_revenue")*cv_value)</f>
        <v/>
      </c>
      <c r="BX29" s="34">
        <f>BX25*SUMPRODUCT((cv_effect="cost_pct_revenue")*cv_value)</f>
        <v/>
      </c>
      <c r="BY29" s="34">
        <f>BY25*SUMPRODUCT((cv_effect="cost_pct_revenue")*cv_value)</f>
        <v/>
      </c>
      <c r="BZ29" s="34">
        <f>BZ25*SUMPRODUCT((cv_effect="cost_pct_revenue")*cv_value)</f>
        <v/>
      </c>
      <c r="CA29" s="34">
        <f>CA25*SUMPRODUCT((cv_effect="cost_pct_revenue")*cv_value)</f>
        <v/>
      </c>
      <c r="CB29" s="34">
        <f>CB25*SUMPRODUCT((cv_effect="cost_pct_revenue")*cv_value)</f>
        <v/>
      </c>
      <c r="CC29" s="34">
        <f>CC25*SUMPRODUCT((cv_effect="cost_pct_revenue")*cv_value)</f>
        <v/>
      </c>
      <c r="CD29" s="34">
        <f>CD25*SUMPRODUCT((cv_effect="cost_pct_revenue")*cv_value)</f>
        <v/>
      </c>
      <c r="CE29" s="34">
        <f>CE25*SUMPRODUCT((cv_effect="cost_pct_revenue")*cv_value)</f>
        <v/>
      </c>
      <c r="CF29" s="34">
        <f>CF25*SUMPRODUCT((cv_effect="cost_pct_revenue")*cv_value)</f>
        <v/>
      </c>
      <c r="CG29" s="34">
        <f>CG25*SUMPRODUCT((cv_effect="cost_pct_revenue")*cv_value)</f>
        <v/>
      </c>
      <c r="CH29" s="34">
        <f>CH25*SUMPRODUCT((cv_effect="cost_pct_revenue")*cv_value)</f>
        <v/>
      </c>
      <c r="CI29" s="34">
        <f>CI25*SUMPRODUCT((cv_effect="cost_pct_revenue")*cv_value)</f>
        <v/>
      </c>
      <c r="CJ29" s="34">
        <f>CJ25*SUMPRODUCT((cv_effect="cost_pct_revenue")*cv_value)</f>
        <v/>
      </c>
      <c r="CK29" s="34">
        <f>CK25*SUMPRODUCT((cv_effect="cost_pct_revenue")*cv_value)</f>
        <v/>
      </c>
      <c r="CL29" s="34">
        <f>CL25*SUMPRODUCT((cv_effect="cost_pct_revenue")*cv_value)</f>
        <v/>
      </c>
      <c r="CM29" s="34">
        <f>CM25*SUMPRODUCT((cv_effect="cost_pct_revenue")*cv_value)</f>
        <v/>
      </c>
      <c r="CN29" s="34">
        <f>CN25*SUMPRODUCT((cv_effect="cost_pct_revenue")*cv_value)</f>
        <v/>
      </c>
      <c r="CO29" s="34">
        <f>CO25*SUMPRODUCT((cv_effect="cost_pct_revenue")*cv_value)</f>
        <v/>
      </c>
      <c r="CP29" s="34">
        <f>CP25*SUMPRODUCT((cv_effect="cost_pct_revenue")*cv_value)</f>
        <v/>
      </c>
      <c r="CQ29" s="34">
        <f>CQ25*SUMPRODUCT((cv_effect="cost_pct_revenue")*cv_value)</f>
        <v/>
      </c>
      <c r="CR29" s="34">
        <f>CR25*SUMPRODUCT((cv_effect="cost_pct_revenue")*cv_value)</f>
        <v/>
      </c>
      <c r="CS29" s="34">
        <f>CS25*SUMPRODUCT((cv_effect="cost_pct_revenue")*cv_value)</f>
        <v/>
      </c>
      <c r="CT29" s="34">
        <f>CT25*SUMPRODUCT((cv_effect="cost_pct_revenue")*cv_value)</f>
        <v/>
      </c>
      <c r="CU29" s="34">
        <f>CU25*SUMPRODUCT((cv_effect="cost_pct_revenue")*cv_value)</f>
        <v/>
      </c>
    </row>
    <row r="30">
      <c r="A30" s="38" t="inlineStr">
        <is>
          <t>Total sales costs</t>
        </is>
      </c>
      <c r="B30" s="39">
        <f>SUM(D30:CU30)</f>
        <v/>
      </c>
      <c r="C30" s="40" t="inlineStr"/>
      <c r="D30" s="39">
        <f>D27+D28+D29</f>
        <v/>
      </c>
      <c r="E30" s="39">
        <f>E27+E28+E29</f>
        <v/>
      </c>
      <c r="F30" s="39">
        <f>F27+F28+F29</f>
        <v/>
      </c>
      <c r="G30" s="39">
        <f>G27+G28+G29</f>
        <v/>
      </c>
      <c r="H30" s="39">
        <f>H27+H28+H29</f>
        <v/>
      </c>
      <c r="I30" s="39">
        <f>I27+I28+I29</f>
        <v/>
      </c>
      <c r="J30" s="39">
        <f>J27+J28+J29</f>
        <v/>
      </c>
      <c r="K30" s="39">
        <f>K27+K28+K29</f>
        <v/>
      </c>
      <c r="L30" s="39">
        <f>L27+L28+L29</f>
        <v/>
      </c>
      <c r="M30" s="39">
        <f>M27+M28+M29</f>
        <v/>
      </c>
      <c r="N30" s="39">
        <f>N27+N28+N29</f>
        <v/>
      </c>
      <c r="O30" s="39">
        <f>O27+O28+O29</f>
        <v/>
      </c>
      <c r="P30" s="39">
        <f>P27+P28+P29</f>
        <v/>
      </c>
      <c r="Q30" s="39">
        <f>Q27+Q28+Q29</f>
        <v/>
      </c>
      <c r="R30" s="39">
        <f>R27+R28+R29</f>
        <v/>
      </c>
      <c r="S30" s="39">
        <f>S27+S28+S29</f>
        <v/>
      </c>
      <c r="T30" s="39">
        <f>T27+T28+T29</f>
        <v/>
      </c>
      <c r="U30" s="39">
        <f>U27+U28+U29</f>
        <v/>
      </c>
      <c r="V30" s="39">
        <f>V27+V28+V29</f>
        <v/>
      </c>
      <c r="W30" s="39">
        <f>W27+W28+W29</f>
        <v/>
      </c>
      <c r="X30" s="39">
        <f>X27+X28+X29</f>
        <v/>
      </c>
      <c r="Y30" s="39">
        <f>Y27+Y28+Y29</f>
        <v/>
      </c>
      <c r="Z30" s="39">
        <f>Z27+Z28+Z29</f>
        <v/>
      </c>
      <c r="AA30" s="39">
        <f>AA27+AA28+AA29</f>
        <v/>
      </c>
      <c r="AB30" s="39">
        <f>AB27+AB28+AB29</f>
        <v/>
      </c>
      <c r="AC30" s="39">
        <f>AC27+AC28+AC29</f>
        <v/>
      </c>
      <c r="AD30" s="39">
        <f>AD27+AD28+AD29</f>
        <v/>
      </c>
      <c r="AE30" s="39">
        <f>AE27+AE28+AE29</f>
        <v/>
      </c>
      <c r="AF30" s="39">
        <f>AF27+AF28+AF29</f>
        <v/>
      </c>
      <c r="AG30" s="39">
        <f>AG27+AG28+AG29</f>
        <v/>
      </c>
      <c r="AH30" s="39">
        <f>AH27+AH28+AH29</f>
        <v/>
      </c>
      <c r="AI30" s="39">
        <f>AI27+AI28+AI29</f>
        <v/>
      </c>
      <c r="AJ30" s="39">
        <f>AJ27+AJ28+AJ29</f>
        <v/>
      </c>
      <c r="AK30" s="39">
        <f>AK27+AK28+AK29</f>
        <v/>
      </c>
      <c r="AL30" s="39">
        <f>AL27+AL28+AL29</f>
        <v/>
      </c>
      <c r="AM30" s="39">
        <f>AM27+AM28+AM29</f>
        <v/>
      </c>
      <c r="AN30" s="39">
        <f>AN27+AN28+AN29</f>
        <v/>
      </c>
      <c r="AO30" s="39">
        <f>AO27+AO28+AO29</f>
        <v/>
      </c>
      <c r="AP30" s="39">
        <f>AP27+AP28+AP29</f>
        <v/>
      </c>
      <c r="AQ30" s="39">
        <f>AQ27+AQ28+AQ29</f>
        <v/>
      </c>
      <c r="AR30" s="39">
        <f>AR27+AR28+AR29</f>
        <v/>
      </c>
      <c r="AS30" s="39">
        <f>AS27+AS28+AS29</f>
        <v/>
      </c>
      <c r="AT30" s="39">
        <f>AT27+AT28+AT29</f>
        <v/>
      </c>
      <c r="AU30" s="39">
        <f>AU27+AU28+AU29</f>
        <v/>
      </c>
      <c r="AV30" s="39">
        <f>AV27+AV28+AV29</f>
        <v/>
      </c>
      <c r="AW30" s="39">
        <f>AW27+AW28+AW29</f>
        <v/>
      </c>
      <c r="AX30" s="39">
        <f>AX27+AX28+AX29</f>
        <v/>
      </c>
      <c r="AY30" s="39">
        <f>AY27+AY28+AY29</f>
        <v/>
      </c>
      <c r="AZ30" s="39">
        <f>AZ27+AZ28+AZ29</f>
        <v/>
      </c>
      <c r="BA30" s="39">
        <f>BA27+BA28+BA29</f>
        <v/>
      </c>
      <c r="BB30" s="39">
        <f>BB27+BB28+BB29</f>
        <v/>
      </c>
      <c r="BC30" s="39">
        <f>BC27+BC28+BC29</f>
        <v/>
      </c>
      <c r="BD30" s="39">
        <f>BD27+BD28+BD29</f>
        <v/>
      </c>
      <c r="BE30" s="39">
        <f>BE27+BE28+BE29</f>
        <v/>
      </c>
      <c r="BF30" s="39">
        <f>BF27+BF28+BF29</f>
        <v/>
      </c>
      <c r="BG30" s="39">
        <f>BG27+BG28+BG29</f>
        <v/>
      </c>
      <c r="BH30" s="39">
        <f>BH27+BH28+BH29</f>
        <v/>
      </c>
      <c r="BI30" s="39">
        <f>BI27+BI28+BI29</f>
        <v/>
      </c>
      <c r="BJ30" s="39">
        <f>BJ27+BJ28+BJ29</f>
        <v/>
      </c>
      <c r="BK30" s="39">
        <f>BK27+BK28+BK29</f>
        <v/>
      </c>
      <c r="BL30" s="39">
        <f>BL27+BL28+BL29</f>
        <v/>
      </c>
      <c r="BM30" s="39">
        <f>BM27+BM28+BM29</f>
        <v/>
      </c>
      <c r="BN30" s="39">
        <f>BN27+BN28+BN29</f>
        <v/>
      </c>
      <c r="BO30" s="39">
        <f>BO27+BO28+BO29</f>
        <v/>
      </c>
      <c r="BP30" s="39">
        <f>BP27+BP28+BP29</f>
        <v/>
      </c>
      <c r="BQ30" s="39">
        <f>BQ27+BQ28+BQ29</f>
        <v/>
      </c>
      <c r="BR30" s="39">
        <f>BR27+BR28+BR29</f>
        <v/>
      </c>
      <c r="BS30" s="39">
        <f>BS27+BS28+BS29</f>
        <v/>
      </c>
      <c r="BT30" s="39">
        <f>BT27+BT28+BT29</f>
        <v/>
      </c>
      <c r="BU30" s="39">
        <f>BU27+BU28+BU29</f>
        <v/>
      </c>
      <c r="BV30" s="39">
        <f>BV27+BV28+BV29</f>
        <v/>
      </c>
      <c r="BW30" s="39">
        <f>BW27+BW28+BW29</f>
        <v/>
      </c>
      <c r="BX30" s="39">
        <f>BX27+BX28+BX29</f>
        <v/>
      </c>
      <c r="BY30" s="39">
        <f>BY27+BY28+BY29</f>
        <v/>
      </c>
      <c r="BZ30" s="39">
        <f>BZ27+BZ28+BZ29</f>
        <v/>
      </c>
      <c r="CA30" s="39">
        <f>CA27+CA28+CA29</f>
        <v/>
      </c>
      <c r="CB30" s="39">
        <f>CB27+CB28+CB29</f>
        <v/>
      </c>
      <c r="CC30" s="39">
        <f>CC27+CC28+CC29</f>
        <v/>
      </c>
      <c r="CD30" s="39">
        <f>CD27+CD28+CD29</f>
        <v/>
      </c>
      <c r="CE30" s="39">
        <f>CE27+CE28+CE29</f>
        <v/>
      </c>
      <c r="CF30" s="39">
        <f>CF27+CF28+CF29</f>
        <v/>
      </c>
      <c r="CG30" s="39">
        <f>CG27+CG28+CG29</f>
        <v/>
      </c>
      <c r="CH30" s="39">
        <f>CH27+CH28+CH29</f>
        <v/>
      </c>
      <c r="CI30" s="39">
        <f>CI27+CI28+CI29</f>
        <v/>
      </c>
      <c r="CJ30" s="39">
        <f>CJ27+CJ28+CJ29</f>
        <v/>
      </c>
      <c r="CK30" s="39">
        <f>CK27+CK28+CK29</f>
        <v/>
      </c>
      <c r="CL30" s="39">
        <f>CL27+CL28+CL29</f>
        <v/>
      </c>
      <c r="CM30" s="39">
        <f>CM27+CM28+CM29</f>
        <v/>
      </c>
      <c r="CN30" s="39">
        <f>CN27+CN28+CN29</f>
        <v/>
      </c>
      <c r="CO30" s="39">
        <f>CO27+CO28+CO29</f>
        <v/>
      </c>
      <c r="CP30" s="39">
        <f>CP27+CP28+CP29</f>
        <v/>
      </c>
      <c r="CQ30" s="39">
        <f>CQ27+CQ28+CQ29</f>
        <v/>
      </c>
      <c r="CR30" s="39">
        <f>CR27+CR28+CR29</f>
        <v/>
      </c>
      <c r="CS30" s="39">
        <f>CS27+CS28+CS29</f>
        <v/>
      </c>
      <c r="CT30" s="39">
        <f>CT27+CT28+CT29</f>
        <v/>
      </c>
      <c r="CU30" s="39">
        <f>CU27+CU28+CU29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345E"/>
    <outlinePr summaryBelow="1" summaryRight="1"/>
    <pageSetUpPr/>
  </sheetPr>
  <dimension ref="A1:CU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</cols>
  <sheetData>
    <row r="1">
      <c r="A1" s="10" t="inlineStr">
        <is>
          <t>Rental operations &amp; exit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11" t="inlineStr">
        <is>
          <t>GPR − vacancy − concessions = EGI; EGI − opex (+ owner savings) = NOI; exit on forward NOI / cap rate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</row>
    <row r="4">
      <c r="A4" s="12" t="inlineStr">
        <is>
          <t>Month</t>
        </is>
      </c>
      <c r="B4" s="12" t="inlineStr">
        <is>
          <t>Total</t>
        </is>
      </c>
      <c r="C4" s="12" t="inlineStr">
        <is>
          <t>Unit / note</t>
        </is>
      </c>
      <c r="D4" s="24" t="n">
        <v>0</v>
      </c>
      <c r="E4" s="24">
        <f>D4+1</f>
        <v/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>
        <f>L4+1</f>
        <v/>
      </c>
      <c r="N4" s="24">
        <f>M4+1</f>
        <v/>
      </c>
      <c r="O4" s="24">
        <f>N4+1</f>
        <v/>
      </c>
      <c r="P4" s="24">
        <f>O4+1</f>
        <v/>
      </c>
      <c r="Q4" s="24">
        <f>P4+1</f>
        <v/>
      </c>
      <c r="R4" s="24">
        <f>Q4+1</f>
        <v/>
      </c>
      <c r="S4" s="24">
        <f>R4+1</f>
        <v/>
      </c>
      <c r="T4" s="24">
        <f>S4+1</f>
        <v/>
      </c>
      <c r="U4" s="24">
        <f>T4+1</f>
        <v/>
      </c>
      <c r="V4" s="24">
        <f>U4+1</f>
        <v/>
      </c>
      <c r="W4" s="24">
        <f>V4+1</f>
        <v/>
      </c>
      <c r="X4" s="24">
        <f>W4+1</f>
        <v/>
      </c>
      <c r="Y4" s="24">
        <f>X4+1</f>
        <v/>
      </c>
      <c r="Z4" s="24">
        <f>Y4+1</f>
        <v/>
      </c>
      <c r="AA4" s="24">
        <f>Z4+1</f>
        <v/>
      </c>
      <c r="AB4" s="24">
        <f>AA4+1</f>
        <v/>
      </c>
      <c r="AC4" s="24">
        <f>AB4+1</f>
        <v/>
      </c>
      <c r="AD4" s="24">
        <f>AC4+1</f>
        <v/>
      </c>
      <c r="AE4" s="24">
        <f>AD4+1</f>
        <v/>
      </c>
      <c r="AF4" s="24">
        <f>AE4+1</f>
        <v/>
      </c>
      <c r="AG4" s="24">
        <f>AF4+1</f>
        <v/>
      </c>
      <c r="AH4" s="24">
        <f>AG4+1</f>
        <v/>
      </c>
      <c r="AI4" s="24">
        <f>AH4+1</f>
        <v/>
      </c>
      <c r="AJ4" s="24">
        <f>AI4+1</f>
        <v/>
      </c>
      <c r="AK4" s="24">
        <f>AJ4+1</f>
        <v/>
      </c>
      <c r="AL4" s="24">
        <f>AK4+1</f>
        <v/>
      </c>
      <c r="AM4" s="24">
        <f>AL4+1</f>
        <v/>
      </c>
      <c r="AN4" s="24">
        <f>AM4+1</f>
        <v/>
      </c>
      <c r="AO4" s="24">
        <f>AN4+1</f>
        <v/>
      </c>
      <c r="AP4" s="24">
        <f>AO4+1</f>
        <v/>
      </c>
      <c r="AQ4" s="24">
        <f>AP4+1</f>
        <v/>
      </c>
      <c r="AR4" s="24">
        <f>AQ4+1</f>
        <v/>
      </c>
      <c r="AS4" s="24">
        <f>AR4+1</f>
        <v/>
      </c>
      <c r="AT4" s="24">
        <f>AS4+1</f>
        <v/>
      </c>
      <c r="AU4" s="24">
        <f>AT4+1</f>
        <v/>
      </c>
      <c r="AV4" s="24">
        <f>AU4+1</f>
        <v/>
      </c>
      <c r="AW4" s="24">
        <f>AV4+1</f>
        <v/>
      </c>
      <c r="AX4" s="24">
        <f>AW4+1</f>
        <v/>
      </c>
      <c r="AY4" s="24">
        <f>AX4+1</f>
        <v/>
      </c>
      <c r="AZ4" s="24">
        <f>AY4+1</f>
        <v/>
      </c>
      <c r="BA4" s="24">
        <f>AZ4+1</f>
        <v/>
      </c>
      <c r="BB4" s="24">
        <f>BA4+1</f>
        <v/>
      </c>
      <c r="BC4" s="24">
        <f>BB4+1</f>
        <v/>
      </c>
      <c r="BD4" s="24">
        <f>BC4+1</f>
        <v/>
      </c>
      <c r="BE4" s="24">
        <f>BD4+1</f>
        <v/>
      </c>
      <c r="BF4" s="24">
        <f>BE4+1</f>
        <v/>
      </c>
      <c r="BG4" s="24">
        <f>BF4+1</f>
        <v/>
      </c>
      <c r="BH4" s="24">
        <f>BG4+1</f>
        <v/>
      </c>
      <c r="BI4" s="24">
        <f>BH4+1</f>
        <v/>
      </c>
      <c r="BJ4" s="24">
        <f>BI4+1</f>
        <v/>
      </c>
      <c r="BK4" s="24">
        <f>BJ4+1</f>
        <v/>
      </c>
      <c r="BL4" s="24">
        <f>BK4+1</f>
        <v/>
      </c>
      <c r="BM4" s="24">
        <f>BL4+1</f>
        <v/>
      </c>
      <c r="BN4" s="24">
        <f>BM4+1</f>
        <v/>
      </c>
      <c r="BO4" s="24">
        <f>BN4+1</f>
        <v/>
      </c>
      <c r="BP4" s="24">
        <f>BO4+1</f>
        <v/>
      </c>
      <c r="BQ4" s="24">
        <f>BP4+1</f>
        <v/>
      </c>
      <c r="BR4" s="24">
        <f>BQ4+1</f>
        <v/>
      </c>
      <c r="BS4" s="24">
        <f>BR4+1</f>
        <v/>
      </c>
      <c r="BT4" s="24">
        <f>BS4+1</f>
        <v/>
      </c>
      <c r="BU4" s="24">
        <f>BT4+1</f>
        <v/>
      </c>
      <c r="BV4" s="24">
        <f>BU4+1</f>
        <v/>
      </c>
      <c r="BW4" s="24">
        <f>BV4+1</f>
        <v/>
      </c>
      <c r="BX4" s="24">
        <f>BW4+1</f>
        <v/>
      </c>
      <c r="BY4" s="24">
        <f>BX4+1</f>
        <v/>
      </c>
      <c r="BZ4" s="24">
        <f>BY4+1</f>
        <v/>
      </c>
      <c r="CA4" s="24">
        <f>BZ4+1</f>
        <v/>
      </c>
      <c r="CB4" s="24">
        <f>CA4+1</f>
        <v/>
      </c>
      <c r="CC4" s="24">
        <f>CB4+1</f>
        <v/>
      </c>
      <c r="CD4" s="24">
        <f>CC4+1</f>
        <v/>
      </c>
      <c r="CE4" s="24">
        <f>CD4+1</f>
        <v/>
      </c>
      <c r="CF4" s="24">
        <f>CE4+1</f>
        <v/>
      </c>
      <c r="CG4" s="24">
        <f>CF4+1</f>
        <v/>
      </c>
      <c r="CH4" s="24">
        <f>CG4+1</f>
        <v/>
      </c>
      <c r="CI4" s="24">
        <f>CH4+1</f>
        <v/>
      </c>
      <c r="CJ4" s="24">
        <f>CI4+1</f>
        <v/>
      </c>
      <c r="CK4" s="24">
        <f>CJ4+1</f>
        <v/>
      </c>
      <c r="CL4" s="24">
        <f>CK4+1</f>
        <v/>
      </c>
      <c r="CM4" s="24">
        <f>CL4+1</f>
        <v/>
      </c>
      <c r="CN4" s="24">
        <f>CM4+1</f>
        <v/>
      </c>
      <c r="CO4" s="24">
        <f>CN4+1</f>
        <v/>
      </c>
      <c r="CP4" s="24">
        <f>CO4+1</f>
        <v/>
      </c>
      <c r="CQ4" s="24">
        <f>CP4+1</f>
        <v/>
      </c>
      <c r="CR4" s="24">
        <f>CQ4+1</f>
        <v/>
      </c>
      <c r="CS4" s="24">
        <f>CR4+1</f>
        <v/>
      </c>
      <c r="CT4" s="24">
        <f>CS4+1</f>
        <v/>
      </c>
      <c r="CU4" s="24">
        <f>CT4+1</f>
        <v/>
      </c>
    </row>
    <row r="5">
      <c r="A5" s="7" t="inlineStr">
        <is>
          <t>Lease-up starts (month)</t>
        </is>
      </c>
      <c r="B5" s="34">
        <f>IF(in_ground_up=1,T_Delivery+1,1)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>
      <c r="A6" s="7" t="inlineStr">
        <is>
          <t>Exit month</t>
        </is>
      </c>
      <c r="B6" s="34">
        <f>IF(in_ground_up=1,T_Delivery,0)+in_rent_hold_years*12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</row>
    <row r="7">
      <c r="A7" s="7" t="inlineStr">
        <is>
          <t>Effective rent per m²/month</t>
        </is>
      </c>
      <c r="B7" s="34">
        <f>IF(in_mode_sale=0,in_rent_rent_per_area_month,0)*(1+in_green_rent_prem)*CV_PriceMult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</row>
    <row r="8">
      <c r="A8" s="7" t="inlineStr">
        <is>
          <t>Monthly rent growth factor q</t>
        </is>
      </c>
      <c r="B8" s="43">
        <f>(1+in_rent_growth_pct)^(1/12)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</row>
    <row r="9">
      <c r="A9" s="7" t="inlineStr">
        <is>
          <t>Forward 12-month stabilized NOI at exit</t>
        </is>
      </c>
      <c r="B9" s="34">
        <f>(D_Saleable*R_Rent*(1-in_rent_vacancy_pct)*(1-in_rent_concessions_pct)*(1-in_rent_opex_pct_egi)+in_green_savings/12)*IF(R_q=1,12,R_q^R_Exit*R_q*(R_q^12-1)/(R_q-1))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s="7" t="inlineStr">
        <is>
          <t>Exit value (gross)</t>
        </is>
      </c>
      <c r="B10" s="34">
        <f>IF(in_mode_sale=0,IF(in_rent_exit_cap_pct&gt;0,R_FwdNOI/in_rent_exit_cap_pct,0),0)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</row>
    <row r="11">
      <c r="A11" s="7" t="inlineStr">
        <is>
          <t>Stabilized NOI (annual)</t>
        </is>
      </c>
      <c r="B11" s="34">
        <f>12*(D_Saleable*R_Rent*(1+in_rent_growth_pct)^((R_Start+IF(in_ground_up=1,in_rent_lease_up_months,0))/12)*(1-in_rent_vacancy_pct)*(1-in_rent_concessions_pct)*(1-in_rent_opex_pct_egi)+in_green_savings/12*(1+in_rent_growth_pct)^((R_Start+IF(in_ground_up=1,in_rent_lease_up_months,0))/12))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</row>
    <row r="14">
      <c r="A14" s="7" t="inlineStr">
        <is>
          <t>Occupancy</t>
        </is>
      </c>
      <c r="B14" s="1" t="n"/>
      <c r="C14" s="11" t="inlineStr"/>
      <c r="D14" s="44">
        <f>IF(OR(in_mode_sale=1,D$4&lt;R_Start,D$4&gt;R_Exit),0,IF(AND(in_ground_up=1,in_rent_lease_up_months&gt;0,D$4-R_Start&lt;in_rent_lease_up_months),(1-in_rent_vacancy_pct)*(D$4-R_Start+1)/in_rent_lease_up_months,1-in_rent_vacancy_pct))</f>
        <v/>
      </c>
      <c r="E14" s="44">
        <f>IF(OR(in_mode_sale=1,E$4&lt;R_Start,E$4&gt;R_Exit),0,IF(AND(in_ground_up=1,in_rent_lease_up_months&gt;0,E$4-R_Start&lt;in_rent_lease_up_months),(1-in_rent_vacancy_pct)*(E$4-R_Start+1)/in_rent_lease_up_months,1-in_rent_vacancy_pct))</f>
        <v/>
      </c>
      <c r="F14" s="44">
        <f>IF(OR(in_mode_sale=1,F$4&lt;R_Start,F$4&gt;R_Exit),0,IF(AND(in_ground_up=1,in_rent_lease_up_months&gt;0,F$4-R_Start&lt;in_rent_lease_up_months),(1-in_rent_vacancy_pct)*(F$4-R_Start+1)/in_rent_lease_up_months,1-in_rent_vacancy_pct))</f>
        <v/>
      </c>
      <c r="G14" s="44">
        <f>IF(OR(in_mode_sale=1,G$4&lt;R_Start,G$4&gt;R_Exit),0,IF(AND(in_ground_up=1,in_rent_lease_up_months&gt;0,G$4-R_Start&lt;in_rent_lease_up_months),(1-in_rent_vacancy_pct)*(G$4-R_Start+1)/in_rent_lease_up_months,1-in_rent_vacancy_pct))</f>
        <v/>
      </c>
      <c r="H14" s="44">
        <f>IF(OR(in_mode_sale=1,H$4&lt;R_Start,H$4&gt;R_Exit),0,IF(AND(in_ground_up=1,in_rent_lease_up_months&gt;0,H$4-R_Start&lt;in_rent_lease_up_months),(1-in_rent_vacancy_pct)*(H$4-R_Start+1)/in_rent_lease_up_months,1-in_rent_vacancy_pct))</f>
        <v/>
      </c>
      <c r="I14" s="44">
        <f>IF(OR(in_mode_sale=1,I$4&lt;R_Start,I$4&gt;R_Exit),0,IF(AND(in_ground_up=1,in_rent_lease_up_months&gt;0,I$4-R_Start&lt;in_rent_lease_up_months),(1-in_rent_vacancy_pct)*(I$4-R_Start+1)/in_rent_lease_up_months,1-in_rent_vacancy_pct))</f>
        <v/>
      </c>
      <c r="J14" s="44">
        <f>IF(OR(in_mode_sale=1,J$4&lt;R_Start,J$4&gt;R_Exit),0,IF(AND(in_ground_up=1,in_rent_lease_up_months&gt;0,J$4-R_Start&lt;in_rent_lease_up_months),(1-in_rent_vacancy_pct)*(J$4-R_Start+1)/in_rent_lease_up_months,1-in_rent_vacancy_pct))</f>
        <v/>
      </c>
      <c r="K14" s="44">
        <f>IF(OR(in_mode_sale=1,K$4&lt;R_Start,K$4&gt;R_Exit),0,IF(AND(in_ground_up=1,in_rent_lease_up_months&gt;0,K$4-R_Start&lt;in_rent_lease_up_months),(1-in_rent_vacancy_pct)*(K$4-R_Start+1)/in_rent_lease_up_months,1-in_rent_vacancy_pct))</f>
        <v/>
      </c>
      <c r="L14" s="44">
        <f>IF(OR(in_mode_sale=1,L$4&lt;R_Start,L$4&gt;R_Exit),0,IF(AND(in_ground_up=1,in_rent_lease_up_months&gt;0,L$4-R_Start&lt;in_rent_lease_up_months),(1-in_rent_vacancy_pct)*(L$4-R_Start+1)/in_rent_lease_up_months,1-in_rent_vacancy_pct))</f>
        <v/>
      </c>
      <c r="M14" s="44">
        <f>IF(OR(in_mode_sale=1,M$4&lt;R_Start,M$4&gt;R_Exit),0,IF(AND(in_ground_up=1,in_rent_lease_up_months&gt;0,M$4-R_Start&lt;in_rent_lease_up_months),(1-in_rent_vacancy_pct)*(M$4-R_Start+1)/in_rent_lease_up_months,1-in_rent_vacancy_pct))</f>
        <v/>
      </c>
      <c r="N14" s="44">
        <f>IF(OR(in_mode_sale=1,N$4&lt;R_Start,N$4&gt;R_Exit),0,IF(AND(in_ground_up=1,in_rent_lease_up_months&gt;0,N$4-R_Start&lt;in_rent_lease_up_months),(1-in_rent_vacancy_pct)*(N$4-R_Start+1)/in_rent_lease_up_months,1-in_rent_vacancy_pct))</f>
        <v/>
      </c>
      <c r="O14" s="44">
        <f>IF(OR(in_mode_sale=1,O$4&lt;R_Start,O$4&gt;R_Exit),0,IF(AND(in_ground_up=1,in_rent_lease_up_months&gt;0,O$4-R_Start&lt;in_rent_lease_up_months),(1-in_rent_vacancy_pct)*(O$4-R_Start+1)/in_rent_lease_up_months,1-in_rent_vacancy_pct))</f>
        <v/>
      </c>
      <c r="P14" s="44">
        <f>IF(OR(in_mode_sale=1,P$4&lt;R_Start,P$4&gt;R_Exit),0,IF(AND(in_ground_up=1,in_rent_lease_up_months&gt;0,P$4-R_Start&lt;in_rent_lease_up_months),(1-in_rent_vacancy_pct)*(P$4-R_Start+1)/in_rent_lease_up_months,1-in_rent_vacancy_pct))</f>
        <v/>
      </c>
      <c r="Q14" s="44">
        <f>IF(OR(in_mode_sale=1,Q$4&lt;R_Start,Q$4&gt;R_Exit),0,IF(AND(in_ground_up=1,in_rent_lease_up_months&gt;0,Q$4-R_Start&lt;in_rent_lease_up_months),(1-in_rent_vacancy_pct)*(Q$4-R_Start+1)/in_rent_lease_up_months,1-in_rent_vacancy_pct))</f>
        <v/>
      </c>
      <c r="R14" s="44">
        <f>IF(OR(in_mode_sale=1,R$4&lt;R_Start,R$4&gt;R_Exit),0,IF(AND(in_ground_up=1,in_rent_lease_up_months&gt;0,R$4-R_Start&lt;in_rent_lease_up_months),(1-in_rent_vacancy_pct)*(R$4-R_Start+1)/in_rent_lease_up_months,1-in_rent_vacancy_pct))</f>
        <v/>
      </c>
      <c r="S14" s="44">
        <f>IF(OR(in_mode_sale=1,S$4&lt;R_Start,S$4&gt;R_Exit),0,IF(AND(in_ground_up=1,in_rent_lease_up_months&gt;0,S$4-R_Start&lt;in_rent_lease_up_months),(1-in_rent_vacancy_pct)*(S$4-R_Start+1)/in_rent_lease_up_months,1-in_rent_vacancy_pct))</f>
        <v/>
      </c>
      <c r="T14" s="44">
        <f>IF(OR(in_mode_sale=1,T$4&lt;R_Start,T$4&gt;R_Exit),0,IF(AND(in_ground_up=1,in_rent_lease_up_months&gt;0,T$4-R_Start&lt;in_rent_lease_up_months),(1-in_rent_vacancy_pct)*(T$4-R_Start+1)/in_rent_lease_up_months,1-in_rent_vacancy_pct))</f>
        <v/>
      </c>
      <c r="U14" s="44">
        <f>IF(OR(in_mode_sale=1,U$4&lt;R_Start,U$4&gt;R_Exit),0,IF(AND(in_ground_up=1,in_rent_lease_up_months&gt;0,U$4-R_Start&lt;in_rent_lease_up_months),(1-in_rent_vacancy_pct)*(U$4-R_Start+1)/in_rent_lease_up_months,1-in_rent_vacancy_pct))</f>
        <v/>
      </c>
      <c r="V14" s="44">
        <f>IF(OR(in_mode_sale=1,V$4&lt;R_Start,V$4&gt;R_Exit),0,IF(AND(in_ground_up=1,in_rent_lease_up_months&gt;0,V$4-R_Start&lt;in_rent_lease_up_months),(1-in_rent_vacancy_pct)*(V$4-R_Start+1)/in_rent_lease_up_months,1-in_rent_vacancy_pct))</f>
        <v/>
      </c>
      <c r="W14" s="44">
        <f>IF(OR(in_mode_sale=1,W$4&lt;R_Start,W$4&gt;R_Exit),0,IF(AND(in_ground_up=1,in_rent_lease_up_months&gt;0,W$4-R_Start&lt;in_rent_lease_up_months),(1-in_rent_vacancy_pct)*(W$4-R_Start+1)/in_rent_lease_up_months,1-in_rent_vacancy_pct))</f>
        <v/>
      </c>
      <c r="X14" s="44">
        <f>IF(OR(in_mode_sale=1,X$4&lt;R_Start,X$4&gt;R_Exit),0,IF(AND(in_ground_up=1,in_rent_lease_up_months&gt;0,X$4-R_Start&lt;in_rent_lease_up_months),(1-in_rent_vacancy_pct)*(X$4-R_Start+1)/in_rent_lease_up_months,1-in_rent_vacancy_pct))</f>
        <v/>
      </c>
      <c r="Y14" s="44">
        <f>IF(OR(in_mode_sale=1,Y$4&lt;R_Start,Y$4&gt;R_Exit),0,IF(AND(in_ground_up=1,in_rent_lease_up_months&gt;0,Y$4-R_Start&lt;in_rent_lease_up_months),(1-in_rent_vacancy_pct)*(Y$4-R_Start+1)/in_rent_lease_up_months,1-in_rent_vacancy_pct))</f>
        <v/>
      </c>
      <c r="Z14" s="44">
        <f>IF(OR(in_mode_sale=1,Z$4&lt;R_Start,Z$4&gt;R_Exit),0,IF(AND(in_ground_up=1,in_rent_lease_up_months&gt;0,Z$4-R_Start&lt;in_rent_lease_up_months),(1-in_rent_vacancy_pct)*(Z$4-R_Start+1)/in_rent_lease_up_months,1-in_rent_vacancy_pct))</f>
        <v/>
      </c>
      <c r="AA14" s="44">
        <f>IF(OR(in_mode_sale=1,AA$4&lt;R_Start,AA$4&gt;R_Exit),0,IF(AND(in_ground_up=1,in_rent_lease_up_months&gt;0,AA$4-R_Start&lt;in_rent_lease_up_months),(1-in_rent_vacancy_pct)*(AA$4-R_Start+1)/in_rent_lease_up_months,1-in_rent_vacancy_pct))</f>
        <v/>
      </c>
      <c r="AB14" s="44">
        <f>IF(OR(in_mode_sale=1,AB$4&lt;R_Start,AB$4&gt;R_Exit),0,IF(AND(in_ground_up=1,in_rent_lease_up_months&gt;0,AB$4-R_Start&lt;in_rent_lease_up_months),(1-in_rent_vacancy_pct)*(AB$4-R_Start+1)/in_rent_lease_up_months,1-in_rent_vacancy_pct))</f>
        <v/>
      </c>
      <c r="AC14" s="44">
        <f>IF(OR(in_mode_sale=1,AC$4&lt;R_Start,AC$4&gt;R_Exit),0,IF(AND(in_ground_up=1,in_rent_lease_up_months&gt;0,AC$4-R_Start&lt;in_rent_lease_up_months),(1-in_rent_vacancy_pct)*(AC$4-R_Start+1)/in_rent_lease_up_months,1-in_rent_vacancy_pct))</f>
        <v/>
      </c>
      <c r="AD14" s="44">
        <f>IF(OR(in_mode_sale=1,AD$4&lt;R_Start,AD$4&gt;R_Exit),0,IF(AND(in_ground_up=1,in_rent_lease_up_months&gt;0,AD$4-R_Start&lt;in_rent_lease_up_months),(1-in_rent_vacancy_pct)*(AD$4-R_Start+1)/in_rent_lease_up_months,1-in_rent_vacancy_pct))</f>
        <v/>
      </c>
      <c r="AE14" s="44">
        <f>IF(OR(in_mode_sale=1,AE$4&lt;R_Start,AE$4&gt;R_Exit),0,IF(AND(in_ground_up=1,in_rent_lease_up_months&gt;0,AE$4-R_Start&lt;in_rent_lease_up_months),(1-in_rent_vacancy_pct)*(AE$4-R_Start+1)/in_rent_lease_up_months,1-in_rent_vacancy_pct))</f>
        <v/>
      </c>
      <c r="AF14" s="44">
        <f>IF(OR(in_mode_sale=1,AF$4&lt;R_Start,AF$4&gt;R_Exit),0,IF(AND(in_ground_up=1,in_rent_lease_up_months&gt;0,AF$4-R_Start&lt;in_rent_lease_up_months),(1-in_rent_vacancy_pct)*(AF$4-R_Start+1)/in_rent_lease_up_months,1-in_rent_vacancy_pct))</f>
        <v/>
      </c>
      <c r="AG14" s="44">
        <f>IF(OR(in_mode_sale=1,AG$4&lt;R_Start,AG$4&gt;R_Exit),0,IF(AND(in_ground_up=1,in_rent_lease_up_months&gt;0,AG$4-R_Start&lt;in_rent_lease_up_months),(1-in_rent_vacancy_pct)*(AG$4-R_Start+1)/in_rent_lease_up_months,1-in_rent_vacancy_pct))</f>
        <v/>
      </c>
      <c r="AH14" s="44">
        <f>IF(OR(in_mode_sale=1,AH$4&lt;R_Start,AH$4&gt;R_Exit),0,IF(AND(in_ground_up=1,in_rent_lease_up_months&gt;0,AH$4-R_Start&lt;in_rent_lease_up_months),(1-in_rent_vacancy_pct)*(AH$4-R_Start+1)/in_rent_lease_up_months,1-in_rent_vacancy_pct))</f>
        <v/>
      </c>
      <c r="AI14" s="44">
        <f>IF(OR(in_mode_sale=1,AI$4&lt;R_Start,AI$4&gt;R_Exit),0,IF(AND(in_ground_up=1,in_rent_lease_up_months&gt;0,AI$4-R_Start&lt;in_rent_lease_up_months),(1-in_rent_vacancy_pct)*(AI$4-R_Start+1)/in_rent_lease_up_months,1-in_rent_vacancy_pct))</f>
        <v/>
      </c>
      <c r="AJ14" s="44">
        <f>IF(OR(in_mode_sale=1,AJ$4&lt;R_Start,AJ$4&gt;R_Exit),0,IF(AND(in_ground_up=1,in_rent_lease_up_months&gt;0,AJ$4-R_Start&lt;in_rent_lease_up_months),(1-in_rent_vacancy_pct)*(AJ$4-R_Start+1)/in_rent_lease_up_months,1-in_rent_vacancy_pct))</f>
        <v/>
      </c>
      <c r="AK14" s="44">
        <f>IF(OR(in_mode_sale=1,AK$4&lt;R_Start,AK$4&gt;R_Exit),0,IF(AND(in_ground_up=1,in_rent_lease_up_months&gt;0,AK$4-R_Start&lt;in_rent_lease_up_months),(1-in_rent_vacancy_pct)*(AK$4-R_Start+1)/in_rent_lease_up_months,1-in_rent_vacancy_pct))</f>
        <v/>
      </c>
      <c r="AL14" s="44">
        <f>IF(OR(in_mode_sale=1,AL$4&lt;R_Start,AL$4&gt;R_Exit),0,IF(AND(in_ground_up=1,in_rent_lease_up_months&gt;0,AL$4-R_Start&lt;in_rent_lease_up_months),(1-in_rent_vacancy_pct)*(AL$4-R_Start+1)/in_rent_lease_up_months,1-in_rent_vacancy_pct))</f>
        <v/>
      </c>
      <c r="AM14" s="44">
        <f>IF(OR(in_mode_sale=1,AM$4&lt;R_Start,AM$4&gt;R_Exit),0,IF(AND(in_ground_up=1,in_rent_lease_up_months&gt;0,AM$4-R_Start&lt;in_rent_lease_up_months),(1-in_rent_vacancy_pct)*(AM$4-R_Start+1)/in_rent_lease_up_months,1-in_rent_vacancy_pct))</f>
        <v/>
      </c>
      <c r="AN14" s="44">
        <f>IF(OR(in_mode_sale=1,AN$4&lt;R_Start,AN$4&gt;R_Exit),0,IF(AND(in_ground_up=1,in_rent_lease_up_months&gt;0,AN$4-R_Start&lt;in_rent_lease_up_months),(1-in_rent_vacancy_pct)*(AN$4-R_Start+1)/in_rent_lease_up_months,1-in_rent_vacancy_pct))</f>
        <v/>
      </c>
      <c r="AO14" s="44">
        <f>IF(OR(in_mode_sale=1,AO$4&lt;R_Start,AO$4&gt;R_Exit),0,IF(AND(in_ground_up=1,in_rent_lease_up_months&gt;0,AO$4-R_Start&lt;in_rent_lease_up_months),(1-in_rent_vacancy_pct)*(AO$4-R_Start+1)/in_rent_lease_up_months,1-in_rent_vacancy_pct))</f>
        <v/>
      </c>
      <c r="AP14" s="44">
        <f>IF(OR(in_mode_sale=1,AP$4&lt;R_Start,AP$4&gt;R_Exit),0,IF(AND(in_ground_up=1,in_rent_lease_up_months&gt;0,AP$4-R_Start&lt;in_rent_lease_up_months),(1-in_rent_vacancy_pct)*(AP$4-R_Start+1)/in_rent_lease_up_months,1-in_rent_vacancy_pct))</f>
        <v/>
      </c>
      <c r="AQ14" s="44">
        <f>IF(OR(in_mode_sale=1,AQ$4&lt;R_Start,AQ$4&gt;R_Exit),0,IF(AND(in_ground_up=1,in_rent_lease_up_months&gt;0,AQ$4-R_Start&lt;in_rent_lease_up_months),(1-in_rent_vacancy_pct)*(AQ$4-R_Start+1)/in_rent_lease_up_months,1-in_rent_vacancy_pct))</f>
        <v/>
      </c>
      <c r="AR14" s="44">
        <f>IF(OR(in_mode_sale=1,AR$4&lt;R_Start,AR$4&gt;R_Exit),0,IF(AND(in_ground_up=1,in_rent_lease_up_months&gt;0,AR$4-R_Start&lt;in_rent_lease_up_months),(1-in_rent_vacancy_pct)*(AR$4-R_Start+1)/in_rent_lease_up_months,1-in_rent_vacancy_pct))</f>
        <v/>
      </c>
      <c r="AS14" s="44">
        <f>IF(OR(in_mode_sale=1,AS$4&lt;R_Start,AS$4&gt;R_Exit),0,IF(AND(in_ground_up=1,in_rent_lease_up_months&gt;0,AS$4-R_Start&lt;in_rent_lease_up_months),(1-in_rent_vacancy_pct)*(AS$4-R_Start+1)/in_rent_lease_up_months,1-in_rent_vacancy_pct))</f>
        <v/>
      </c>
      <c r="AT14" s="44">
        <f>IF(OR(in_mode_sale=1,AT$4&lt;R_Start,AT$4&gt;R_Exit),0,IF(AND(in_ground_up=1,in_rent_lease_up_months&gt;0,AT$4-R_Start&lt;in_rent_lease_up_months),(1-in_rent_vacancy_pct)*(AT$4-R_Start+1)/in_rent_lease_up_months,1-in_rent_vacancy_pct))</f>
        <v/>
      </c>
      <c r="AU14" s="44">
        <f>IF(OR(in_mode_sale=1,AU$4&lt;R_Start,AU$4&gt;R_Exit),0,IF(AND(in_ground_up=1,in_rent_lease_up_months&gt;0,AU$4-R_Start&lt;in_rent_lease_up_months),(1-in_rent_vacancy_pct)*(AU$4-R_Start+1)/in_rent_lease_up_months,1-in_rent_vacancy_pct))</f>
        <v/>
      </c>
      <c r="AV14" s="44">
        <f>IF(OR(in_mode_sale=1,AV$4&lt;R_Start,AV$4&gt;R_Exit),0,IF(AND(in_ground_up=1,in_rent_lease_up_months&gt;0,AV$4-R_Start&lt;in_rent_lease_up_months),(1-in_rent_vacancy_pct)*(AV$4-R_Start+1)/in_rent_lease_up_months,1-in_rent_vacancy_pct))</f>
        <v/>
      </c>
      <c r="AW14" s="44">
        <f>IF(OR(in_mode_sale=1,AW$4&lt;R_Start,AW$4&gt;R_Exit),0,IF(AND(in_ground_up=1,in_rent_lease_up_months&gt;0,AW$4-R_Start&lt;in_rent_lease_up_months),(1-in_rent_vacancy_pct)*(AW$4-R_Start+1)/in_rent_lease_up_months,1-in_rent_vacancy_pct))</f>
        <v/>
      </c>
      <c r="AX14" s="44">
        <f>IF(OR(in_mode_sale=1,AX$4&lt;R_Start,AX$4&gt;R_Exit),0,IF(AND(in_ground_up=1,in_rent_lease_up_months&gt;0,AX$4-R_Start&lt;in_rent_lease_up_months),(1-in_rent_vacancy_pct)*(AX$4-R_Start+1)/in_rent_lease_up_months,1-in_rent_vacancy_pct))</f>
        <v/>
      </c>
      <c r="AY14" s="44">
        <f>IF(OR(in_mode_sale=1,AY$4&lt;R_Start,AY$4&gt;R_Exit),0,IF(AND(in_ground_up=1,in_rent_lease_up_months&gt;0,AY$4-R_Start&lt;in_rent_lease_up_months),(1-in_rent_vacancy_pct)*(AY$4-R_Start+1)/in_rent_lease_up_months,1-in_rent_vacancy_pct))</f>
        <v/>
      </c>
      <c r="AZ14" s="44">
        <f>IF(OR(in_mode_sale=1,AZ$4&lt;R_Start,AZ$4&gt;R_Exit),0,IF(AND(in_ground_up=1,in_rent_lease_up_months&gt;0,AZ$4-R_Start&lt;in_rent_lease_up_months),(1-in_rent_vacancy_pct)*(AZ$4-R_Start+1)/in_rent_lease_up_months,1-in_rent_vacancy_pct))</f>
        <v/>
      </c>
      <c r="BA14" s="44">
        <f>IF(OR(in_mode_sale=1,BA$4&lt;R_Start,BA$4&gt;R_Exit),0,IF(AND(in_ground_up=1,in_rent_lease_up_months&gt;0,BA$4-R_Start&lt;in_rent_lease_up_months),(1-in_rent_vacancy_pct)*(BA$4-R_Start+1)/in_rent_lease_up_months,1-in_rent_vacancy_pct))</f>
        <v/>
      </c>
      <c r="BB14" s="44">
        <f>IF(OR(in_mode_sale=1,BB$4&lt;R_Start,BB$4&gt;R_Exit),0,IF(AND(in_ground_up=1,in_rent_lease_up_months&gt;0,BB$4-R_Start&lt;in_rent_lease_up_months),(1-in_rent_vacancy_pct)*(BB$4-R_Start+1)/in_rent_lease_up_months,1-in_rent_vacancy_pct))</f>
        <v/>
      </c>
      <c r="BC14" s="44">
        <f>IF(OR(in_mode_sale=1,BC$4&lt;R_Start,BC$4&gt;R_Exit),0,IF(AND(in_ground_up=1,in_rent_lease_up_months&gt;0,BC$4-R_Start&lt;in_rent_lease_up_months),(1-in_rent_vacancy_pct)*(BC$4-R_Start+1)/in_rent_lease_up_months,1-in_rent_vacancy_pct))</f>
        <v/>
      </c>
      <c r="BD14" s="44">
        <f>IF(OR(in_mode_sale=1,BD$4&lt;R_Start,BD$4&gt;R_Exit),0,IF(AND(in_ground_up=1,in_rent_lease_up_months&gt;0,BD$4-R_Start&lt;in_rent_lease_up_months),(1-in_rent_vacancy_pct)*(BD$4-R_Start+1)/in_rent_lease_up_months,1-in_rent_vacancy_pct))</f>
        <v/>
      </c>
      <c r="BE14" s="44">
        <f>IF(OR(in_mode_sale=1,BE$4&lt;R_Start,BE$4&gt;R_Exit),0,IF(AND(in_ground_up=1,in_rent_lease_up_months&gt;0,BE$4-R_Start&lt;in_rent_lease_up_months),(1-in_rent_vacancy_pct)*(BE$4-R_Start+1)/in_rent_lease_up_months,1-in_rent_vacancy_pct))</f>
        <v/>
      </c>
      <c r="BF14" s="44">
        <f>IF(OR(in_mode_sale=1,BF$4&lt;R_Start,BF$4&gt;R_Exit),0,IF(AND(in_ground_up=1,in_rent_lease_up_months&gt;0,BF$4-R_Start&lt;in_rent_lease_up_months),(1-in_rent_vacancy_pct)*(BF$4-R_Start+1)/in_rent_lease_up_months,1-in_rent_vacancy_pct))</f>
        <v/>
      </c>
      <c r="BG14" s="44">
        <f>IF(OR(in_mode_sale=1,BG$4&lt;R_Start,BG$4&gt;R_Exit),0,IF(AND(in_ground_up=1,in_rent_lease_up_months&gt;0,BG$4-R_Start&lt;in_rent_lease_up_months),(1-in_rent_vacancy_pct)*(BG$4-R_Start+1)/in_rent_lease_up_months,1-in_rent_vacancy_pct))</f>
        <v/>
      </c>
      <c r="BH14" s="44">
        <f>IF(OR(in_mode_sale=1,BH$4&lt;R_Start,BH$4&gt;R_Exit),0,IF(AND(in_ground_up=1,in_rent_lease_up_months&gt;0,BH$4-R_Start&lt;in_rent_lease_up_months),(1-in_rent_vacancy_pct)*(BH$4-R_Start+1)/in_rent_lease_up_months,1-in_rent_vacancy_pct))</f>
        <v/>
      </c>
      <c r="BI14" s="44">
        <f>IF(OR(in_mode_sale=1,BI$4&lt;R_Start,BI$4&gt;R_Exit),0,IF(AND(in_ground_up=1,in_rent_lease_up_months&gt;0,BI$4-R_Start&lt;in_rent_lease_up_months),(1-in_rent_vacancy_pct)*(BI$4-R_Start+1)/in_rent_lease_up_months,1-in_rent_vacancy_pct))</f>
        <v/>
      </c>
      <c r="BJ14" s="44">
        <f>IF(OR(in_mode_sale=1,BJ$4&lt;R_Start,BJ$4&gt;R_Exit),0,IF(AND(in_ground_up=1,in_rent_lease_up_months&gt;0,BJ$4-R_Start&lt;in_rent_lease_up_months),(1-in_rent_vacancy_pct)*(BJ$4-R_Start+1)/in_rent_lease_up_months,1-in_rent_vacancy_pct))</f>
        <v/>
      </c>
      <c r="BK14" s="44">
        <f>IF(OR(in_mode_sale=1,BK$4&lt;R_Start,BK$4&gt;R_Exit),0,IF(AND(in_ground_up=1,in_rent_lease_up_months&gt;0,BK$4-R_Start&lt;in_rent_lease_up_months),(1-in_rent_vacancy_pct)*(BK$4-R_Start+1)/in_rent_lease_up_months,1-in_rent_vacancy_pct))</f>
        <v/>
      </c>
      <c r="BL14" s="44">
        <f>IF(OR(in_mode_sale=1,BL$4&lt;R_Start,BL$4&gt;R_Exit),0,IF(AND(in_ground_up=1,in_rent_lease_up_months&gt;0,BL$4-R_Start&lt;in_rent_lease_up_months),(1-in_rent_vacancy_pct)*(BL$4-R_Start+1)/in_rent_lease_up_months,1-in_rent_vacancy_pct))</f>
        <v/>
      </c>
      <c r="BM14" s="44">
        <f>IF(OR(in_mode_sale=1,BM$4&lt;R_Start,BM$4&gt;R_Exit),0,IF(AND(in_ground_up=1,in_rent_lease_up_months&gt;0,BM$4-R_Start&lt;in_rent_lease_up_months),(1-in_rent_vacancy_pct)*(BM$4-R_Start+1)/in_rent_lease_up_months,1-in_rent_vacancy_pct))</f>
        <v/>
      </c>
      <c r="BN14" s="44">
        <f>IF(OR(in_mode_sale=1,BN$4&lt;R_Start,BN$4&gt;R_Exit),0,IF(AND(in_ground_up=1,in_rent_lease_up_months&gt;0,BN$4-R_Start&lt;in_rent_lease_up_months),(1-in_rent_vacancy_pct)*(BN$4-R_Start+1)/in_rent_lease_up_months,1-in_rent_vacancy_pct))</f>
        <v/>
      </c>
      <c r="BO14" s="44">
        <f>IF(OR(in_mode_sale=1,BO$4&lt;R_Start,BO$4&gt;R_Exit),0,IF(AND(in_ground_up=1,in_rent_lease_up_months&gt;0,BO$4-R_Start&lt;in_rent_lease_up_months),(1-in_rent_vacancy_pct)*(BO$4-R_Start+1)/in_rent_lease_up_months,1-in_rent_vacancy_pct))</f>
        <v/>
      </c>
      <c r="BP14" s="44">
        <f>IF(OR(in_mode_sale=1,BP$4&lt;R_Start,BP$4&gt;R_Exit),0,IF(AND(in_ground_up=1,in_rent_lease_up_months&gt;0,BP$4-R_Start&lt;in_rent_lease_up_months),(1-in_rent_vacancy_pct)*(BP$4-R_Start+1)/in_rent_lease_up_months,1-in_rent_vacancy_pct))</f>
        <v/>
      </c>
      <c r="BQ14" s="44">
        <f>IF(OR(in_mode_sale=1,BQ$4&lt;R_Start,BQ$4&gt;R_Exit),0,IF(AND(in_ground_up=1,in_rent_lease_up_months&gt;0,BQ$4-R_Start&lt;in_rent_lease_up_months),(1-in_rent_vacancy_pct)*(BQ$4-R_Start+1)/in_rent_lease_up_months,1-in_rent_vacancy_pct))</f>
        <v/>
      </c>
      <c r="BR14" s="44">
        <f>IF(OR(in_mode_sale=1,BR$4&lt;R_Start,BR$4&gt;R_Exit),0,IF(AND(in_ground_up=1,in_rent_lease_up_months&gt;0,BR$4-R_Start&lt;in_rent_lease_up_months),(1-in_rent_vacancy_pct)*(BR$4-R_Start+1)/in_rent_lease_up_months,1-in_rent_vacancy_pct))</f>
        <v/>
      </c>
      <c r="BS14" s="44">
        <f>IF(OR(in_mode_sale=1,BS$4&lt;R_Start,BS$4&gt;R_Exit),0,IF(AND(in_ground_up=1,in_rent_lease_up_months&gt;0,BS$4-R_Start&lt;in_rent_lease_up_months),(1-in_rent_vacancy_pct)*(BS$4-R_Start+1)/in_rent_lease_up_months,1-in_rent_vacancy_pct))</f>
        <v/>
      </c>
      <c r="BT14" s="44">
        <f>IF(OR(in_mode_sale=1,BT$4&lt;R_Start,BT$4&gt;R_Exit),0,IF(AND(in_ground_up=1,in_rent_lease_up_months&gt;0,BT$4-R_Start&lt;in_rent_lease_up_months),(1-in_rent_vacancy_pct)*(BT$4-R_Start+1)/in_rent_lease_up_months,1-in_rent_vacancy_pct))</f>
        <v/>
      </c>
      <c r="BU14" s="44">
        <f>IF(OR(in_mode_sale=1,BU$4&lt;R_Start,BU$4&gt;R_Exit),0,IF(AND(in_ground_up=1,in_rent_lease_up_months&gt;0,BU$4-R_Start&lt;in_rent_lease_up_months),(1-in_rent_vacancy_pct)*(BU$4-R_Start+1)/in_rent_lease_up_months,1-in_rent_vacancy_pct))</f>
        <v/>
      </c>
      <c r="BV14" s="44">
        <f>IF(OR(in_mode_sale=1,BV$4&lt;R_Start,BV$4&gt;R_Exit),0,IF(AND(in_ground_up=1,in_rent_lease_up_months&gt;0,BV$4-R_Start&lt;in_rent_lease_up_months),(1-in_rent_vacancy_pct)*(BV$4-R_Start+1)/in_rent_lease_up_months,1-in_rent_vacancy_pct))</f>
        <v/>
      </c>
      <c r="BW14" s="44">
        <f>IF(OR(in_mode_sale=1,BW$4&lt;R_Start,BW$4&gt;R_Exit),0,IF(AND(in_ground_up=1,in_rent_lease_up_months&gt;0,BW$4-R_Start&lt;in_rent_lease_up_months),(1-in_rent_vacancy_pct)*(BW$4-R_Start+1)/in_rent_lease_up_months,1-in_rent_vacancy_pct))</f>
        <v/>
      </c>
      <c r="BX14" s="44">
        <f>IF(OR(in_mode_sale=1,BX$4&lt;R_Start,BX$4&gt;R_Exit),0,IF(AND(in_ground_up=1,in_rent_lease_up_months&gt;0,BX$4-R_Start&lt;in_rent_lease_up_months),(1-in_rent_vacancy_pct)*(BX$4-R_Start+1)/in_rent_lease_up_months,1-in_rent_vacancy_pct))</f>
        <v/>
      </c>
      <c r="BY14" s="44">
        <f>IF(OR(in_mode_sale=1,BY$4&lt;R_Start,BY$4&gt;R_Exit),0,IF(AND(in_ground_up=1,in_rent_lease_up_months&gt;0,BY$4-R_Start&lt;in_rent_lease_up_months),(1-in_rent_vacancy_pct)*(BY$4-R_Start+1)/in_rent_lease_up_months,1-in_rent_vacancy_pct))</f>
        <v/>
      </c>
      <c r="BZ14" s="44">
        <f>IF(OR(in_mode_sale=1,BZ$4&lt;R_Start,BZ$4&gt;R_Exit),0,IF(AND(in_ground_up=1,in_rent_lease_up_months&gt;0,BZ$4-R_Start&lt;in_rent_lease_up_months),(1-in_rent_vacancy_pct)*(BZ$4-R_Start+1)/in_rent_lease_up_months,1-in_rent_vacancy_pct))</f>
        <v/>
      </c>
      <c r="CA14" s="44">
        <f>IF(OR(in_mode_sale=1,CA$4&lt;R_Start,CA$4&gt;R_Exit),0,IF(AND(in_ground_up=1,in_rent_lease_up_months&gt;0,CA$4-R_Start&lt;in_rent_lease_up_months),(1-in_rent_vacancy_pct)*(CA$4-R_Start+1)/in_rent_lease_up_months,1-in_rent_vacancy_pct))</f>
        <v/>
      </c>
      <c r="CB14" s="44">
        <f>IF(OR(in_mode_sale=1,CB$4&lt;R_Start,CB$4&gt;R_Exit),0,IF(AND(in_ground_up=1,in_rent_lease_up_months&gt;0,CB$4-R_Start&lt;in_rent_lease_up_months),(1-in_rent_vacancy_pct)*(CB$4-R_Start+1)/in_rent_lease_up_months,1-in_rent_vacancy_pct))</f>
        <v/>
      </c>
      <c r="CC14" s="44">
        <f>IF(OR(in_mode_sale=1,CC$4&lt;R_Start,CC$4&gt;R_Exit),0,IF(AND(in_ground_up=1,in_rent_lease_up_months&gt;0,CC$4-R_Start&lt;in_rent_lease_up_months),(1-in_rent_vacancy_pct)*(CC$4-R_Start+1)/in_rent_lease_up_months,1-in_rent_vacancy_pct))</f>
        <v/>
      </c>
      <c r="CD14" s="44">
        <f>IF(OR(in_mode_sale=1,CD$4&lt;R_Start,CD$4&gt;R_Exit),0,IF(AND(in_ground_up=1,in_rent_lease_up_months&gt;0,CD$4-R_Start&lt;in_rent_lease_up_months),(1-in_rent_vacancy_pct)*(CD$4-R_Start+1)/in_rent_lease_up_months,1-in_rent_vacancy_pct))</f>
        <v/>
      </c>
      <c r="CE14" s="44">
        <f>IF(OR(in_mode_sale=1,CE$4&lt;R_Start,CE$4&gt;R_Exit),0,IF(AND(in_ground_up=1,in_rent_lease_up_months&gt;0,CE$4-R_Start&lt;in_rent_lease_up_months),(1-in_rent_vacancy_pct)*(CE$4-R_Start+1)/in_rent_lease_up_months,1-in_rent_vacancy_pct))</f>
        <v/>
      </c>
      <c r="CF14" s="44">
        <f>IF(OR(in_mode_sale=1,CF$4&lt;R_Start,CF$4&gt;R_Exit),0,IF(AND(in_ground_up=1,in_rent_lease_up_months&gt;0,CF$4-R_Start&lt;in_rent_lease_up_months),(1-in_rent_vacancy_pct)*(CF$4-R_Start+1)/in_rent_lease_up_months,1-in_rent_vacancy_pct))</f>
        <v/>
      </c>
      <c r="CG14" s="44">
        <f>IF(OR(in_mode_sale=1,CG$4&lt;R_Start,CG$4&gt;R_Exit),0,IF(AND(in_ground_up=1,in_rent_lease_up_months&gt;0,CG$4-R_Start&lt;in_rent_lease_up_months),(1-in_rent_vacancy_pct)*(CG$4-R_Start+1)/in_rent_lease_up_months,1-in_rent_vacancy_pct))</f>
        <v/>
      </c>
      <c r="CH14" s="44">
        <f>IF(OR(in_mode_sale=1,CH$4&lt;R_Start,CH$4&gt;R_Exit),0,IF(AND(in_ground_up=1,in_rent_lease_up_months&gt;0,CH$4-R_Start&lt;in_rent_lease_up_months),(1-in_rent_vacancy_pct)*(CH$4-R_Start+1)/in_rent_lease_up_months,1-in_rent_vacancy_pct))</f>
        <v/>
      </c>
      <c r="CI14" s="44">
        <f>IF(OR(in_mode_sale=1,CI$4&lt;R_Start,CI$4&gt;R_Exit),0,IF(AND(in_ground_up=1,in_rent_lease_up_months&gt;0,CI$4-R_Start&lt;in_rent_lease_up_months),(1-in_rent_vacancy_pct)*(CI$4-R_Start+1)/in_rent_lease_up_months,1-in_rent_vacancy_pct))</f>
        <v/>
      </c>
      <c r="CJ14" s="44">
        <f>IF(OR(in_mode_sale=1,CJ$4&lt;R_Start,CJ$4&gt;R_Exit),0,IF(AND(in_ground_up=1,in_rent_lease_up_months&gt;0,CJ$4-R_Start&lt;in_rent_lease_up_months),(1-in_rent_vacancy_pct)*(CJ$4-R_Start+1)/in_rent_lease_up_months,1-in_rent_vacancy_pct))</f>
        <v/>
      </c>
      <c r="CK14" s="44">
        <f>IF(OR(in_mode_sale=1,CK$4&lt;R_Start,CK$4&gt;R_Exit),0,IF(AND(in_ground_up=1,in_rent_lease_up_months&gt;0,CK$4-R_Start&lt;in_rent_lease_up_months),(1-in_rent_vacancy_pct)*(CK$4-R_Start+1)/in_rent_lease_up_months,1-in_rent_vacancy_pct))</f>
        <v/>
      </c>
      <c r="CL14" s="44">
        <f>IF(OR(in_mode_sale=1,CL$4&lt;R_Start,CL$4&gt;R_Exit),0,IF(AND(in_ground_up=1,in_rent_lease_up_months&gt;0,CL$4-R_Start&lt;in_rent_lease_up_months),(1-in_rent_vacancy_pct)*(CL$4-R_Start+1)/in_rent_lease_up_months,1-in_rent_vacancy_pct))</f>
        <v/>
      </c>
      <c r="CM14" s="44">
        <f>IF(OR(in_mode_sale=1,CM$4&lt;R_Start,CM$4&gt;R_Exit),0,IF(AND(in_ground_up=1,in_rent_lease_up_months&gt;0,CM$4-R_Start&lt;in_rent_lease_up_months),(1-in_rent_vacancy_pct)*(CM$4-R_Start+1)/in_rent_lease_up_months,1-in_rent_vacancy_pct))</f>
        <v/>
      </c>
      <c r="CN14" s="44">
        <f>IF(OR(in_mode_sale=1,CN$4&lt;R_Start,CN$4&gt;R_Exit),0,IF(AND(in_ground_up=1,in_rent_lease_up_months&gt;0,CN$4-R_Start&lt;in_rent_lease_up_months),(1-in_rent_vacancy_pct)*(CN$4-R_Start+1)/in_rent_lease_up_months,1-in_rent_vacancy_pct))</f>
        <v/>
      </c>
      <c r="CO14" s="44">
        <f>IF(OR(in_mode_sale=1,CO$4&lt;R_Start,CO$4&gt;R_Exit),0,IF(AND(in_ground_up=1,in_rent_lease_up_months&gt;0,CO$4-R_Start&lt;in_rent_lease_up_months),(1-in_rent_vacancy_pct)*(CO$4-R_Start+1)/in_rent_lease_up_months,1-in_rent_vacancy_pct))</f>
        <v/>
      </c>
      <c r="CP14" s="44">
        <f>IF(OR(in_mode_sale=1,CP$4&lt;R_Start,CP$4&gt;R_Exit),0,IF(AND(in_ground_up=1,in_rent_lease_up_months&gt;0,CP$4-R_Start&lt;in_rent_lease_up_months),(1-in_rent_vacancy_pct)*(CP$4-R_Start+1)/in_rent_lease_up_months,1-in_rent_vacancy_pct))</f>
        <v/>
      </c>
      <c r="CQ14" s="44">
        <f>IF(OR(in_mode_sale=1,CQ$4&lt;R_Start,CQ$4&gt;R_Exit),0,IF(AND(in_ground_up=1,in_rent_lease_up_months&gt;0,CQ$4-R_Start&lt;in_rent_lease_up_months),(1-in_rent_vacancy_pct)*(CQ$4-R_Start+1)/in_rent_lease_up_months,1-in_rent_vacancy_pct))</f>
        <v/>
      </c>
      <c r="CR14" s="44">
        <f>IF(OR(in_mode_sale=1,CR$4&lt;R_Start,CR$4&gt;R_Exit),0,IF(AND(in_ground_up=1,in_rent_lease_up_months&gt;0,CR$4-R_Start&lt;in_rent_lease_up_months),(1-in_rent_vacancy_pct)*(CR$4-R_Start+1)/in_rent_lease_up_months,1-in_rent_vacancy_pct))</f>
        <v/>
      </c>
      <c r="CS14" s="44">
        <f>IF(OR(in_mode_sale=1,CS$4&lt;R_Start,CS$4&gt;R_Exit),0,IF(AND(in_ground_up=1,in_rent_lease_up_months&gt;0,CS$4-R_Start&lt;in_rent_lease_up_months),(1-in_rent_vacancy_pct)*(CS$4-R_Start+1)/in_rent_lease_up_months,1-in_rent_vacancy_pct))</f>
        <v/>
      </c>
      <c r="CT14" s="44">
        <f>IF(OR(in_mode_sale=1,CT$4&lt;R_Start,CT$4&gt;R_Exit),0,IF(AND(in_ground_up=1,in_rent_lease_up_months&gt;0,CT$4-R_Start&lt;in_rent_lease_up_months),(1-in_rent_vacancy_pct)*(CT$4-R_Start+1)/in_rent_lease_up_months,1-in_rent_vacancy_pct))</f>
        <v/>
      </c>
      <c r="CU14" s="44">
        <f>IF(OR(in_mode_sale=1,CU$4&lt;R_Start,CU$4&gt;R_Exit),0,IF(AND(in_ground_up=1,in_rent_lease_up_months&gt;0,CU$4-R_Start&lt;in_rent_lease_up_months),(1-in_rent_vacancy_pct)*(CU$4-R_Start+1)/in_rent_lease_up_months,1-in_rent_vacancy_pct))</f>
        <v/>
      </c>
    </row>
    <row r="15">
      <c r="A15" s="7" t="inlineStr">
        <is>
          <t>Gross potential rent</t>
        </is>
      </c>
      <c r="B15" s="21">
        <f>SUM(D15:CU15)</f>
        <v/>
      </c>
      <c r="C15" s="11" t="inlineStr"/>
      <c r="D15" s="34">
        <f>IF(OR(in_mode_sale=1,D$4&lt;R_Start,D$4&gt;R_Exit),0,D_Saleable*R_Rent*(1+in_rent_growth_pct)^(D$4/12))</f>
        <v/>
      </c>
      <c r="E15" s="34">
        <f>IF(OR(in_mode_sale=1,E$4&lt;R_Start,E$4&gt;R_Exit),0,D_Saleable*R_Rent*(1+in_rent_growth_pct)^(E$4/12))</f>
        <v/>
      </c>
      <c r="F15" s="34">
        <f>IF(OR(in_mode_sale=1,F$4&lt;R_Start,F$4&gt;R_Exit),0,D_Saleable*R_Rent*(1+in_rent_growth_pct)^(F$4/12))</f>
        <v/>
      </c>
      <c r="G15" s="34">
        <f>IF(OR(in_mode_sale=1,G$4&lt;R_Start,G$4&gt;R_Exit),0,D_Saleable*R_Rent*(1+in_rent_growth_pct)^(G$4/12))</f>
        <v/>
      </c>
      <c r="H15" s="34">
        <f>IF(OR(in_mode_sale=1,H$4&lt;R_Start,H$4&gt;R_Exit),0,D_Saleable*R_Rent*(1+in_rent_growth_pct)^(H$4/12))</f>
        <v/>
      </c>
      <c r="I15" s="34">
        <f>IF(OR(in_mode_sale=1,I$4&lt;R_Start,I$4&gt;R_Exit),0,D_Saleable*R_Rent*(1+in_rent_growth_pct)^(I$4/12))</f>
        <v/>
      </c>
      <c r="J15" s="34">
        <f>IF(OR(in_mode_sale=1,J$4&lt;R_Start,J$4&gt;R_Exit),0,D_Saleable*R_Rent*(1+in_rent_growth_pct)^(J$4/12))</f>
        <v/>
      </c>
      <c r="K15" s="34">
        <f>IF(OR(in_mode_sale=1,K$4&lt;R_Start,K$4&gt;R_Exit),0,D_Saleable*R_Rent*(1+in_rent_growth_pct)^(K$4/12))</f>
        <v/>
      </c>
      <c r="L15" s="34">
        <f>IF(OR(in_mode_sale=1,L$4&lt;R_Start,L$4&gt;R_Exit),0,D_Saleable*R_Rent*(1+in_rent_growth_pct)^(L$4/12))</f>
        <v/>
      </c>
      <c r="M15" s="34">
        <f>IF(OR(in_mode_sale=1,M$4&lt;R_Start,M$4&gt;R_Exit),0,D_Saleable*R_Rent*(1+in_rent_growth_pct)^(M$4/12))</f>
        <v/>
      </c>
      <c r="N15" s="34">
        <f>IF(OR(in_mode_sale=1,N$4&lt;R_Start,N$4&gt;R_Exit),0,D_Saleable*R_Rent*(1+in_rent_growth_pct)^(N$4/12))</f>
        <v/>
      </c>
      <c r="O15" s="34">
        <f>IF(OR(in_mode_sale=1,O$4&lt;R_Start,O$4&gt;R_Exit),0,D_Saleable*R_Rent*(1+in_rent_growth_pct)^(O$4/12))</f>
        <v/>
      </c>
      <c r="P15" s="34">
        <f>IF(OR(in_mode_sale=1,P$4&lt;R_Start,P$4&gt;R_Exit),0,D_Saleable*R_Rent*(1+in_rent_growth_pct)^(P$4/12))</f>
        <v/>
      </c>
      <c r="Q15" s="34">
        <f>IF(OR(in_mode_sale=1,Q$4&lt;R_Start,Q$4&gt;R_Exit),0,D_Saleable*R_Rent*(1+in_rent_growth_pct)^(Q$4/12))</f>
        <v/>
      </c>
      <c r="R15" s="34">
        <f>IF(OR(in_mode_sale=1,R$4&lt;R_Start,R$4&gt;R_Exit),0,D_Saleable*R_Rent*(1+in_rent_growth_pct)^(R$4/12))</f>
        <v/>
      </c>
      <c r="S15" s="34">
        <f>IF(OR(in_mode_sale=1,S$4&lt;R_Start,S$4&gt;R_Exit),0,D_Saleable*R_Rent*(1+in_rent_growth_pct)^(S$4/12))</f>
        <v/>
      </c>
      <c r="T15" s="34">
        <f>IF(OR(in_mode_sale=1,T$4&lt;R_Start,T$4&gt;R_Exit),0,D_Saleable*R_Rent*(1+in_rent_growth_pct)^(T$4/12))</f>
        <v/>
      </c>
      <c r="U15" s="34">
        <f>IF(OR(in_mode_sale=1,U$4&lt;R_Start,U$4&gt;R_Exit),0,D_Saleable*R_Rent*(1+in_rent_growth_pct)^(U$4/12))</f>
        <v/>
      </c>
      <c r="V15" s="34">
        <f>IF(OR(in_mode_sale=1,V$4&lt;R_Start,V$4&gt;R_Exit),0,D_Saleable*R_Rent*(1+in_rent_growth_pct)^(V$4/12))</f>
        <v/>
      </c>
      <c r="W15" s="34">
        <f>IF(OR(in_mode_sale=1,W$4&lt;R_Start,W$4&gt;R_Exit),0,D_Saleable*R_Rent*(1+in_rent_growth_pct)^(W$4/12))</f>
        <v/>
      </c>
      <c r="X15" s="34">
        <f>IF(OR(in_mode_sale=1,X$4&lt;R_Start,X$4&gt;R_Exit),0,D_Saleable*R_Rent*(1+in_rent_growth_pct)^(X$4/12))</f>
        <v/>
      </c>
      <c r="Y15" s="34">
        <f>IF(OR(in_mode_sale=1,Y$4&lt;R_Start,Y$4&gt;R_Exit),0,D_Saleable*R_Rent*(1+in_rent_growth_pct)^(Y$4/12))</f>
        <v/>
      </c>
      <c r="Z15" s="34">
        <f>IF(OR(in_mode_sale=1,Z$4&lt;R_Start,Z$4&gt;R_Exit),0,D_Saleable*R_Rent*(1+in_rent_growth_pct)^(Z$4/12))</f>
        <v/>
      </c>
      <c r="AA15" s="34">
        <f>IF(OR(in_mode_sale=1,AA$4&lt;R_Start,AA$4&gt;R_Exit),0,D_Saleable*R_Rent*(1+in_rent_growth_pct)^(AA$4/12))</f>
        <v/>
      </c>
      <c r="AB15" s="34">
        <f>IF(OR(in_mode_sale=1,AB$4&lt;R_Start,AB$4&gt;R_Exit),0,D_Saleable*R_Rent*(1+in_rent_growth_pct)^(AB$4/12))</f>
        <v/>
      </c>
      <c r="AC15" s="34">
        <f>IF(OR(in_mode_sale=1,AC$4&lt;R_Start,AC$4&gt;R_Exit),0,D_Saleable*R_Rent*(1+in_rent_growth_pct)^(AC$4/12))</f>
        <v/>
      </c>
      <c r="AD15" s="34">
        <f>IF(OR(in_mode_sale=1,AD$4&lt;R_Start,AD$4&gt;R_Exit),0,D_Saleable*R_Rent*(1+in_rent_growth_pct)^(AD$4/12))</f>
        <v/>
      </c>
      <c r="AE15" s="34">
        <f>IF(OR(in_mode_sale=1,AE$4&lt;R_Start,AE$4&gt;R_Exit),0,D_Saleable*R_Rent*(1+in_rent_growth_pct)^(AE$4/12))</f>
        <v/>
      </c>
      <c r="AF15" s="34">
        <f>IF(OR(in_mode_sale=1,AF$4&lt;R_Start,AF$4&gt;R_Exit),0,D_Saleable*R_Rent*(1+in_rent_growth_pct)^(AF$4/12))</f>
        <v/>
      </c>
      <c r="AG15" s="34">
        <f>IF(OR(in_mode_sale=1,AG$4&lt;R_Start,AG$4&gt;R_Exit),0,D_Saleable*R_Rent*(1+in_rent_growth_pct)^(AG$4/12))</f>
        <v/>
      </c>
      <c r="AH15" s="34">
        <f>IF(OR(in_mode_sale=1,AH$4&lt;R_Start,AH$4&gt;R_Exit),0,D_Saleable*R_Rent*(1+in_rent_growth_pct)^(AH$4/12))</f>
        <v/>
      </c>
      <c r="AI15" s="34">
        <f>IF(OR(in_mode_sale=1,AI$4&lt;R_Start,AI$4&gt;R_Exit),0,D_Saleable*R_Rent*(1+in_rent_growth_pct)^(AI$4/12))</f>
        <v/>
      </c>
      <c r="AJ15" s="34">
        <f>IF(OR(in_mode_sale=1,AJ$4&lt;R_Start,AJ$4&gt;R_Exit),0,D_Saleable*R_Rent*(1+in_rent_growth_pct)^(AJ$4/12))</f>
        <v/>
      </c>
      <c r="AK15" s="34">
        <f>IF(OR(in_mode_sale=1,AK$4&lt;R_Start,AK$4&gt;R_Exit),0,D_Saleable*R_Rent*(1+in_rent_growth_pct)^(AK$4/12))</f>
        <v/>
      </c>
      <c r="AL15" s="34">
        <f>IF(OR(in_mode_sale=1,AL$4&lt;R_Start,AL$4&gt;R_Exit),0,D_Saleable*R_Rent*(1+in_rent_growth_pct)^(AL$4/12))</f>
        <v/>
      </c>
      <c r="AM15" s="34">
        <f>IF(OR(in_mode_sale=1,AM$4&lt;R_Start,AM$4&gt;R_Exit),0,D_Saleable*R_Rent*(1+in_rent_growth_pct)^(AM$4/12))</f>
        <v/>
      </c>
      <c r="AN15" s="34">
        <f>IF(OR(in_mode_sale=1,AN$4&lt;R_Start,AN$4&gt;R_Exit),0,D_Saleable*R_Rent*(1+in_rent_growth_pct)^(AN$4/12))</f>
        <v/>
      </c>
      <c r="AO15" s="34">
        <f>IF(OR(in_mode_sale=1,AO$4&lt;R_Start,AO$4&gt;R_Exit),0,D_Saleable*R_Rent*(1+in_rent_growth_pct)^(AO$4/12))</f>
        <v/>
      </c>
      <c r="AP15" s="34">
        <f>IF(OR(in_mode_sale=1,AP$4&lt;R_Start,AP$4&gt;R_Exit),0,D_Saleable*R_Rent*(1+in_rent_growth_pct)^(AP$4/12))</f>
        <v/>
      </c>
      <c r="AQ15" s="34">
        <f>IF(OR(in_mode_sale=1,AQ$4&lt;R_Start,AQ$4&gt;R_Exit),0,D_Saleable*R_Rent*(1+in_rent_growth_pct)^(AQ$4/12))</f>
        <v/>
      </c>
      <c r="AR15" s="34">
        <f>IF(OR(in_mode_sale=1,AR$4&lt;R_Start,AR$4&gt;R_Exit),0,D_Saleable*R_Rent*(1+in_rent_growth_pct)^(AR$4/12))</f>
        <v/>
      </c>
      <c r="AS15" s="34">
        <f>IF(OR(in_mode_sale=1,AS$4&lt;R_Start,AS$4&gt;R_Exit),0,D_Saleable*R_Rent*(1+in_rent_growth_pct)^(AS$4/12))</f>
        <v/>
      </c>
      <c r="AT15" s="34">
        <f>IF(OR(in_mode_sale=1,AT$4&lt;R_Start,AT$4&gt;R_Exit),0,D_Saleable*R_Rent*(1+in_rent_growth_pct)^(AT$4/12))</f>
        <v/>
      </c>
      <c r="AU15" s="34">
        <f>IF(OR(in_mode_sale=1,AU$4&lt;R_Start,AU$4&gt;R_Exit),0,D_Saleable*R_Rent*(1+in_rent_growth_pct)^(AU$4/12))</f>
        <v/>
      </c>
      <c r="AV15" s="34">
        <f>IF(OR(in_mode_sale=1,AV$4&lt;R_Start,AV$4&gt;R_Exit),0,D_Saleable*R_Rent*(1+in_rent_growth_pct)^(AV$4/12))</f>
        <v/>
      </c>
      <c r="AW15" s="34">
        <f>IF(OR(in_mode_sale=1,AW$4&lt;R_Start,AW$4&gt;R_Exit),0,D_Saleable*R_Rent*(1+in_rent_growth_pct)^(AW$4/12))</f>
        <v/>
      </c>
      <c r="AX15" s="34">
        <f>IF(OR(in_mode_sale=1,AX$4&lt;R_Start,AX$4&gt;R_Exit),0,D_Saleable*R_Rent*(1+in_rent_growth_pct)^(AX$4/12))</f>
        <v/>
      </c>
      <c r="AY15" s="34">
        <f>IF(OR(in_mode_sale=1,AY$4&lt;R_Start,AY$4&gt;R_Exit),0,D_Saleable*R_Rent*(1+in_rent_growth_pct)^(AY$4/12))</f>
        <v/>
      </c>
      <c r="AZ15" s="34">
        <f>IF(OR(in_mode_sale=1,AZ$4&lt;R_Start,AZ$4&gt;R_Exit),0,D_Saleable*R_Rent*(1+in_rent_growth_pct)^(AZ$4/12))</f>
        <v/>
      </c>
      <c r="BA15" s="34">
        <f>IF(OR(in_mode_sale=1,BA$4&lt;R_Start,BA$4&gt;R_Exit),0,D_Saleable*R_Rent*(1+in_rent_growth_pct)^(BA$4/12))</f>
        <v/>
      </c>
      <c r="BB15" s="34">
        <f>IF(OR(in_mode_sale=1,BB$4&lt;R_Start,BB$4&gt;R_Exit),0,D_Saleable*R_Rent*(1+in_rent_growth_pct)^(BB$4/12))</f>
        <v/>
      </c>
      <c r="BC15" s="34">
        <f>IF(OR(in_mode_sale=1,BC$4&lt;R_Start,BC$4&gt;R_Exit),0,D_Saleable*R_Rent*(1+in_rent_growth_pct)^(BC$4/12))</f>
        <v/>
      </c>
      <c r="BD15" s="34">
        <f>IF(OR(in_mode_sale=1,BD$4&lt;R_Start,BD$4&gt;R_Exit),0,D_Saleable*R_Rent*(1+in_rent_growth_pct)^(BD$4/12))</f>
        <v/>
      </c>
      <c r="BE15" s="34">
        <f>IF(OR(in_mode_sale=1,BE$4&lt;R_Start,BE$4&gt;R_Exit),0,D_Saleable*R_Rent*(1+in_rent_growth_pct)^(BE$4/12))</f>
        <v/>
      </c>
      <c r="BF15" s="34">
        <f>IF(OR(in_mode_sale=1,BF$4&lt;R_Start,BF$4&gt;R_Exit),0,D_Saleable*R_Rent*(1+in_rent_growth_pct)^(BF$4/12))</f>
        <v/>
      </c>
      <c r="BG15" s="34">
        <f>IF(OR(in_mode_sale=1,BG$4&lt;R_Start,BG$4&gt;R_Exit),0,D_Saleable*R_Rent*(1+in_rent_growth_pct)^(BG$4/12))</f>
        <v/>
      </c>
      <c r="BH15" s="34">
        <f>IF(OR(in_mode_sale=1,BH$4&lt;R_Start,BH$4&gt;R_Exit),0,D_Saleable*R_Rent*(1+in_rent_growth_pct)^(BH$4/12))</f>
        <v/>
      </c>
      <c r="BI15" s="34">
        <f>IF(OR(in_mode_sale=1,BI$4&lt;R_Start,BI$4&gt;R_Exit),0,D_Saleable*R_Rent*(1+in_rent_growth_pct)^(BI$4/12))</f>
        <v/>
      </c>
      <c r="BJ15" s="34">
        <f>IF(OR(in_mode_sale=1,BJ$4&lt;R_Start,BJ$4&gt;R_Exit),0,D_Saleable*R_Rent*(1+in_rent_growth_pct)^(BJ$4/12))</f>
        <v/>
      </c>
      <c r="BK15" s="34">
        <f>IF(OR(in_mode_sale=1,BK$4&lt;R_Start,BK$4&gt;R_Exit),0,D_Saleable*R_Rent*(1+in_rent_growth_pct)^(BK$4/12))</f>
        <v/>
      </c>
      <c r="BL15" s="34">
        <f>IF(OR(in_mode_sale=1,BL$4&lt;R_Start,BL$4&gt;R_Exit),0,D_Saleable*R_Rent*(1+in_rent_growth_pct)^(BL$4/12))</f>
        <v/>
      </c>
      <c r="BM15" s="34">
        <f>IF(OR(in_mode_sale=1,BM$4&lt;R_Start,BM$4&gt;R_Exit),0,D_Saleable*R_Rent*(1+in_rent_growth_pct)^(BM$4/12))</f>
        <v/>
      </c>
      <c r="BN15" s="34">
        <f>IF(OR(in_mode_sale=1,BN$4&lt;R_Start,BN$4&gt;R_Exit),0,D_Saleable*R_Rent*(1+in_rent_growth_pct)^(BN$4/12))</f>
        <v/>
      </c>
      <c r="BO15" s="34">
        <f>IF(OR(in_mode_sale=1,BO$4&lt;R_Start,BO$4&gt;R_Exit),0,D_Saleable*R_Rent*(1+in_rent_growth_pct)^(BO$4/12))</f>
        <v/>
      </c>
      <c r="BP15" s="34">
        <f>IF(OR(in_mode_sale=1,BP$4&lt;R_Start,BP$4&gt;R_Exit),0,D_Saleable*R_Rent*(1+in_rent_growth_pct)^(BP$4/12))</f>
        <v/>
      </c>
      <c r="BQ15" s="34">
        <f>IF(OR(in_mode_sale=1,BQ$4&lt;R_Start,BQ$4&gt;R_Exit),0,D_Saleable*R_Rent*(1+in_rent_growth_pct)^(BQ$4/12))</f>
        <v/>
      </c>
      <c r="BR15" s="34">
        <f>IF(OR(in_mode_sale=1,BR$4&lt;R_Start,BR$4&gt;R_Exit),0,D_Saleable*R_Rent*(1+in_rent_growth_pct)^(BR$4/12))</f>
        <v/>
      </c>
      <c r="BS15" s="34">
        <f>IF(OR(in_mode_sale=1,BS$4&lt;R_Start,BS$4&gt;R_Exit),0,D_Saleable*R_Rent*(1+in_rent_growth_pct)^(BS$4/12))</f>
        <v/>
      </c>
      <c r="BT15" s="34">
        <f>IF(OR(in_mode_sale=1,BT$4&lt;R_Start,BT$4&gt;R_Exit),0,D_Saleable*R_Rent*(1+in_rent_growth_pct)^(BT$4/12))</f>
        <v/>
      </c>
      <c r="BU15" s="34">
        <f>IF(OR(in_mode_sale=1,BU$4&lt;R_Start,BU$4&gt;R_Exit),0,D_Saleable*R_Rent*(1+in_rent_growth_pct)^(BU$4/12))</f>
        <v/>
      </c>
      <c r="BV15" s="34">
        <f>IF(OR(in_mode_sale=1,BV$4&lt;R_Start,BV$4&gt;R_Exit),0,D_Saleable*R_Rent*(1+in_rent_growth_pct)^(BV$4/12))</f>
        <v/>
      </c>
      <c r="BW15" s="34">
        <f>IF(OR(in_mode_sale=1,BW$4&lt;R_Start,BW$4&gt;R_Exit),0,D_Saleable*R_Rent*(1+in_rent_growth_pct)^(BW$4/12))</f>
        <v/>
      </c>
      <c r="BX15" s="34">
        <f>IF(OR(in_mode_sale=1,BX$4&lt;R_Start,BX$4&gt;R_Exit),0,D_Saleable*R_Rent*(1+in_rent_growth_pct)^(BX$4/12))</f>
        <v/>
      </c>
      <c r="BY15" s="34">
        <f>IF(OR(in_mode_sale=1,BY$4&lt;R_Start,BY$4&gt;R_Exit),0,D_Saleable*R_Rent*(1+in_rent_growth_pct)^(BY$4/12))</f>
        <v/>
      </c>
      <c r="BZ15" s="34">
        <f>IF(OR(in_mode_sale=1,BZ$4&lt;R_Start,BZ$4&gt;R_Exit),0,D_Saleable*R_Rent*(1+in_rent_growth_pct)^(BZ$4/12))</f>
        <v/>
      </c>
      <c r="CA15" s="34">
        <f>IF(OR(in_mode_sale=1,CA$4&lt;R_Start,CA$4&gt;R_Exit),0,D_Saleable*R_Rent*(1+in_rent_growth_pct)^(CA$4/12))</f>
        <v/>
      </c>
      <c r="CB15" s="34">
        <f>IF(OR(in_mode_sale=1,CB$4&lt;R_Start,CB$4&gt;R_Exit),0,D_Saleable*R_Rent*(1+in_rent_growth_pct)^(CB$4/12))</f>
        <v/>
      </c>
      <c r="CC15" s="34">
        <f>IF(OR(in_mode_sale=1,CC$4&lt;R_Start,CC$4&gt;R_Exit),0,D_Saleable*R_Rent*(1+in_rent_growth_pct)^(CC$4/12))</f>
        <v/>
      </c>
      <c r="CD15" s="34">
        <f>IF(OR(in_mode_sale=1,CD$4&lt;R_Start,CD$4&gt;R_Exit),0,D_Saleable*R_Rent*(1+in_rent_growth_pct)^(CD$4/12))</f>
        <v/>
      </c>
      <c r="CE15" s="34">
        <f>IF(OR(in_mode_sale=1,CE$4&lt;R_Start,CE$4&gt;R_Exit),0,D_Saleable*R_Rent*(1+in_rent_growth_pct)^(CE$4/12))</f>
        <v/>
      </c>
      <c r="CF15" s="34">
        <f>IF(OR(in_mode_sale=1,CF$4&lt;R_Start,CF$4&gt;R_Exit),0,D_Saleable*R_Rent*(1+in_rent_growth_pct)^(CF$4/12))</f>
        <v/>
      </c>
      <c r="CG15" s="34">
        <f>IF(OR(in_mode_sale=1,CG$4&lt;R_Start,CG$4&gt;R_Exit),0,D_Saleable*R_Rent*(1+in_rent_growth_pct)^(CG$4/12))</f>
        <v/>
      </c>
      <c r="CH15" s="34">
        <f>IF(OR(in_mode_sale=1,CH$4&lt;R_Start,CH$4&gt;R_Exit),0,D_Saleable*R_Rent*(1+in_rent_growth_pct)^(CH$4/12))</f>
        <v/>
      </c>
      <c r="CI15" s="34">
        <f>IF(OR(in_mode_sale=1,CI$4&lt;R_Start,CI$4&gt;R_Exit),0,D_Saleable*R_Rent*(1+in_rent_growth_pct)^(CI$4/12))</f>
        <v/>
      </c>
      <c r="CJ15" s="34">
        <f>IF(OR(in_mode_sale=1,CJ$4&lt;R_Start,CJ$4&gt;R_Exit),0,D_Saleable*R_Rent*(1+in_rent_growth_pct)^(CJ$4/12))</f>
        <v/>
      </c>
      <c r="CK15" s="34">
        <f>IF(OR(in_mode_sale=1,CK$4&lt;R_Start,CK$4&gt;R_Exit),0,D_Saleable*R_Rent*(1+in_rent_growth_pct)^(CK$4/12))</f>
        <v/>
      </c>
      <c r="CL15" s="34">
        <f>IF(OR(in_mode_sale=1,CL$4&lt;R_Start,CL$4&gt;R_Exit),0,D_Saleable*R_Rent*(1+in_rent_growth_pct)^(CL$4/12))</f>
        <v/>
      </c>
      <c r="CM15" s="34">
        <f>IF(OR(in_mode_sale=1,CM$4&lt;R_Start,CM$4&gt;R_Exit),0,D_Saleable*R_Rent*(1+in_rent_growth_pct)^(CM$4/12))</f>
        <v/>
      </c>
      <c r="CN15" s="34">
        <f>IF(OR(in_mode_sale=1,CN$4&lt;R_Start,CN$4&gt;R_Exit),0,D_Saleable*R_Rent*(1+in_rent_growth_pct)^(CN$4/12))</f>
        <v/>
      </c>
      <c r="CO15" s="34">
        <f>IF(OR(in_mode_sale=1,CO$4&lt;R_Start,CO$4&gt;R_Exit),0,D_Saleable*R_Rent*(1+in_rent_growth_pct)^(CO$4/12))</f>
        <v/>
      </c>
      <c r="CP15" s="34">
        <f>IF(OR(in_mode_sale=1,CP$4&lt;R_Start,CP$4&gt;R_Exit),0,D_Saleable*R_Rent*(1+in_rent_growth_pct)^(CP$4/12))</f>
        <v/>
      </c>
      <c r="CQ15" s="34">
        <f>IF(OR(in_mode_sale=1,CQ$4&lt;R_Start,CQ$4&gt;R_Exit),0,D_Saleable*R_Rent*(1+in_rent_growth_pct)^(CQ$4/12))</f>
        <v/>
      </c>
      <c r="CR15" s="34">
        <f>IF(OR(in_mode_sale=1,CR$4&lt;R_Start,CR$4&gt;R_Exit),0,D_Saleable*R_Rent*(1+in_rent_growth_pct)^(CR$4/12))</f>
        <v/>
      </c>
      <c r="CS15" s="34">
        <f>IF(OR(in_mode_sale=1,CS$4&lt;R_Start,CS$4&gt;R_Exit),0,D_Saleable*R_Rent*(1+in_rent_growth_pct)^(CS$4/12))</f>
        <v/>
      </c>
      <c r="CT15" s="34">
        <f>IF(OR(in_mode_sale=1,CT$4&lt;R_Start,CT$4&gt;R_Exit),0,D_Saleable*R_Rent*(1+in_rent_growth_pct)^(CT$4/12))</f>
        <v/>
      </c>
      <c r="CU15" s="34">
        <f>IF(OR(in_mode_sale=1,CU$4&lt;R_Start,CU$4&gt;R_Exit),0,D_Saleable*R_Rent*(1+in_rent_growth_pct)^(CU$4/12))</f>
        <v/>
      </c>
    </row>
    <row r="16">
      <c r="A16" s="7" t="inlineStr">
        <is>
          <t>Effective gross income</t>
        </is>
      </c>
      <c r="B16" s="21">
        <f>SUM(D16:CU16)</f>
        <v/>
      </c>
      <c r="C16" s="11" t="inlineStr"/>
      <c r="D16" s="34">
        <f>D15*D14*(1-in_rent_concessions_pct)</f>
        <v/>
      </c>
      <c r="E16" s="34">
        <f>E15*E14*(1-in_rent_concessions_pct)</f>
        <v/>
      </c>
      <c r="F16" s="34">
        <f>F15*F14*(1-in_rent_concessions_pct)</f>
        <v/>
      </c>
      <c r="G16" s="34">
        <f>G15*G14*(1-in_rent_concessions_pct)</f>
        <v/>
      </c>
      <c r="H16" s="34">
        <f>H15*H14*(1-in_rent_concessions_pct)</f>
        <v/>
      </c>
      <c r="I16" s="34">
        <f>I15*I14*(1-in_rent_concessions_pct)</f>
        <v/>
      </c>
      <c r="J16" s="34">
        <f>J15*J14*(1-in_rent_concessions_pct)</f>
        <v/>
      </c>
      <c r="K16" s="34">
        <f>K15*K14*(1-in_rent_concessions_pct)</f>
        <v/>
      </c>
      <c r="L16" s="34">
        <f>L15*L14*(1-in_rent_concessions_pct)</f>
        <v/>
      </c>
      <c r="M16" s="34">
        <f>M15*M14*(1-in_rent_concessions_pct)</f>
        <v/>
      </c>
      <c r="N16" s="34">
        <f>N15*N14*(1-in_rent_concessions_pct)</f>
        <v/>
      </c>
      <c r="O16" s="34">
        <f>O15*O14*(1-in_rent_concessions_pct)</f>
        <v/>
      </c>
      <c r="P16" s="34">
        <f>P15*P14*(1-in_rent_concessions_pct)</f>
        <v/>
      </c>
      <c r="Q16" s="34">
        <f>Q15*Q14*(1-in_rent_concessions_pct)</f>
        <v/>
      </c>
      <c r="R16" s="34">
        <f>R15*R14*(1-in_rent_concessions_pct)</f>
        <v/>
      </c>
      <c r="S16" s="34">
        <f>S15*S14*(1-in_rent_concessions_pct)</f>
        <v/>
      </c>
      <c r="T16" s="34">
        <f>T15*T14*(1-in_rent_concessions_pct)</f>
        <v/>
      </c>
      <c r="U16" s="34">
        <f>U15*U14*(1-in_rent_concessions_pct)</f>
        <v/>
      </c>
      <c r="V16" s="34">
        <f>V15*V14*(1-in_rent_concessions_pct)</f>
        <v/>
      </c>
      <c r="W16" s="34">
        <f>W15*W14*(1-in_rent_concessions_pct)</f>
        <v/>
      </c>
      <c r="X16" s="34">
        <f>X15*X14*(1-in_rent_concessions_pct)</f>
        <v/>
      </c>
      <c r="Y16" s="34">
        <f>Y15*Y14*(1-in_rent_concessions_pct)</f>
        <v/>
      </c>
      <c r="Z16" s="34">
        <f>Z15*Z14*(1-in_rent_concessions_pct)</f>
        <v/>
      </c>
      <c r="AA16" s="34">
        <f>AA15*AA14*(1-in_rent_concessions_pct)</f>
        <v/>
      </c>
      <c r="AB16" s="34">
        <f>AB15*AB14*(1-in_rent_concessions_pct)</f>
        <v/>
      </c>
      <c r="AC16" s="34">
        <f>AC15*AC14*(1-in_rent_concessions_pct)</f>
        <v/>
      </c>
      <c r="AD16" s="34">
        <f>AD15*AD14*(1-in_rent_concessions_pct)</f>
        <v/>
      </c>
      <c r="AE16" s="34">
        <f>AE15*AE14*(1-in_rent_concessions_pct)</f>
        <v/>
      </c>
      <c r="AF16" s="34">
        <f>AF15*AF14*(1-in_rent_concessions_pct)</f>
        <v/>
      </c>
      <c r="AG16" s="34">
        <f>AG15*AG14*(1-in_rent_concessions_pct)</f>
        <v/>
      </c>
      <c r="AH16" s="34">
        <f>AH15*AH14*(1-in_rent_concessions_pct)</f>
        <v/>
      </c>
      <c r="AI16" s="34">
        <f>AI15*AI14*(1-in_rent_concessions_pct)</f>
        <v/>
      </c>
      <c r="AJ16" s="34">
        <f>AJ15*AJ14*(1-in_rent_concessions_pct)</f>
        <v/>
      </c>
      <c r="AK16" s="34">
        <f>AK15*AK14*(1-in_rent_concessions_pct)</f>
        <v/>
      </c>
      <c r="AL16" s="34">
        <f>AL15*AL14*(1-in_rent_concessions_pct)</f>
        <v/>
      </c>
      <c r="AM16" s="34">
        <f>AM15*AM14*(1-in_rent_concessions_pct)</f>
        <v/>
      </c>
      <c r="AN16" s="34">
        <f>AN15*AN14*(1-in_rent_concessions_pct)</f>
        <v/>
      </c>
      <c r="AO16" s="34">
        <f>AO15*AO14*(1-in_rent_concessions_pct)</f>
        <v/>
      </c>
      <c r="AP16" s="34">
        <f>AP15*AP14*(1-in_rent_concessions_pct)</f>
        <v/>
      </c>
      <c r="AQ16" s="34">
        <f>AQ15*AQ14*(1-in_rent_concessions_pct)</f>
        <v/>
      </c>
      <c r="AR16" s="34">
        <f>AR15*AR14*(1-in_rent_concessions_pct)</f>
        <v/>
      </c>
      <c r="AS16" s="34">
        <f>AS15*AS14*(1-in_rent_concessions_pct)</f>
        <v/>
      </c>
      <c r="AT16" s="34">
        <f>AT15*AT14*(1-in_rent_concessions_pct)</f>
        <v/>
      </c>
      <c r="AU16" s="34">
        <f>AU15*AU14*(1-in_rent_concessions_pct)</f>
        <v/>
      </c>
      <c r="AV16" s="34">
        <f>AV15*AV14*(1-in_rent_concessions_pct)</f>
        <v/>
      </c>
      <c r="AW16" s="34">
        <f>AW15*AW14*(1-in_rent_concessions_pct)</f>
        <v/>
      </c>
      <c r="AX16" s="34">
        <f>AX15*AX14*(1-in_rent_concessions_pct)</f>
        <v/>
      </c>
      <c r="AY16" s="34">
        <f>AY15*AY14*(1-in_rent_concessions_pct)</f>
        <v/>
      </c>
      <c r="AZ16" s="34">
        <f>AZ15*AZ14*(1-in_rent_concessions_pct)</f>
        <v/>
      </c>
      <c r="BA16" s="34">
        <f>BA15*BA14*(1-in_rent_concessions_pct)</f>
        <v/>
      </c>
      <c r="BB16" s="34">
        <f>BB15*BB14*(1-in_rent_concessions_pct)</f>
        <v/>
      </c>
      <c r="BC16" s="34">
        <f>BC15*BC14*(1-in_rent_concessions_pct)</f>
        <v/>
      </c>
      <c r="BD16" s="34">
        <f>BD15*BD14*(1-in_rent_concessions_pct)</f>
        <v/>
      </c>
      <c r="BE16" s="34">
        <f>BE15*BE14*(1-in_rent_concessions_pct)</f>
        <v/>
      </c>
      <c r="BF16" s="34">
        <f>BF15*BF14*(1-in_rent_concessions_pct)</f>
        <v/>
      </c>
      <c r="BG16" s="34">
        <f>BG15*BG14*(1-in_rent_concessions_pct)</f>
        <v/>
      </c>
      <c r="BH16" s="34">
        <f>BH15*BH14*(1-in_rent_concessions_pct)</f>
        <v/>
      </c>
      <c r="BI16" s="34">
        <f>BI15*BI14*(1-in_rent_concessions_pct)</f>
        <v/>
      </c>
      <c r="BJ16" s="34">
        <f>BJ15*BJ14*(1-in_rent_concessions_pct)</f>
        <v/>
      </c>
      <c r="BK16" s="34">
        <f>BK15*BK14*(1-in_rent_concessions_pct)</f>
        <v/>
      </c>
      <c r="BL16" s="34">
        <f>BL15*BL14*(1-in_rent_concessions_pct)</f>
        <v/>
      </c>
      <c r="BM16" s="34">
        <f>BM15*BM14*(1-in_rent_concessions_pct)</f>
        <v/>
      </c>
      <c r="BN16" s="34">
        <f>BN15*BN14*(1-in_rent_concessions_pct)</f>
        <v/>
      </c>
      <c r="BO16" s="34">
        <f>BO15*BO14*(1-in_rent_concessions_pct)</f>
        <v/>
      </c>
      <c r="BP16" s="34">
        <f>BP15*BP14*(1-in_rent_concessions_pct)</f>
        <v/>
      </c>
      <c r="BQ16" s="34">
        <f>BQ15*BQ14*(1-in_rent_concessions_pct)</f>
        <v/>
      </c>
      <c r="BR16" s="34">
        <f>BR15*BR14*(1-in_rent_concessions_pct)</f>
        <v/>
      </c>
      <c r="BS16" s="34">
        <f>BS15*BS14*(1-in_rent_concessions_pct)</f>
        <v/>
      </c>
      <c r="BT16" s="34">
        <f>BT15*BT14*(1-in_rent_concessions_pct)</f>
        <v/>
      </c>
      <c r="BU16" s="34">
        <f>BU15*BU14*(1-in_rent_concessions_pct)</f>
        <v/>
      </c>
      <c r="BV16" s="34">
        <f>BV15*BV14*(1-in_rent_concessions_pct)</f>
        <v/>
      </c>
      <c r="BW16" s="34">
        <f>BW15*BW14*(1-in_rent_concessions_pct)</f>
        <v/>
      </c>
      <c r="BX16" s="34">
        <f>BX15*BX14*(1-in_rent_concessions_pct)</f>
        <v/>
      </c>
      <c r="BY16" s="34">
        <f>BY15*BY14*(1-in_rent_concessions_pct)</f>
        <v/>
      </c>
      <c r="BZ16" s="34">
        <f>BZ15*BZ14*(1-in_rent_concessions_pct)</f>
        <v/>
      </c>
      <c r="CA16" s="34">
        <f>CA15*CA14*(1-in_rent_concessions_pct)</f>
        <v/>
      </c>
      <c r="CB16" s="34">
        <f>CB15*CB14*(1-in_rent_concessions_pct)</f>
        <v/>
      </c>
      <c r="CC16" s="34">
        <f>CC15*CC14*(1-in_rent_concessions_pct)</f>
        <v/>
      </c>
      <c r="CD16" s="34">
        <f>CD15*CD14*(1-in_rent_concessions_pct)</f>
        <v/>
      </c>
      <c r="CE16" s="34">
        <f>CE15*CE14*(1-in_rent_concessions_pct)</f>
        <v/>
      </c>
      <c r="CF16" s="34">
        <f>CF15*CF14*(1-in_rent_concessions_pct)</f>
        <v/>
      </c>
      <c r="CG16" s="34">
        <f>CG15*CG14*(1-in_rent_concessions_pct)</f>
        <v/>
      </c>
      <c r="CH16" s="34">
        <f>CH15*CH14*(1-in_rent_concessions_pct)</f>
        <v/>
      </c>
      <c r="CI16" s="34">
        <f>CI15*CI14*(1-in_rent_concessions_pct)</f>
        <v/>
      </c>
      <c r="CJ16" s="34">
        <f>CJ15*CJ14*(1-in_rent_concessions_pct)</f>
        <v/>
      </c>
      <c r="CK16" s="34">
        <f>CK15*CK14*(1-in_rent_concessions_pct)</f>
        <v/>
      </c>
      <c r="CL16" s="34">
        <f>CL15*CL14*(1-in_rent_concessions_pct)</f>
        <v/>
      </c>
      <c r="CM16" s="34">
        <f>CM15*CM14*(1-in_rent_concessions_pct)</f>
        <v/>
      </c>
      <c r="CN16" s="34">
        <f>CN15*CN14*(1-in_rent_concessions_pct)</f>
        <v/>
      </c>
      <c r="CO16" s="34">
        <f>CO15*CO14*(1-in_rent_concessions_pct)</f>
        <v/>
      </c>
      <c r="CP16" s="34">
        <f>CP15*CP14*(1-in_rent_concessions_pct)</f>
        <v/>
      </c>
      <c r="CQ16" s="34">
        <f>CQ15*CQ14*(1-in_rent_concessions_pct)</f>
        <v/>
      </c>
      <c r="CR16" s="34">
        <f>CR15*CR14*(1-in_rent_concessions_pct)</f>
        <v/>
      </c>
      <c r="CS16" s="34">
        <f>CS15*CS14*(1-in_rent_concessions_pct)</f>
        <v/>
      </c>
      <c r="CT16" s="34">
        <f>CT15*CT14*(1-in_rent_concessions_pct)</f>
        <v/>
      </c>
      <c r="CU16" s="34">
        <f>CU15*CU14*(1-in_rent_concessions_pct)</f>
        <v/>
      </c>
    </row>
    <row r="17">
      <c r="A17" s="7" t="inlineStr">
        <is>
          <t>Operating expenses (net of owner savings)</t>
        </is>
      </c>
      <c r="B17" s="21">
        <f>SUM(D17:CU17)</f>
        <v/>
      </c>
      <c r="C17" s="11" t="inlineStr"/>
      <c r="D17" s="34">
        <f>IF(OR(in_mode_sale=1,D$4&lt;R_Start,D$4&gt;R_Exit),0,D16*in_rent_opex_pct_egi-in_green_savings/12*(1+in_rent_growth_pct)^(D$4/12))</f>
        <v/>
      </c>
      <c r="E17" s="34">
        <f>IF(OR(in_mode_sale=1,E$4&lt;R_Start,E$4&gt;R_Exit),0,E16*in_rent_opex_pct_egi-in_green_savings/12*(1+in_rent_growth_pct)^(E$4/12))</f>
        <v/>
      </c>
      <c r="F17" s="34">
        <f>IF(OR(in_mode_sale=1,F$4&lt;R_Start,F$4&gt;R_Exit),0,F16*in_rent_opex_pct_egi-in_green_savings/12*(1+in_rent_growth_pct)^(F$4/12))</f>
        <v/>
      </c>
      <c r="G17" s="34">
        <f>IF(OR(in_mode_sale=1,G$4&lt;R_Start,G$4&gt;R_Exit),0,G16*in_rent_opex_pct_egi-in_green_savings/12*(1+in_rent_growth_pct)^(G$4/12))</f>
        <v/>
      </c>
      <c r="H17" s="34">
        <f>IF(OR(in_mode_sale=1,H$4&lt;R_Start,H$4&gt;R_Exit),0,H16*in_rent_opex_pct_egi-in_green_savings/12*(1+in_rent_growth_pct)^(H$4/12))</f>
        <v/>
      </c>
      <c r="I17" s="34">
        <f>IF(OR(in_mode_sale=1,I$4&lt;R_Start,I$4&gt;R_Exit),0,I16*in_rent_opex_pct_egi-in_green_savings/12*(1+in_rent_growth_pct)^(I$4/12))</f>
        <v/>
      </c>
      <c r="J17" s="34">
        <f>IF(OR(in_mode_sale=1,J$4&lt;R_Start,J$4&gt;R_Exit),0,J16*in_rent_opex_pct_egi-in_green_savings/12*(1+in_rent_growth_pct)^(J$4/12))</f>
        <v/>
      </c>
      <c r="K17" s="34">
        <f>IF(OR(in_mode_sale=1,K$4&lt;R_Start,K$4&gt;R_Exit),0,K16*in_rent_opex_pct_egi-in_green_savings/12*(1+in_rent_growth_pct)^(K$4/12))</f>
        <v/>
      </c>
      <c r="L17" s="34">
        <f>IF(OR(in_mode_sale=1,L$4&lt;R_Start,L$4&gt;R_Exit),0,L16*in_rent_opex_pct_egi-in_green_savings/12*(1+in_rent_growth_pct)^(L$4/12))</f>
        <v/>
      </c>
      <c r="M17" s="34">
        <f>IF(OR(in_mode_sale=1,M$4&lt;R_Start,M$4&gt;R_Exit),0,M16*in_rent_opex_pct_egi-in_green_savings/12*(1+in_rent_growth_pct)^(M$4/12))</f>
        <v/>
      </c>
      <c r="N17" s="34">
        <f>IF(OR(in_mode_sale=1,N$4&lt;R_Start,N$4&gt;R_Exit),0,N16*in_rent_opex_pct_egi-in_green_savings/12*(1+in_rent_growth_pct)^(N$4/12))</f>
        <v/>
      </c>
      <c r="O17" s="34">
        <f>IF(OR(in_mode_sale=1,O$4&lt;R_Start,O$4&gt;R_Exit),0,O16*in_rent_opex_pct_egi-in_green_savings/12*(1+in_rent_growth_pct)^(O$4/12))</f>
        <v/>
      </c>
      <c r="P17" s="34">
        <f>IF(OR(in_mode_sale=1,P$4&lt;R_Start,P$4&gt;R_Exit),0,P16*in_rent_opex_pct_egi-in_green_savings/12*(1+in_rent_growth_pct)^(P$4/12))</f>
        <v/>
      </c>
      <c r="Q17" s="34">
        <f>IF(OR(in_mode_sale=1,Q$4&lt;R_Start,Q$4&gt;R_Exit),0,Q16*in_rent_opex_pct_egi-in_green_savings/12*(1+in_rent_growth_pct)^(Q$4/12))</f>
        <v/>
      </c>
      <c r="R17" s="34">
        <f>IF(OR(in_mode_sale=1,R$4&lt;R_Start,R$4&gt;R_Exit),0,R16*in_rent_opex_pct_egi-in_green_savings/12*(1+in_rent_growth_pct)^(R$4/12))</f>
        <v/>
      </c>
      <c r="S17" s="34">
        <f>IF(OR(in_mode_sale=1,S$4&lt;R_Start,S$4&gt;R_Exit),0,S16*in_rent_opex_pct_egi-in_green_savings/12*(1+in_rent_growth_pct)^(S$4/12))</f>
        <v/>
      </c>
      <c r="T17" s="34">
        <f>IF(OR(in_mode_sale=1,T$4&lt;R_Start,T$4&gt;R_Exit),0,T16*in_rent_opex_pct_egi-in_green_savings/12*(1+in_rent_growth_pct)^(T$4/12))</f>
        <v/>
      </c>
      <c r="U17" s="34">
        <f>IF(OR(in_mode_sale=1,U$4&lt;R_Start,U$4&gt;R_Exit),0,U16*in_rent_opex_pct_egi-in_green_savings/12*(1+in_rent_growth_pct)^(U$4/12))</f>
        <v/>
      </c>
      <c r="V17" s="34">
        <f>IF(OR(in_mode_sale=1,V$4&lt;R_Start,V$4&gt;R_Exit),0,V16*in_rent_opex_pct_egi-in_green_savings/12*(1+in_rent_growth_pct)^(V$4/12))</f>
        <v/>
      </c>
      <c r="W17" s="34">
        <f>IF(OR(in_mode_sale=1,W$4&lt;R_Start,W$4&gt;R_Exit),0,W16*in_rent_opex_pct_egi-in_green_savings/12*(1+in_rent_growth_pct)^(W$4/12))</f>
        <v/>
      </c>
      <c r="X17" s="34">
        <f>IF(OR(in_mode_sale=1,X$4&lt;R_Start,X$4&gt;R_Exit),0,X16*in_rent_opex_pct_egi-in_green_savings/12*(1+in_rent_growth_pct)^(X$4/12))</f>
        <v/>
      </c>
      <c r="Y17" s="34">
        <f>IF(OR(in_mode_sale=1,Y$4&lt;R_Start,Y$4&gt;R_Exit),0,Y16*in_rent_opex_pct_egi-in_green_savings/12*(1+in_rent_growth_pct)^(Y$4/12))</f>
        <v/>
      </c>
      <c r="Z17" s="34">
        <f>IF(OR(in_mode_sale=1,Z$4&lt;R_Start,Z$4&gt;R_Exit),0,Z16*in_rent_opex_pct_egi-in_green_savings/12*(1+in_rent_growth_pct)^(Z$4/12))</f>
        <v/>
      </c>
      <c r="AA17" s="34">
        <f>IF(OR(in_mode_sale=1,AA$4&lt;R_Start,AA$4&gt;R_Exit),0,AA16*in_rent_opex_pct_egi-in_green_savings/12*(1+in_rent_growth_pct)^(AA$4/12))</f>
        <v/>
      </c>
      <c r="AB17" s="34">
        <f>IF(OR(in_mode_sale=1,AB$4&lt;R_Start,AB$4&gt;R_Exit),0,AB16*in_rent_opex_pct_egi-in_green_savings/12*(1+in_rent_growth_pct)^(AB$4/12))</f>
        <v/>
      </c>
      <c r="AC17" s="34">
        <f>IF(OR(in_mode_sale=1,AC$4&lt;R_Start,AC$4&gt;R_Exit),0,AC16*in_rent_opex_pct_egi-in_green_savings/12*(1+in_rent_growth_pct)^(AC$4/12))</f>
        <v/>
      </c>
      <c r="AD17" s="34">
        <f>IF(OR(in_mode_sale=1,AD$4&lt;R_Start,AD$4&gt;R_Exit),0,AD16*in_rent_opex_pct_egi-in_green_savings/12*(1+in_rent_growth_pct)^(AD$4/12))</f>
        <v/>
      </c>
      <c r="AE17" s="34">
        <f>IF(OR(in_mode_sale=1,AE$4&lt;R_Start,AE$4&gt;R_Exit),0,AE16*in_rent_opex_pct_egi-in_green_savings/12*(1+in_rent_growth_pct)^(AE$4/12))</f>
        <v/>
      </c>
      <c r="AF17" s="34">
        <f>IF(OR(in_mode_sale=1,AF$4&lt;R_Start,AF$4&gt;R_Exit),0,AF16*in_rent_opex_pct_egi-in_green_savings/12*(1+in_rent_growth_pct)^(AF$4/12))</f>
        <v/>
      </c>
      <c r="AG17" s="34">
        <f>IF(OR(in_mode_sale=1,AG$4&lt;R_Start,AG$4&gt;R_Exit),0,AG16*in_rent_opex_pct_egi-in_green_savings/12*(1+in_rent_growth_pct)^(AG$4/12))</f>
        <v/>
      </c>
      <c r="AH17" s="34">
        <f>IF(OR(in_mode_sale=1,AH$4&lt;R_Start,AH$4&gt;R_Exit),0,AH16*in_rent_opex_pct_egi-in_green_savings/12*(1+in_rent_growth_pct)^(AH$4/12))</f>
        <v/>
      </c>
      <c r="AI17" s="34">
        <f>IF(OR(in_mode_sale=1,AI$4&lt;R_Start,AI$4&gt;R_Exit),0,AI16*in_rent_opex_pct_egi-in_green_savings/12*(1+in_rent_growth_pct)^(AI$4/12))</f>
        <v/>
      </c>
      <c r="AJ17" s="34">
        <f>IF(OR(in_mode_sale=1,AJ$4&lt;R_Start,AJ$4&gt;R_Exit),0,AJ16*in_rent_opex_pct_egi-in_green_savings/12*(1+in_rent_growth_pct)^(AJ$4/12))</f>
        <v/>
      </c>
      <c r="AK17" s="34">
        <f>IF(OR(in_mode_sale=1,AK$4&lt;R_Start,AK$4&gt;R_Exit),0,AK16*in_rent_opex_pct_egi-in_green_savings/12*(1+in_rent_growth_pct)^(AK$4/12))</f>
        <v/>
      </c>
      <c r="AL17" s="34">
        <f>IF(OR(in_mode_sale=1,AL$4&lt;R_Start,AL$4&gt;R_Exit),0,AL16*in_rent_opex_pct_egi-in_green_savings/12*(1+in_rent_growth_pct)^(AL$4/12))</f>
        <v/>
      </c>
      <c r="AM17" s="34">
        <f>IF(OR(in_mode_sale=1,AM$4&lt;R_Start,AM$4&gt;R_Exit),0,AM16*in_rent_opex_pct_egi-in_green_savings/12*(1+in_rent_growth_pct)^(AM$4/12))</f>
        <v/>
      </c>
      <c r="AN17" s="34">
        <f>IF(OR(in_mode_sale=1,AN$4&lt;R_Start,AN$4&gt;R_Exit),0,AN16*in_rent_opex_pct_egi-in_green_savings/12*(1+in_rent_growth_pct)^(AN$4/12))</f>
        <v/>
      </c>
      <c r="AO17" s="34">
        <f>IF(OR(in_mode_sale=1,AO$4&lt;R_Start,AO$4&gt;R_Exit),0,AO16*in_rent_opex_pct_egi-in_green_savings/12*(1+in_rent_growth_pct)^(AO$4/12))</f>
        <v/>
      </c>
      <c r="AP17" s="34">
        <f>IF(OR(in_mode_sale=1,AP$4&lt;R_Start,AP$4&gt;R_Exit),0,AP16*in_rent_opex_pct_egi-in_green_savings/12*(1+in_rent_growth_pct)^(AP$4/12))</f>
        <v/>
      </c>
      <c r="AQ17" s="34">
        <f>IF(OR(in_mode_sale=1,AQ$4&lt;R_Start,AQ$4&gt;R_Exit),0,AQ16*in_rent_opex_pct_egi-in_green_savings/12*(1+in_rent_growth_pct)^(AQ$4/12))</f>
        <v/>
      </c>
      <c r="AR17" s="34">
        <f>IF(OR(in_mode_sale=1,AR$4&lt;R_Start,AR$4&gt;R_Exit),0,AR16*in_rent_opex_pct_egi-in_green_savings/12*(1+in_rent_growth_pct)^(AR$4/12))</f>
        <v/>
      </c>
      <c r="AS17" s="34">
        <f>IF(OR(in_mode_sale=1,AS$4&lt;R_Start,AS$4&gt;R_Exit),0,AS16*in_rent_opex_pct_egi-in_green_savings/12*(1+in_rent_growth_pct)^(AS$4/12))</f>
        <v/>
      </c>
      <c r="AT17" s="34">
        <f>IF(OR(in_mode_sale=1,AT$4&lt;R_Start,AT$4&gt;R_Exit),0,AT16*in_rent_opex_pct_egi-in_green_savings/12*(1+in_rent_growth_pct)^(AT$4/12))</f>
        <v/>
      </c>
      <c r="AU17" s="34">
        <f>IF(OR(in_mode_sale=1,AU$4&lt;R_Start,AU$4&gt;R_Exit),0,AU16*in_rent_opex_pct_egi-in_green_savings/12*(1+in_rent_growth_pct)^(AU$4/12))</f>
        <v/>
      </c>
      <c r="AV17" s="34">
        <f>IF(OR(in_mode_sale=1,AV$4&lt;R_Start,AV$4&gt;R_Exit),0,AV16*in_rent_opex_pct_egi-in_green_savings/12*(1+in_rent_growth_pct)^(AV$4/12))</f>
        <v/>
      </c>
      <c r="AW17" s="34">
        <f>IF(OR(in_mode_sale=1,AW$4&lt;R_Start,AW$4&gt;R_Exit),0,AW16*in_rent_opex_pct_egi-in_green_savings/12*(1+in_rent_growth_pct)^(AW$4/12))</f>
        <v/>
      </c>
      <c r="AX17" s="34">
        <f>IF(OR(in_mode_sale=1,AX$4&lt;R_Start,AX$4&gt;R_Exit),0,AX16*in_rent_opex_pct_egi-in_green_savings/12*(1+in_rent_growth_pct)^(AX$4/12))</f>
        <v/>
      </c>
      <c r="AY17" s="34">
        <f>IF(OR(in_mode_sale=1,AY$4&lt;R_Start,AY$4&gt;R_Exit),0,AY16*in_rent_opex_pct_egi-in_green_savings/12*(1+in_rent_growth_pct)^(AY$4/12))</f>
        <v/>
      </c>
      <c r="AZ17" s="34">
        <f>IF(OR(in_mode_sale=1,AZ$4&lt;R_Start,AZ$4&gt;R_Exit),0,AZ16*in_rent_opex_pct_egi-in_green_savings/12*(1+in_rent_growth_pct)^(AZ$4/12))</f>
        <v/>
      </c>
      <c r="BA17" s="34">
        <f>IF(OR(in_mode_sale=1,BA$4&lt;R_Start,BA$4&gt;R_Exit),0,BA16*in_rent_opex_pct_egi-in_green_savings/12*(1+in_rent_growth_pct)^(BA$4/12))</f>
        <v/>
      </c>
      <c r="BB17" s="34">
        <f>IF(OR(in_mode_sale=1,BB$4&lt;R_Start,BB$4&gt;R_Exit),0,BB16*in_rent_opex_pct_egi-in_green_savings/12*(1+in_rent_growth_pct)^(BB$4/12))</f>
        <v/>
      </c>
      <c r="BC17" s="34">
        <f>IF(OR(in_mode_sale=1,BC$4&lt;R_Start,BC$4&gt;R_Exit),0,BC16*in_rent_opex_pct_egi-in_green_savings/12*(1+in_rent_growth_pct)^(BC$4/12))</f>
        <v/>
      </c>
      <c r="BD17" s="34">
        <f>IF(OR(in_mode_sale=1,BD$4&lt;R_Start,BD$4&gt;R_Exit),0,BD16*in_rent_opex_pct_egi-in_green_savings/12*(1+in_rent_growth_pct)^(BD$4/12))</f>
        <v/>
      </c>
      <c r="BE17" s="34">
        <f>IF(OR(in_mode_sale=1,BE$4&lt;R_Start,BE$4&gt;R_Exit),0,BE16*in_rent_opex_pct_egi-in_green_savings/12*(1+in_rent_growth_pct)^(BE$4/12))</f>
        <v/>
      </c>
      <c r="BF17" s="34">
        <f>IF(OR(in_mode_sale=1,BF$4&lt;R_Start,BF$4&gt;R_Exit),0,BF16*in_rent_opex_pct_egi-in_green_savings/12*(1+in_rent_growth_pct)^(BF$4/12))</f>
        <v/>
      </c>
      <c r="BG17" s="34">
        <f>IF(OR(in_mode_sale=1,BG$4&lt;R_Start,BG$4&gt;R_Exit),0,BG16*in_rent_opex_pct_egi-in_green_savings/12*(1+in_rent_growth_pct)^(BG$4/12))</f>
        <v/>
      </c>
      <c r="BH17" s="34">
        <f>IF(OR(in_mode_sale=1,BH$4&lt;R_Start,BH$4&gt;R_Exit),0,BH16*in_rent_opex_pct_egi-in_green_savings/12*(1+in_rent_growth_pct)^(BH$4/12))</f>
        <v/>
      </c>
      <c r="BI17" s="34">
        <f>IF(OR(in_mode_sale=1,BI$4&lt;R_Start,BI$4&gt;R_Exit),0,BI16*in_rent_opex_pct_egi-in_green_savings/12*(1+in_rent_growth_pct)^(BI$4/12))</f>
        <v/>
      </c>
      <c r="BJ17" s="34">
        <f>IF(OR(in_mode_sale=1,BJ$4&lt;R_Start,BJ$4&gt;R_Exit),0,BJ16*in_rent_opex_pct_egi-in_green_savings/12*(1+in_rent_growth_pct)^(BJ$4/12))</f>
        <v/>
      </c>
      <c r="BK17" s="34">
        <f>IF(OR(in_mode_sale=1,BK$4&lt;R_Start,BK$4&gt;R_Exit),0,BK16*in_rent_opex_pct_egi-in_green_savings/12*(1+in_rent_growth_pct)^(BK$4/12))</f>
        <v/>
      </c>
      <c r="BL17" s="34">
        <f>IF(OR(in_mode_sale=1,BL$4&lt;R_Start,BL$4&gt;R_Exit),0,BL16*in_rent_opex_pct_egi-in_green_savings/12*(1+in_rent_growth_pct)^(BL$4/12))</f>
        <v/>
      </c>
      <c r="BM17" s="34">
        <f>IF(OR(in_mode_sale=1,BM$4&lt;R_Start,BM$4&gt;R_Exit),0,BM16*in_rent_opex_pct_egi-in_green_savings/12*(1+in_rent_growth_pct)^(BM$4/12))</f>
        <v/>
      </c>
      <c r="BN17" s="34">
        <f>IF(OR(in_mode_sale=1,BN$4&lt;R_Start,BN$4&gt;R_Exit),0,BN16*in_rent_opex_pct_egi-in_green_savings/12*(1+in_rent_growth_pct)^(BN$4/12))</f>
        <v/>
      </c>
      <c r="BO17" s="34">
        <f>IF(OR(in_mode_sale=1,BO$4&lt;R_Start,BO$4&gt;R_Exit),0,BO16*in_rent_opex_pct_egi-in_green_savings/12*(1+in_rent_growth_pct)^(BO$4/12))</f>
        <v/>
      </c>
      <c r="BP17" s="34">
        <f>IF(OR(in_mode_sale=1,BP$4&lt;R_Start,BP$4&gt;R_Exit),0,BP16*in_rent_opex_pct_egi-in_green_savings/12*(1+in_rent_growth_pct)^(BP$4/12))</f>
        <v/>
      </c>
      <c r="BQ17" s="34">
        <f>IF(OR(in_mode_sale=1,BQ$4&lt;R_Start,BQ$4&gt;R_Exit),0,BQ16*in_rent_opex_pct_egi-in_green_savings/12*(1+in_rent_growth_pct)^(BQ$4/12))</f>
        <v/>
      </c>
      <c r="BR17" s="34">
        <f>IF(OR(in_mode_sale=1,BR$4&lt;R_Start,BR$4&gt;R_Exit),0,BR16*in_rent_opex_pct_egi-in_green_savings/12*(1+in_rent_growth_pct)^(BR$4/12))</f>
        <v/>
      </c>
      <c r="BS17" s="34">
        <f>IF(OR(in_mode_sale=1,BS$4&lt;R_Start,BS$4&gt;R_Exit),0,BS16*in_rent_opex_pct_egi-in_green_savings/12*(1+in_rent_growth_pct)^(BS$4/12))</f>
        <v/>
      </c>
      <c r="BT17" s="34">
        <f>IF(OR(in_mode_sale=1,BT$4&lt;R_Start,BT$4&gt;R_Exit),0,BT16*in_rent_opex_pct_egi-in_green_savings/12*(1+in_rent_growth_pct)^(BT$4/12))</f>
        <v/>
      </c>
      <c r="BU17" s="34">
        <f>IF(OR(in_mode_sale=1,BU$4&lt;R_Start,BU$4&gt;R_Exit),0,BU16*in_rent_opex_pct_egi-in_green_savings/12*(1+in_rent_growth_pct)^(BU$4/12))</f>
        <v/>
      </c>
      <c r="BV17" s="34">
        <f>IF(OR(in_mode_sale=1,BV$4&lt;R_Start,BV$4&gt;R_Exit),0,BV16*in_rent_opex_pct_egi-in_green_savings/12*(1+in_rent_growth_pct)^(BV$4/12))</f>
        <v/>
      </c>
      <c r="BW17" s="34">
        <f>IF(OR(in_mode_sale=1,BW$4&lt;R_Start,BW$4&gt;R_Exit),0,BW16*in_rent_opex_pct_egi-in_green_savings/12*(1+in_rent_growth_pct)^(BW$4/12))</f>
        <v/>
      </c>
      <c r="BX17" s="34">
        <f>IF(OR(in_mode_sale=1,BX$4&lt;R_Start,BX$4&gt;R_Exit),0,BX16*in_rent_opex_pct_egi-in_green_savings/12*(1+in_rent_growth_pct)^(BX$4/12))</f>
        <v/>
      </c>
      <c r="BY17" s="34">
        <f>IF(OR(in_mode_sale=1,BY$4&lt;R_Start,BY$4&gt;R_Exit),0,BY16*in_rent_opex_pct_egi-in_green_savings/12*(1+in_rent_growth_pct)^(BY$4/12))</f>
        <v/>
      </c>
      <c r="BZ17" s="34">
        <f>IF(OR(in_mode_sale=1,BZ$4&lt;R_Start,BZ$4&gt;R_Exit),0,BZ16*in_rent_opex_pct_egi-in_green_savings/12*(1+in_rent_growth_pct)^(BZ$4/12))</f>
        <v/>
      </c>
      <c r="CA17" s="34">
        <f>IF(OR(in_mode_sale=1,CA$4&lt;R_Start,CA$4&gt;R_Exit),0,CA16*in_rent_opex_pct_egi-in_green_savings/12*(1+in_rent_growth_pct)^(CA$4/12))</f>
        <v/>
      </c>
      <c r="CB17" s="34">
        <f>IF(OR(in_mode_sale=1,CB$4&lt;R_Start,CB$4&gt;R_Exit),0,CB16*in_rent_opex_pct_egi-in_green_savings/12*(1+in_rent_growth_pct)^(CB$4/12))</f>
        <v/>
      </c>
      <c r="CC17" s="34">
        <f>IF(OR(in_mode_sale=1,CC$4&lt;R_Start,CC$4&gt;R_Exit),0,CC16*in_rent_opex_pct_egi-in_green_savings/12*(1+in_rent_growth_pct)^(CC$4/12))</f>
        <v/>
      </c>
      <c r="CD17" s="34">
        <f>IF(OR(in_mode_sale=1,CD$4&lt;R_Start,CD$4&gt;R_Exit),0,CD16*in_rent_opex_pct_egi-in_green_savings/12*(1+in_rent_growth_pct)^(CD$4/12))</f>
        <v/>
      </c>
      <c r="CE17" s="34">
        <f>IF(OR(in_mode_sale=1,CE$4&lt;R_Start,CE$4&gt;R_Exit),0,CE16*in_rent_opex_pct_egi-in_green_savings/12*(1+in_rent_growth_pct)^(CE$4/12))</f>
        <v/>
      </c>
      <c r="CF17" s="34">
        <f>IF(OR(in_mode_sale=1,CF$4&lt;R_Start,CF$4&gt;R_Exit),0,CF16*in_rent_opex_pct_egi-in_green_savings/12*(1+in_rent_growth_pct)^(CF$4/12))</f>
        <v/>
      </c>
      <c r="CG17" s="34">
        <f>IF(OR(in_mode_sale=1,CG$4&lt;R_Start,CG$4&gt;R_Exit),0,CG16*in_rent_opex_pct_egi-in_green_savings/12*(1+in_rent_growth_pct)^(CG$4/12))</f>
        <v/>
      </c>
      <c r="CH17" s="34">
        <f>IF(OR(in_mode_sale=1,CH$4&lt;R_Start,CH$4&gt;R_Exit),0,CH16*in_rent_opex_pct_egi-in_green_savings/12*(1+in_rent_growth_pct)^(CH$4/12))</f>
        <v/>
      </c>
      <c r="CI17" s="34">
        <f>IF(OR(in_mode_sale=1,CI$4&lt;R_Start,CI$4&gt;R_Exit),0,CI16*in_rent_opex_pct_egi-in_green_savings/12*(1+in_rent_growth_pct)^(CI$4/12))</f>
        <v/>
      </c>
      <c r="CJ17" s="34">
        <f>IF(OR(in_mode_sale=1,CJ$4&lt;R_Start,CJ$4&gt;R_Exit),0,CJ16*in_rent_opex_pct_egi-in_green_savings/12*(1+in_rent_growth_pct)^(CJ$4/12))</f>
        <v/>
      </c>
      <c r="CK17" s="34">
        <f>IF(OR(in_mode_sale=1,CK$4&lt;R_Start,CK$4&gt;R_Exit),0,CK16*in_rent_opex_pct_egi-in_green_savings/12*(1+in_rent_growth_pct)^(CK$4/12))</f>
        <v/>
      </c>
      <c r="CL17" s="34">
        <f>IF(OR(in_mode_sale=1,CL$4&lt;R_Start,CL$4&gt;R_Exit),0,CL16*in_rent_opex_pct_egi-in_green_savings/12*(1+in_rent_growth_pct)^(CL$4/12))</f>
        <v/>
      </c>
      <c r="CM17" s="34">
        <f>IF(OR(in_mode_sale=1,CM$4&lt;R_Start,CM$4&gt;R_Exit),0,CM16*in_rent_opex_pct_egi-in_green_savings/12*(1+in_rent_growth_pct)^(CM$4/12))</f>
        <v/>
      </c>
      <c r="CN17" s="34">
        <f>IF(OR(in_mode_sale=1,CN$4&lt;R_Start,CN$4&gt;R_Exit),0,CN16*in_rent_opex_pct_egi-in_green_savings/12*(1+in_rent_growth_pct)^(CN$4/12))</f>
        <v/>
      </c>
      <c r="CO17" s="34">
        <f>IF(OR(in_mode_sale=1,CO$4&lt;R_Start,CO$4&gt;R_Exit),0,CO16*in_rent_opex_pct_egi-in_green_savings/12*(1+in_rent_growth_pct)^(CO$4/12))</f>
        <v/>
      </c>
      <c r="CP17" s="34">
        <f>IF(OR(in_mode_sale=1,CP$4&lt;R_Start,CP$4&gt;R_Exit),0,CP16*in_rent_opex_pct_egi-in_green_savings/12*(1+in_rent_growth_pct)^(CP$4/12))</f>
        <v/>
      </c>
      <c r="CQ17" s="34">
        <f>IF(OR(in_mode_sale=1,CQ$4&lt;R_Start,CQ$4&gt;R_Exit),0,CQ16*in_rent_opex_pct_egi-in_green_savings/12*(1+in_rent_growth_pct)^(CQ$4/12))</f>
        <v/>
      </c>
      <c r="CR17" s="34">
        <f>IF(OR(in_mode_sale=1,CR$4&lt;R_Start,CR$4&gt;R_Exit),0,CR16*in_rent_opex_pct_egi-in_green_savings/12*(1+in_rent_growth_pct)^(CR$4/12))</f>
        <v/>
      </c>
      <c r="CS17" s="34">
        <f>IF(OR(in_mode_sale=1,CS$4&lt;R_Start,CS$4&gt;R_Exit),0,CS16*in_rent_opex_pct_egi-in_green_savings/12*(1+in_rent_growth_pct)^(CS$4/12))</f>
        <v/>
      </c>
      <c r="CT17" s="34">
        <f>IF(OR(in_mode_sale=1,CT$4&lt;R_Start,CT$4&gt;R_Exit),0,CT16*in_rent_opex_pct_egi-in_green_savings/12*(1+in_rent_growth_pct)^(CT$4/12))</f>
        <v/>
      </c>
      <c r="CU17" s="34">
        <f>IF(OR(in_mode_sale=1,CU$4&lt;R_Start,CU$4&gt;R_Exit),0,CU16*in_rent_opex_pct_egi-in_green_savings/12*(1+in_rent_growth_pct)^(CU$4/12))</f>
        <v/>
      </c>
    </row>
    <row r="18">
      <c r="A18" s="38" t="inlineStr">
        <is>
          <t>Net operating income</t>
        </is>
      </c>
      <c r="B18" s="39">
        <f>SUM(D18:CU18)</f>
        <v/>
      </c>
      <c r="C18" s="40" t="inlineStr"/>
      <c r="D18" s="39">
        <f>D16-D17</f>
        <v/>
      </c>
      <c r="E18" s="39">
        <f>E16-E17</f>
        <v/>
      </c>
      <c r="F18" s="39">
        <f>F16-F17</f>
        <v/>
      </c>
      <c r="G18" s="39">
        <f>G16-G17</f>
        <v/>
      </c>
      <c r="H18" s="39">
        <f>H16-H17</f>
        <v/>
      </c>
      <c r="I18" s="39">
        <f>I16-I17</f>
        <v/>
      </c>
      <c r="J18" s="39">
        <f>J16-J17</f>
        <v/>
      </c>
      <c r="K18" s="39">
        <f>K16-K17</f>
        <v/>
      </c>
      <c r="L18" s="39">
        <f>L16-L17</f>
        <v/>
      </c>
      <c r="M18" s="39">
        <f>M16-M17</f>
        <v/>
      </c>
      <c r="N18" s="39">
        <f>N16-N17</f>
        <v/>
      </c>
      <c r="O18" s="39">
        <f>O16-O17</f>
        <v/>
      </c>
      <c r="P18" s="39">
        <f>P16-P17</f>
        <v/>
      </c>
      <c r="Q18" s="39">
        <f>Q16-Q17</f>
        <v/>
      </c>
      <c r="R18" s="39">
        <f>R16-R17</f>
        <v/>
      </c>
      <c r="S18" s="39">
        <f>S16-S17</f>
        <v/>
      </c>
      <c r="T18" s="39">
        <f>T16-T17</f>
        <v/>
      </c>
      <c r="U18" s="39">
        <f>U16-U17</f>
        <v/>
      </c>
      <c r="V18" s="39">
        <f>V16-V17</f>
        <v/>
      </c>
      <c r="W18" s="39">
        <f>W16-W17</f>
        <v/>
      </c>
      <c r="X18" s="39">
        <f>X16-X17</f>
        <v/>
      </c>
      <c r="Y18" s="39">
        <f>Y16-Y17</f>
        <v/>
      </c>
      <c r="Z18" s="39">
        <f>Z16-Z17</f>
        <v/>
      </c>
      <c r="AA18" s="39">
        <f>AA16-AA17</f>
        <v/>
      </c>
      <c r="AB18" s="39">
        <f>AB16-AB17</f>
        <v/>
      </c>
      <c r="AC18" s="39">
        <f>AC16-AC17</f>
        <v/>
      </c>
      <c r="AD18" s="39">
        <f>AD16-AD17</f>
        <v/>
      </c>
      <c r="AE18" s="39">
        <f>AE16-AE17</f>
        <v/>
      </c>
      <c r="AF18" s="39">
        <f>AF16-AF17</f>
        <v/>
      </c>
      <c r="AG18" s="39">
        <f>AG16-AG17</f>
        <v/>
      </c>
      <c r="AH18" s="39">
        <f>AH16-AH17</f>
        <v/>
      </c>
      <c r="AI18" s="39">
        <f>AI16-AI17</f>
        <v/>
      </c>
      <c r="AJ18" s="39">
        <f>AJ16-AJ17</f>
        <v/>
      </c>
      <c r="AK18" s="39">
        <f>AK16-AK17</f>
        <v/>
      </c>
      <c r="AL18" s="39">
        <f>AL16-AL17</f>
        <v/>
      </c>
      <c r="AM18" s="39">
        <f>AM16-AM17</f>
        <v/>
      </c>
      <c r="AN18" s="39">
        <f>AN16-AN17</f>
        <v/>
      </c>
      <c r="AO18" s="39">
        <f>AO16-AO17</f>
        <v/>
      </c>
      <c r="AP18" s="39">
        <f>AP16-AP17</f>
        <v/>
      </c>
      <c r="AQ18" s="39">
        <f>AQ16-AQ17</f>
        <v/>
      </c>
      <c r="AR18" s="39">
        <f>AR16-AR17</f>
        <v/>
      </c>
      <c r="AS18" s="39">
        <f>AS16-AS17</f>
        <v/>
      </c>
      <c r="AT18" s="39">
        <f>AT16-AT17</f>
        <v/>
      </c>
      <c r="AU18" s="39">
        <f>AU16-AU17</f>
        <v/>
      </c>
      <c r="AV18" s="39">
        <f>AV16-AV17</f>
        <v/>
      </c>
      <c r="AW18" s="39">
        <f>AW16-AW17</f>
        <v/>
      </c>
      <c r="AX18" s="39">
        <f>AX16-AX17</f>
        <v/>
      </c>
      <c r="AY18" s="39">
        <f>AY16-AY17</f>
        <v/>
      </c>
      <c r="AZ18" s="39">
        <f>AZ16-AZ17</f>
        <v/>
      </c>
      <c r="BA18" s="39">
        <f>BA16-BA17</f>
        <v/>
      </c>
      <c r="BB18" s="39">
        <f>BB16-BB17</f>
        <v/>
      </c>
      <c r="BC18" s="39">
        <f>BC16-BC17</f>
        <v/>
      </c>
      <c r="BD18" s="39">
        <f>BD16-BD17</f>
        <v/>
      </c>
      <c r="BE18" s="39">
        <f>BE16-BE17</f>
        <v/>
      </c>
      <c r="BF18" s="39">
        <f>BF16-BF17</f>
        <v/>
      </c>
      <c r="BG18" s="39">
        <f>BG16-BG17</f>
        <v/>
      </c>
      <c r="BH18" s="39">
        <f>BH16-BH17</f>
        <v/>
      </c>
      <c r="BI18" s="39">
        <f>BI16-BI17</f>
        <v/>
      </c>
      <c r="BJ18" s="39">
        <f>BJ16-BJ17</f>
        <v/>
      </c>
      <c r="BK18" s="39">
        <f>BK16-BK17</f>
        <v/>
      </c>
      <c r="BL18" s="39">
        <f>BL16-BL17</f>
        <v/>
      </c>
      <c r="BM18" s="39">
        <f>BM16-BM17</f>
        <v/>
      </c>
      <c r="BN18" s="39">
        <f>BN16-BN17</f>
        <v/>
      </c>
      <c r="BO18" s="39">
        <f>BO16-BO17</f>
        <v/>
      </c>
      <c r="BP18" s="39">
        <f>BP16-BP17</f>
        <v/>
      </c>
      <c r="BQ18" s="39">
        <f>BQ16-BQ17</f>
        <v/>
      </c>
      <c r="BR18" s="39">
        <f>BR16-BR17</f>
        <v/>
      </c>
      <c r="BS18" s="39">
        <f>BS16-BS17</f>
        <v/>
      </c>
      <c r="BT18" s="39">
        <f>BT16-BT17</f>
        <v/>
      </c>
      <c r="BU18" s="39">
        <f>BU16-BU17</f>
        <v/>
      </c>
      <c r="BV18" s="39">
        <f>BV16-BV17</f>
        <v/>
      </c>
      <c r="BW18" s="39">
        <f>BW16-BW17</f>
        <v/>
      </c>
      <c r="BX18" s="39">
        <f>BX16-BX17</f>
        <v/>
      </c>
      <c r="BY18" s="39">
        <f>BY16-BY17</f>
        <v/>
      </c>
      <c r="BZ18" s="39">
        <f>BZ16-BZ17</f>
        <v/>
      </c>
      <c r="CA18" s="39">
        <f>CA16-CA17</f>
        <v/>
      </c>
      <c r="CB18" s="39">
        <f>CB16-CB17</f>
        <v/>
      </c>
      <c r="CC18" s="39">
        <f>CC16-CC17</f>
        <v/>
      </c>
      <c r="CD18" s="39">
        <f>CD16-CD17</f>
        <v/>
      </c>
      <c r="CE18" s="39">
        <f>CE16-CE17</f>
        <v/>
      </c>
      <c r="CF18" s="39">
        <f>CF16-CF17</f>
        <v/>
      </c>
      <c r="CG18" s="39">
        <f>CG16-CG17</f>
        <v/>
      </c>
      <c r="CH18" s="39">
        <f>CH16-CH17</f>
        <v/>
      </c>
      <c r="CI18" s="39">
        <f>CI16-CI17</f>
        <v/>
      </c>
      <c r="CJ18" s="39">
        <f>CJ16-CJ17</f>
        <v/>
      </c>
      <c r="CK18" s="39">
        <f>CK16-CK17</f>
        <v/>
      </c>
      <c r="CL18" s="39">
        <f>CL16-CL17</f>
        <v/>
      </c>
      <c r="CM18" s="39">
        <f>CM16-CM17</f>
        <v/>
      </c>
      <c r="CN18" s="39">
        <f>CN16-CN17</f>
        <v/>
      </c>
      <c r="CO18" s="39">
        <f>CO16-CO17</f>
        <v/>
      </c>
      <c r="CP18" s="39">
        <f>CP16-CP17</f>
        <v/>
      </c>
      <c r="CQ18" s="39">
        <f>CQ16-CQ17</f>
        <v/>
      </c>
      <c r="CR18" s="39">
        <f>CR16-CR17</f>
        <v/>
      </c>
      <c r="CS18" s="39">
        <f>CS16-CS17</f>
        <v/>
      </c>
      <c r="CT18" s="39">
        <f>CT16-CT17</f>
        <v/>
      </c>
      <c r="CU18" s="39">
        <f>CU16-CU17</f>
        <v/>
      </c>
    </row>
    <row r="19">
      <c r="A19" s="7" t="inlineStr">
        <is>
          <t>Exit proceeds (net of selling costs)</t>
        </is>
      </c>
      <c r="B19" s="21">
        <f>SUM(D19:CU19)</f>
        <v/>
      </c>
      <c r="C19" s="11" t="inlineStr"/>
      <c r="D19" s="34">
        <f>IF(AND(in_mode_sale=0,D$4=R_Exit),R_ExitValue*(1-in_rent_selling_costs_pct),0)</f>
        <v/>
      </c>
      <c r="E19" s="34">
        <f>IF(AND(in_mode_sale=0,E$4=R_Exit),R_ExitValue*(1-in_rent_selling_costs_pct),0)</f>
        <v/>
      </c>
      <c r="F19" s="34">
        <f>IF(AND(in_mode_sale=0,F$4=R_Exit),R_ExitValue*(1-in_rent_selling_costs_pct),0)</f>
        <v/>
      </c>
      <c r="G19" s="34">
        <f>IF(AND(in_mode_sale=0,G$4=R_Exit),R_ExitValue*(1-in_rent_selling_costs_pct),0)</f>
        <v/>
      </c>
      <c r="H19" s="34">
        <f>IF(AND(in_mode_sale=0,H$4=R_Exit),R_ExitValue*(1-in_rent_selling_costs_pct),0)</f>
        <v/>
      </c>
      <c r="I19" s="34">
        <f>IF(AND(in_mode_sale=0,I$4=R_Exit),R_ExitValue*(1-in_rent_selling_costs_pct),0)</f>
        <v/>
      </c>
      <c r="J19" s="34">
        <f>IF(AND(in_mode_sale=0,J$4=R_Exit),R_ExitValue*(1-in_rent_selling_costs_pct),0)</f>
        <v/>
      </c>
      <c r="K19" s="34">
        <f>IF(AND(in_mode_sale=0,K$4=R_Exit),R_ExitValue*(1-in_rent_selling_costs_pct),0)</f>
        <v/>
      </c>
      <c r="L19" s="34">
        <f>IF(AND(in_mode_sale=0,L$4=R_Exit),R_ExitValue*(1-in_rent_selling_costs_pct),0)</f>
        <v/>
      </c>
      <c r="M19" s="34">
        <f>IF(AND(in_mode_sale=0,M$4=R_Exit),R_ExitValue*(1-in_rent_selling_costs_pct),0)</f>
        <v/>
      </c>
      <c r="N19" s="34">
        <f>IF(AND(in_mode_sale=0,N$4=R_Exit),R_ExitValue*(1-in_rent_selling_costs_pct),0)</f>
        <v/>
      </c>
      <c r="O19" s="34">
        <f>IF(AND(in_mode_sale=0,O$4=R_Exit),R_ExitValue*(1-in_rent_selling_costs_pct),0)</f>
        <v/>
      </c>
      <c r="P19" s="34">
        <f>IF(AND(in_mode_sale=0,P$4=R_Exit),R_ExitValue*(1-in_rent_selling_costs_pct),0)</f>
        <v/>
      </c>
      <c r="Q19" s="34">
        <f>IF(AND(in_mode_sale=0,Q$4=R_Exit),R_ExitValue*(1-in_rent_selling_costs_pct),0)</f>
        <v/>
      </c>
      <c r="R19" s="34">
        <f>IF(AND(in_mode_sale=0,R$4=R_Exit),R_ExitValue*(1-in_rent_selling_costs_pct),0)</f>
        <v/>
      </c>
      <c r="S19" s="34">
        <f>IF(AND(in_mode_sale=0,S$4=R_Exit),R_ExitValue*(1-in_rent_selling_costs_pct),0)</f>
        <v/>
      </c>
      <c r="T19" s="34">
        <f>IF(AND(in_mode_sale=0,T$4=R_Exit),R_ExitValue*(1-in_rent_selling_costs_pct),0)</f>
        <v/>
      </c>
      <c r="U19" s="34">
        <f>IF(AND(in_mode_sale=0,U$4=R_Exit),R_ExitValue*(1-in_rent_selling_costs_pct),0)</f>
        <v/>
      </c>
      <c r="V19" s="34">
        <f>IF(AND(in_mode_sale=0,V$4=R_Exit),R_ExitValue*(1-in_rent_selling_costs_pct),0)</f>
        <v/>
      </c>
      <c r="W19" s="34">
        <f>IF(AND(in_mode_sale=0,W$4=R_Exit),R_ExitValue*(1-in_rent_selling_costs_pct),0)</f>
        <v/>
      </c>
      <c r="X19" s="34">
        <f>IF(AND(in_mode_sale=0,X$4=R_Exit),R_ExitValue*(1-in_rent_selling_costs_pct),0)</f>
        <v/>
      </c>
      <c r="Y19" s="34">
        <f>IF(AND(in_mode_sale=0,Y$4=R_Exit),R_ExitValue*(1-in_rent_selling_costs_pct),0)</f>
        <v/>
      </c>
      <c r="Z19" s="34">
        <f>IF(AND(in_mode_sale=0,Z$4=R_Exit),R_ExitValue*(1-in_rent_selling_costs_pct),0)</f>
        <v/>
      </c>
      <c r="AA19" s="34">
        <f>IF(AND(in_mode_sale=0,AA$4=R_Exit),R_ExitValue*(1-in_rent_selling_costs_pct),0)</f>
        <v/>
      </c>
      <c r="AB19" s="34">
        <f>IF(AND(in_mode_sale=0,AB$4=R_Exit),R_ExitValue*(1-in_rent_selling_costs_pct),0)</f>
        <v/>
      </c>
      <c r="AC19" s="34">
        <f>IF(AND(in_mode_sale=0,AC$4=R_Exit),R_ExitValue*(1-in_rent_selling_costs_pct),0)</f>
        <v/>
      </c>
      <c r="AD19" s="34">
        <f>IF(AND(in_mode_sale=0,AD$4=R_Exit),R_ExitValue*(1-in_rent_selling_costs_pct),0)</f>
        <v/>
      </c>
      <c r="AE19" s="34">
        <f>IF(AND(in_mode_sale=0,AE$4=R_Exit),R_ExitValue*(1-in_rent_selling_costs_pct),0)</f>
        <v/>
      </c>
      <c r="AF19" s="34">
        <f>IF(AND(in_mode_sale=0,AF$4=R_Exit),R_ExitValue*(1-in_rent_selling_costs_pct),0)</f>
        <v/>
      </c>
      <c r="AG19" s="34">
        <f>IF(AND(in_mode_sale=0,AG$4=R_Exit),R_ExitValue*(1-in_rent_selling_costs_pct),0)</f>
        <v/>
      </c>
      <c r="AH19" s="34">
        <f>IF(AND(in_mode_sale=0,AH$4=R_Exit),R_ExitValue*(1-in_rent_selling_costs_pct),0)</f>
        <v/>
      </c>
      <c r="AI19" s="34">
        <f>IF(AND(in_mode_sale=0,AI$4=R_Exit),R_ExitValue*(1-in_rent_selling_costs_pct),0)</f>
        <v/>
      </c>
      <c r="AJ19" s="34">
        <f>IF(AND(in_mode_sale=0,AJ$4=R_Exit),R_ExitValue*(1-in_rent_selling_costs_pct),0)</f>
        <v/>
      </c>
      <c r="AK19" s="34">
        <f>IF(AND(in_mode_sale=0,AK$4=R_Exit),R_ExitValue*(1-in_rent_selling_costs_pct),0)</f>
        <v/>
      </c>
      <c r="AL19" s="34">
        <f>IF(AND(in_mode_sale=0,AL$4=R_Exit),R_ExitValue*(1-in_rent_selling_costs_pct),0)</f>
        <v/>
      </c>
      <c r="AM19" s="34">
        <f>IF(AND(in_mode_sale=0,AM$4=R_Exit),R_ExitValue*(1-in_rent_selling_costs_pct),0)</f>
        <v/>
      </c>
      <c r="AN19" s="34">
        <f>IF(AND(in_mode_sale=0,AN$4=R_Exit),R_ExitValue*(1-in_rent_selling_costs_pct),0)</f>
        <v/>
      </c>
      <c r="AO19" s="34">
        <f>IF(AND(in_mode_sale=0,AO$4=R_Exit),R_ExitValue*(1-in_rent_selling_costs_pct),0)</f>
        <v/>
      </c>
      <c r="AP19" s="34">
        <f>IF(AND(in_mode_sale=0,AP$4=R_Exit),R_ExitValue*(1-in_rent_selling_costs_pct),0)</f>
        <v/>
      </c>
      <c r="AQ19" s="34">
        <f>IF(AND(in_mode_sale=0,AQ$4=R_Exit),R_ExitValue*(1-in_rent_selling_costs_pct),0)</f>
        <v/>
      </c>
      <c r="AR19" s="34">
        <f>IF(AND(in_mode_sale=0,AR$4=R_Exit),R_ExitValue*(1-in_rent_selling_costs_pct),0)</f>
        <v/>
      </c>
      <c r="AS19" s="34">
        <f>IF(AND(in_mode_sale=0,AS$4=R_Exit),R_ExitValue*(1-in_rent_selling_costs_pct),0)</f>
        <v/>
      </c>
      <c r="AT19" s="34">
        <f>IF(AND(in_mode_sale=0,AT$4=R_Exit),R_ExitValue*(1-in_rent_selling_costs_pct),0)</f>
        <v/>
      </c>
      <c r="AU19" s="34">
        <f>IF(AND(in_mode_sale=0,AU$4=R_Exit),R_ExitValue*(1-in_rent_selling_costs_pct),0)</f>
        <v/>
      </c>
      <c r="AV19" s="34">
        <f>IF(AND(in_mode_sale=0,AV$4=R_Exit),R_ExitValue*(1-in_rent_selling_costs_pct),0)</f>
        <v/>
      </c>
      <c r="AW19" s="34">
        <f>IF(AND(in_mode_sale=0,AW$4=R_Exit),R_ExitValue*(1-in_rent_selling_costs_pct),0)</f>
        <v/>
      </c>
      <c r="AX19" s="34">
        <f>IF(AND(in_mode_sale=0,AX$4=R_Exit),R_ExitValue*(1-in_rent_selling_costs_pct),0)</f>
        <v/>
      </c>
      <c r="AY19" s="34">
        <f>IF(AND(in_mode_sale=0,AY$4=R_Exit),R_ExitValue*(1-in_rent_selling_costs_pct),0)</f>
        <v/>
      </c>
      <c r="AZ19" s="34">
        <f>IF(AND(in_mode_sale=0,AZ$4=R_Exit),R_ExitValue*(1-in_rent_selling_costs_pct),0)</f>
        <v/>
      </c>
      <c r="BA19" s="34">
        <f>IF(AND(in_mode_sale=0,BA$4=R_Exit),R_ExitValue*(1-in_rent_selling_costs_pct),0)</f>
        <v/>
      </c>
      <c r="BB19" s="34">
        <f>IF(AND(in_mode_sale=0,BB$4=R_Exit),R_ExitValue*(1-in_rent_selling_costs_pct),0)</f>
        <v/>
      </c>
      <c r="BC19" s="34">
        <f>IF(AND(in_mode_sale=0,BC$4=R_Exit),R_ExitValue*(1-in_rent_selling_costs_pct),0)</f>
        <v/>
      </c>
      <c r="BD19" s="34">
        <f>IF(AND(in_mode_sale=0,BD$4=R_Exit),R_ExitValue*(1-in_rent_selling_costs_pct),0)</f>
        <v/>
      </c>
      <c r="BE19" s="34">
        <f>IF(AND(in_mode_sale=0,BE$4=R_Exit),R_ExitValue*(1-in_rent_selling_costs_pct),0)</f>
        <v/>
      </c>
      <c r="BF19" s="34">
        <f>IF(AND(in_mode_sale=0,BF$4=R_Exit),R_ExitValue*(1-in_rent_selling_costs_pct),0)</f>
        <v/>
      </c>
      <c r="BG19" s="34">
        <f>IF(AND(in_mode_sale=0,BG$4=R_Exit),R_ExitValue*(1-in_rent_selling_costs_pct),0)</f>
        <v/>
      </c>
      <c r="BH19" s="34">
        <f>IF(AND(in_mode_sale=0,BH$4=R_Exit),R_ExitValue*(1-in_rent_selling_costs_pct),0)</f>
        <v/>
      </c>
      <c r="BI19" s="34">
        <f>IF(AND(in_mode_sale=0,BI$4=R_Exit),R_ExitValue*(1-in_rent_selling_costs_pct),0)</f>
        <v/>
      </c>
      <c r="BJ19" s="34">
        <f>IF(AND(in_mode_sale=0,BJ$4=R_Exit),R_ExitValue*(1-in_rent_selling_costs_pct),0)</f>
        <v/>
      </c>
      <c r="BK19" s="34">
        <f>IF(AND(in_mode_sale=0,BK$4=R_Exit),R_ExitValue*(1-in_rent_selling_costs_pct),0)</f>
        <v/>
      </c>
      <c r="BL19" s="34">
        <f>IF(AND(in_mode_sale=0,BL$4=R_Exit),R_ExitValue*(1-in_rent_selling_costs_pct),0)</f>
        <v/>
      </c>
      <c r="BM19" s="34">
        <f>IF(AND(in_mode_sale=0,BM$4=R_Exit),R_ExitValue*(1-in_rent_selling_costs_pct),0)</f>
        <v/>
      </c>
      <c r="BN19" s="34">
        <f>IF(AND(in_mode_sale=0,BN$4=R_Exit),R_ExitValue*(1-in_rent_selling_costs_pct),0)</f>
        <v/>
      </c>
      <c r="BO19" s="34">
        <f>IF(AND(in_mode_sale=0,BO$4=R_Exit),R_ExitValue*(1-in_rent_selling_costs_pct),0)</f>
        <v/>
      </c>
      <c r="BP19" s="34">
        <f>IF(AND(in_mode_sale=0,BP$4=R_Exit),R_ExitValue*(1-in_rent_selling_costs_pct),0)</f>
        <v/>
      </c>
      <c r="BQ19" s="34">
        <f>IF(AND(in_mode_sale=0,BQ$4=R_Exit),R_ExitValue*(1-in_rent_selling_costs_pct),0)</f>
        <v/>
      </c>
      <c r="BR19" s="34">
        <f>IF(AND(in_mode_sale=0,BR$4=R_Exit),R_ExitValue*(1-in_rent_selling_costs_pct),0)</f>
        <v/>
      </c>
      <c r="BS19" s="34">
        <f>IF(AND(in_mode_sale=0,BS$4=R_Exit),R_ExitValue*(1-in_rent_selling_costs_pct),0)</f>
        <v/>
      </c>
      <c r="BT19" s="34">
        <f>IF(AND(in_mode_sale=0,BT$4=R_Exit),R_ExitValue*(1-in_rent_selling_costs_pct),0)</f>
        <v/>
      </c>
      <c r="BU19" s="34">
        <f>IF(AND(in_mode_sale=0,BU$4=R_Exit),R_ExitValue*(1-in_rent_selling_costs_pct),0)</f>
        <v/>
      </c>
      <c r="BV19" s="34">
        <f>IF(AND(in_mode_sale=0,BV$4=R_Exit),R_ExitValue*(1-in_rent_selling_costs_pct),0)</f>
        <v/>
      </c>
      <c r="BW19" s="34">
        <f>IF(AND(in_mode_sale=0,BW$4=R_Exit),R_ExitValue*(1-in_rent_selling_costs_pct),0)</f>
        <v/>
      </c>
      <c r="BX19" s="34">
        <f>IF(AND(in_mode_sale=0,BX$4=R_Exit),R_ExitValue*(1-in_rent_selling_costs_pct),0)</f>
        <v/>
      </c>
      <c r="BY19" s="34">
        <f>IF(AND(in_mode_sale=0,BY$4=R_Exit),R_ExitValue*(1-in_rent_selling_costs_pct),0)</f>
        <v/>
      </c>
      <c r="BZ19" s="34">
        <f>IF(AND(in_mode_sale=0,BZ$4=R_Exit),R_ExitValue*(1-in_rent_selling_costs_pct),0)</f>
        <v/>
      </c>
      <c r="CA19" s="34">
        <f>IF(AND(in_mode_sale=0,CA$4=R_Exit),R_ExitValue*(1-in_rent_selling_costs_pct),0)</f>
        <v/>
      </c>
      <c r="CB19" s="34">
        <f>IF(AND(in_mode_sale=0,CB$4=R_Exit),R_ExitValue*(1-in_rent_selling_costs_pct),0)</f>
        <v/>
      </c>
      <c r="CC19" s="34">
        <f>IF(AND(in_mode_sale=0,CC$4=R_Exit),R_ExitValue*(1-in_rent_selling_costs_pct),0)</f>
        <v/>
      </c>
      <c r="CD19" s="34">
        <f>IF(AND(in_mode_sale=0,CD$4=R_Exit),R_ExitValue*(1-in_rent_selling_costs_pct),0)</f>
        <v/>
      </c>
      <c r="CE19" s="34">
        <f>IF(AND(in_mode_sale=0,CE$4=R_Exit),R_ExitValue*(1-in_rent_selling_costs_pct),0)</f>
        <v/>
      </c>
      <c r="CF19" s="34">
        <f>IF(AND(in_mode_sale=0,CF$4=R_Exit),R_ExitValue*(1-in_rent_selling_costs_pct),0)</f>
        <v/>
      </c>
      <c r="CG19" s="34">
        <f>IF(AND(in_mode_sale=0,CG$4=R_Exit),R_ExitValue*(1-in_rent_selling_costs_pct),0)</f>
        <v/>
      </c>
      <c r="CH19" s="34">
        <f>IF(AND(in_mode_sale=0,CH$4=R_Exit),R_ExitValue*(1-in_rent_selling_costs_pct),0)</f>
        <v/>
      </c>
      <c r="CI19" s="34">
        <f>IF(AND(in_mode_sale=0,CI$4=R_Exit),R_ExitValue*(1-in_rent_selling_costs_pct),0)</f>
        <v/>
      </c>
      <c r="CJ19" s="34">
        <f>IF(AND(in_mode_sale=0,CJ$4=R_Exit),R_ExitValue*(1-in_rent_selling_costs_pct),0)</f>
        <v/>
      </c>
      <c r="CK19" s="34">
        <f>IF(AND(in_mode_sale=0,CK$4=R_Exit),R_ExitValue*(1-in_rent_selling_costs_pct),0)</f>
        <v/>
      </c>
      <c r="CL19" s="34">
        <f>IF(AND(in_mode_sale=0,CL$4=R_Exit),R_ExitValue*(1-in_rent_selling_costs_pct),0)</f>
        <v/>
      </c>
      <c r="CM19" s="34">
        <f>IF(AND(in_mode_sale=0,CM$4=R_Exit),R_ExitValue*(1-in_rent_selling_costs_pct),0)</f>
        <v/>
      </c>
      <c r="CN19" s="34">
        <f>IF(AND(in_mode_sale=0,CN$4=R_Exit),R_ExitValue*(1-in_rent_selling_costs_pct),0)</f>
        <v/>
      </c>
      <c r="CO19" s="34">
        <f>IF(AND(in_mode_sale=0,CO$4=R_Exit),R_ExitValue*(1-in_rent_selling_costs_pct),0)</f>
        <v/>
      </c>
      <c r="CP19" s="34">
        <f>IF(AND(in_mode_sale=0,CP$4=R_Exit),R_ExitValue*(1-in_rent_selling_costs_pct),0)</f>
        <v/>
      </c>
      <c r="CQ19" s="34">
        <f>IF(AND(in_mode_sale=0,CQ$4=R_Exit),R_ExitValue*(1-in_rent_selling_costs_pct),0)</f>
        <v/>
      </c>
      <c r="CR19" s="34">
        <f>IF(AND(in_mode_sale=0,CR$4=R_Exit),R_ExitValue*(1-in_rent_selling_costs_pct),0)</f>
        <v/>
      </c>
      <c r="CS19" s="34">
        <f>IF(AND(in_mode_sale=0,CS$4=R_Exit),R_ExitValue*(1-in_rent_selling_costs_pct),0)</f>
        <v/>
      </c>
      <c r="CT19" s="34">
        <f>IF(AND(in_mode_sale=0,CT$4=R_Exit),R_ExitValue*(1-in_rent_selling_costs_pct),0)</f>
        <v/>
      </c>
      <c r="CU19" s="34">
        <f>IF(AND(in_mode_sale=0,CU$4=R_Exit),R_ExitValue*(1-in_rent_selling_costs_pct),0)</f>
        <v/>
      </c>
    </row>
    <row r="20">
      <c r="A20" s="38" t="inlineStr">
        <is>
          <t>Total operating &amp; exit inflows</t>
        </is>
      </c>
      <c r="B20" s="39">
        <f>SUM(D20:CU20)</f>
        <v/>
      </c>
      <c r="C20" s="40" t="inlineStr"/>
      <c r="D20" s="39">
        <f>D18+D19</f>
        <v/>
      </c>
      <c r="E20" s="39">
        <f>E18+E19</f>
        <v/>
      </c>
      <c r="F20" s="39">
        <f>F18+F19</f>
        <v/>
      </c>
      <c r="G20" s="39">
        <f>G18+G19</f>
        <v/>
      </c>
      <c r="H20" s="39">
        <f>H18+H19</f>
        <v/>
      </c>
      <c r="I20" s="39">
        <f>I18+I19</f>
        <v/>
      </c>
      <c r="J20" s="39">
        <f>J18+J19</f>
        <v/>
      </c>
      <c r="K20" s="39">
        <f>K18+K19</f>
        <v/>
      </c>
      <c r="L20" s="39">
        <f>L18+L19</f>
        <v/>
      </c>
      <c r="M20" s="39">
        <f>M18+M19</f>
        <v/>
      </c>
      <c r="N20" s="39">
        <f>N18+N19</f>
        <v/>
      </c>
      <c r="O20" s="39">
        <f>O18+O19</f>
        <v/>
      </c>
      <c r="P20" s="39">
        <f>P18+P19</f>
        <v/>
      </c>
      <c r="Q20" s="39">
        <f>Q18+Q19</f>
        <v/>
      </c>
      <c r="R20" s="39">
        <f>R18+R19</f>
        <v/>
      </c>
      <c r="S20" s="39">
        <f>S18+S19</f>
        <v/>
      </c>
      <c r="T20" s="39">
        <f>T18+T19</f>
        <v/>
      </c>
      <c r="U20" s="39">
        <f>U18+U19</f>
        <v/>
      </c>
      <c r="V20" s="39">
        <f>V18+V19</f>
        <v/>
      </c>
      <c r="W20" s="39">
        <f>W18+W19</f>
        <v/>
      </c>
      <c r="X20" s="39">
        <f>X18+X19</f>
        <v/>
      </c>
      <c r="Y20" s="39">
        <f>Y18+Y19</f>
        <v/>
      </c>
      <c r="Z20" s="39">
        <f>Z18+Z19</f>
        <v/>
      </c>
      <c r="AA20" s="39">
        <f>AA18+AA19</f>
        <v/>
      </c>
      <c r="AB20" s="39">
        <f>AB18+AB19</f>
        <v/>
      </c>
      <c r="AC20" s="39">
        <f>AC18+AC19</f>
        <v/>
      </c>
      <c r="AD20" s="39">
        <f>AD18+AD19</f>
        <v/>
      </c>
      <c r="AE20" s="39">
        <f>AE18+AE19</f>
        <v/>
      </c>
      <c r="AF20" s="39">
        <f>AF18+AF19</f>
        <v/>
      </c>
      <c r="AG20" s="39">
        <f>AG18+AG19</f>
        <v/>
      </c>
      <c r="AH20" s="39">
        <f>AH18+AH19</f>
        <v/>
      </c>
      <c r="AI20" s="39">
        <f>AI18+AI19</f>
        <v/>
      </c>
      <c r="AJ20" s="39">
        <f>AJ18+AJ19</f>
        <v/>
      </c>
      <c r="AK20" s="39">
        <f>AK18+AK19</f>
        <v/>
      </c>
      <c r="AL20" s="39">
        <f>AL18+AL19</f>
        <v/>
      </c>
      <c r="AM20" s="39">
        <f>AM18+AM19</f>
        <v/>
      </c>
      <c r="AN20" s="39">
        <f>AN18+AN19</f>
        <v/>
      </c>
      <c r="AO20" s="39">
        <f>AO18+AO19</f>
        <v/>
      </c>
      <c r="AP20" s="39">
        <f>AP18+AP19</f>
        <v/>
      </c>
      <c r="AQ20" s="39">
        <f>AQ18+AQ19</f>
        <v/>
      </c>
      <c r="AR20" s="39">
        <f>AR18+AR19</f>
        <v/>
      </c>
      <c r="AS20" s="39">
        <f>AS18+AS19</f>
        <v/>
      </c>
      <c r="AT20" s="39">
        <f>AT18+AT19</f>
        <v/>
      </c>
      <c r="AU20" s="39">
        <f>AU18+AU19</f>
        <v/>
      </c>
      <c r="AV20" s="39">
        <f>AV18+AV19</f>
        <v/>
      </c>
      <c r="AW20" s="39">
        <f>AW18+AW19</f>
        <v/>
      </c>
      <c r="AX20" s="39">
        <f>AX18+AX19</f>
        <v/>
      </c>
      <c r="AY20" s="39">
        <f>AY18+AY19</f>
        <v/>
      </c>
      <c r="AZ20" s="39">
        <f>AZ18+AZ19</f>
        <v/>
      </c>
      <c r="BA20" s="39">
        <f>BA18+BA19</f>
        <v/>
      </c>
      <c r="BB20" s="39">
        <f>BB18+BB19</f>
        <v/>
      </c>
      <c r="BC20" s="39">
        <f>BC18+BC19</f>
        <v/>
      </c>
      <c r="BD20" s="39">
        <f>BD18+BD19</f>
        <v/>
      </c>
      <c r="BE20" s="39">
        <f>BE18+BE19</f>
        <v/>
      </c>
      <c r="BF20" s="39">
        <f>BF18+BF19</f>
        <v/>
      </c>
      <c r="BG20" s="39">
        <f>BG18+BG19</f>
        <v/>
      </c>
      <c r="BH20" s="39">
        <f>BH18+BH19</f>
        <v/>
      </c>
      <c r="BI20" s="39">
        <f>BI18+BI19</f>
        <v/>
      </c>
      <c r="BJ20" s="39">
        <f>BJ18+BJ19</f>
        <v/>
      </c>
      <c r="BK20" s="39">
        <f>BK18+BK19</f>
        <v/>
      </c>
      <c r="BL20" s="39">
        <f>BL18+BL19</f>
        <v/>
      </c>
      <c r="BM20" s="39">
        <f>BM18+BM19</f>
        <v/>
      </c>
      <c r="BN20" s="39">
        <f>BN18+BN19</f>
        <v/>
      </c>
      <c r="BO20" s="39">
        <f>BO18+BO19</f>
        <v/>
      </c>
      <c r="BP20" s="39">
        <f>BP18+BP19</f>
        <v/>
      </c>
      <c r="BQ20" s="39">
        <f>BQ18+BQ19</f>
        <v/>
      </c>
      <c r="BR20" s="39">
        <f>BR18+BR19</f>
        <v/>
      </c>
      <c r="BS20" s="39">
        <f>BS18+BS19</f>
        <v/>
      </c>
      <c r="BT20" s="39">
        <f>BT18+BT19</f>
        <v/>
      </c>
      <c r="BU20" s="39">
        <f>BU18+BU19</f>
        <v/>
      </c>
      <c r="BV20" s="39">
        <f>BV18+BV19</f>
        <v/>
      </c>
      <c r="BW20" s="39">
        <f>BW18+BW19</f>
        <v/>
      </c>
      <c r="BX20" s="39">
        <f>BX18+BX19</f>
        <v/>
      </c>
      <c r="BY20" s="39">
        <f>BY18+BY19</f>
        <v/>
      </c>
      <c r="BZ20" s="39">
        <f>BZ18+BZ19</f>
        <v/>
      </c>
      <c r="CA20" s="39">
        <f>CA18+CA19</f>
        <v/>
      </c>
      <c r="CB20" s="39">
        <f>CB18+CB19</f>
        <v/>
      </c>
      <c r="CC20" s="39">
        <f>CC18+CC19</f>
        <v/>
      </c>
      <c r="CD20" s="39">
        <f>CD18+CD19</f>
        <v/>
      </c>
      <c r="CE20" s="39">
        <f>CE18+CE19</f>
        <v/>
      </c>
      <c r="CF20" s="39">
        <f>CF18+CF19</f>
        <v/>
      </c>
      <c r="CG20" s="39">
        <f>CG18+CG19</f>
        <v/>
      </c>
      <c r="CH20" s="39">
        <f>CH18+CH19</f>
        <v/>
      </c>
      <c r="CI20" s="39">
        <f>CI18+CI19</f>
        <v/>
      </c>
      <c r="CJ20" s="39">
        <f>CJ18+CJ19</f>
        <v/>
      </c>
      <c r="CK20" s="39">
        <f>CK18+CK19</f>
        <v/>
      </c>
      <c r="CL20" s="39">
        <f>CL18+CL19</f>
        <v/>
      </c>
      <c r="CM20" s="39">
        <f>CM18+CM19</f>
        <v/>
      </c>
      <c r="CN20" s="39">
        <f>CN18+CN19</f>
        <v/>
      </c>
      <c r="CO20" s="39">
        <f>CO18+CO19</f>
        <v/>
      </c>
      <c r="CP20" s="39">
        <f>CP18+CP19</f>
        <v/>
      </c>
      <c r="CQ20" s="39">
        <f>CQ18+CQ19</f>
        <v/>
      </c>
      <c r="CR20" s="39">
        <f>CR18+CR19</f>
        <v/>
      </c>
      <c r="CS20" s="39">
        <f>CS18+CS19</f>
        <v/>
      </c>
      <c r="CT20" s="39">
        <f>CT18+CT19</f>
        <v/>
      </c>
      <c r="CU20" s="39">
        <f>CU18+CU19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AF7A"/>
    <outlinePr summaryBelow="1" summaryRight="1"/>
    <pageSetUpPr/>
  </sheetPr>
  <dimension ref="A1:CU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</cols>
  <sheetData>
    <row r="1">
      <c r="A1" s="10" t="inlineStr">
        <is>
          <t>Cash flow &amp; financing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11" t="inlineStr">
        <is>
          <t>Unlevered cash flow, then equity first → mezzanine → senior debt; interest on the actual monthly balance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</row>
    <row r="4">
      <c r="A4" s="12" t="inlineStr">
        <is>
          <t>Month</t>
        </is>
      </c>
      <c r="B4" s="12" t="inlineStr">
        <is>
          <t>Total</t>
        </is>
      </c>
      <c r="C4" s="12" t="inlineStr">
        <is>
          <t>Unit / note</t>
        </is>
      </c>
      <c r="D4" s="24" t="n">
        <v>0</v>
      </c>
      <c r="E4" s="24">
        <f>D4+1</f>
        <v/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>
        <f>L4+1</f>
        <v/>
      </c>
      <c r="N4" s="24">
        <f>M4+1</f>
        <v/>
      </c>
      <c r="O4" s="24">
        <f>N4+1</f>
        <v/>
      </c>
      <c r="P4" s="24">
        <f>O4+1</f>
        <v/>
      </c>
      <c r="Q4" s="24">
        <f>P4+1</f>
        <v/>
      </c>
      <c r="R4" s="24">
        <f>Q4+1</f>
        <v/>
      </c>
      <c r="S4" s="24">
        <f>R4+1</f>
        <v/>
      </c>
      <c r="T4" s="24">
        <f>S4+1</f>
        <v/>
      </c>
      <c r="U4" s="24">
        <f>T4+1</f>
        <v/>
      </c>
      <c r="V4" s="24">
        <f>U4+1</f>
        <v/>
      </c>
      <c r="W4" s="24">
        <f>V4+1</f>
        <v/>
      </c>
      <c r="X4" s="24">
        <f>W4+1</f>
        <v/>
      </c>
      <c r="Y4" s="24">
        <f>X4+1</f>
        <v/>
      </c>
      <c r="Z4" s="24">
        <f>Y4+1</f>
        <v/>
      </c>
      <c r="AA4" s="24">
        <f>Z4+1</f>
        <v/>
      </c>
      <c r="AB4" s="24">
        <f>AA4+1</f>
        <v/>
      </c>
      <c r="AC4" s="24">
        <f>AB4+1</f>
        <v/>
      </c>
      <c r="AD4" s="24">
        <f>AC4+1</f>
        <v/>
      </c>
      <c r="AE4" s="24">
        <f>AD4+1</f>
        <v/>
      </c>
      <c r="AF4" s="24">
        <f>AE4+1</f>
        <v/>
      </c>
      <c r="AG4" s="24">
        <f>AF4+1</f>
        <v/>
      </c>
      <c r="AH4" s="24">
        <f>AG4+1</f>
        <v/>
      </c>
      <c r="AI4" s="24">
        <f>AH4+1</f>
        <v/>
      </c>
      <c r="AJ4" s="24">
        <f>AI4+1</f>
        <v/>
      </c>
      <c r="AK4" s="24">
        <f>AJ4+1</f>
        <v/>
      </c>
      <c r="AL4" s="24">
        <f>AK4+1</f>
        <v/>
      </c>
      <c r="AM4" s="24">
        <f>AL4+1</f>
        <v/>
      </c>
      <c r="AN4" s="24">
        <f>AM4+1</f>
        <v/>
      </c>
      <c r="AO4" s="24">
        <f>AN4+1</f>
        <v/>
      </c>
      <c r="AP4" s="24">
        <f>AO4+1</f>
        <v/>
      </c>
      <c r="AQ4" s="24">
        <f>AP4+1</f>
        <v/>
      </c>
      <c r="AR4" s="24">
        <f>AQ4+1</f>
        <v/>
      </c>
      <c r="AS4" s="24">
        <f>AR4+1</f>
        <v/>
      </c>
      <c r="AT4" s="24">
        <f>AS4+1</f>
        <v/>
      </c>
      <c r="AU4" s="24">
        <f>AT4+1</f>
        <v/>
      </c>
      <c r="AV4" s="24">
        <f>AU4+1</f>
        <v/>
      </c>
      <c r="AW4" s="24">
        <f>AV4+1</f>
        <v/>
      </c>
      <c r="AX4" s="24">
        <f>AW4+1</f>
        <v/>
      </c>
      <c r="AY4" s="24">
        <f>AX4+1</f>
        <v/>
      </c>
      <c r="AZ4" s="24">
        <f>AY4+1</f>
        <v/>
      </c>
      <c r="BA4" s="24">
        <f>AZ4+1</f>
        <v/>
      </c>
      <c r="BB4" s="24">
        <f>BA4+1</f>
        <v/>
      </c>
      <c r="BC4" s="24">
        <f>BB4+1</f>
        <v/>
      </c>
      <c r="BD4" s="24">
        <f>BC4+1</f>
        <v/>
      </c>
      <c r="BE4" s="24">
        <f>BD4+1</f>
        <v/>
      </c>
      <c r="BF4" s="24">
        <f>BE4+1</f>
        <v/>
      </c>
      <c r="BG4" s="24">
        <f>BF4+1</f>
        <v/>
      </c>
      <c r="BH4" s="24">
        <f>BG4+1</f>
        <v/>
      </c>
      <c r="BI4" s="24">
        <f>BH4+1</f>
        <v/>
      </c>
      <c r="BJ4" s="24">
        <f>BI4+1</f>
        <v/>
      </c>
      <c r="BK4" s="24">
        <f>BJ4+1</f>
        <v/>
      </c>
      <c r="BL4" s="24">
        <f>BK4+1</f>
        <v/>
      </c>
      <c r="BM4" s="24">
        <f>BL4+1</f>
        <v/>
      </c>
      <c r="BN4" s="24">
        <f>BM4+1</f>
        <v/>
      </c>
      <c r="BO4" s="24">
        <f>BN4+1</f>
        <v/>
      </c>
      <c r="BP4" s="24">
        <f>BO4+1</f>
        <v/>
      </c>
      <c r="BQ4" s="24">
        <f>BP4+1</f>
        <v/>
      </c>
      <c r="BR4" s="24">
        <f>BQ4+1</f>
        <v/>
      </c>
      <c r="BS4" s="24">
        <f>BR4+1</f>
        <v/>
      </c>
      <c r="BT4" s="24">
        <f>BS4+1</f>
        <v/>
      </c>
      <c r="BU4" s="24">
        <f>BT4+1</f>
        <v/>
      </c>
      <c r="BV4" s="24">
        <f>BU4+1</f>
        <v/>
      </c>
      <c r="BW4" s="24">
        <f>BV4+1</f>
        <v/>
      </c>
      <c r="BX4" s="24">
        <f>BW4+1</f>
        <v/>
      </c>
      <c r="BY4" s="24">
        <f>BX4+1</f>
        <v/>
      </c>
      <c r="BZ4" s="24">
        <f>BY4+1</f>
        <v/>
      </c>
      <c r="CA4" s="24">
        <f>BZ4+1</f>
        <v/>
      </c>
      <c r="CB4" s="24">
        <f>CA4+1</f>
        <v/>
      </c>
      <c r="CC4" s="24">
        <f>CB4+1</f>
        <v/>
      </c>
      <c r="CD4" s="24">
        <f>CC4+1</f>
        <v/>
      </c>
      <c r="CE4" s="24">
        <f>CD4+1</f>
        <v/>
      </c>
      <c r="CF4" s="24">
        <f>CE4+1</f>
        <v/>
      </c>
      <c r="CG4" s="24">
        <f>CF4+1</f>
        <v/>
      </c>
      <c r="CH4" s="24">
        <f>CG4+1</f>
        <v/>
      </c>
      <c r="CI4" s="24">
        <f>CH4+1</f>
        <v/>
      </c>
      <c r="CJ4" s="24">
        <f>CI4+1</f>
        <v/>
      </c>
      <c r="CK4" s="24">
        <f>CJ4+1</f>
        <v/>
      </c>
      <c r="CL4" s="24">
        <f>CK4+1</f>
        <v/>
      </c>
      <c r="CM4" s="24">
        <f>CL4+1</f>
        <v/>
      </c>
      <c r="CN4" s="24">
        <f>CM4+1</f>
        <v/>
      </c>
      <c r="CO4" s="24">
        <f>CN4+1</f>
        <v/>
      </c>
      <c r="CP4" s="24">
        <f>CO4+1</f>
        <v/>
      </c>
      <c r="CQ4" s="24">
        <f>CP4+1</f>
        <v/>
      </c>
      <c r="CR4" s="24">
        <f>CQ4+1</f>
        <v/>
      </c>
      <c r="CS4" s="24">
        <f>CR4+1</f>
        <v/>
      </c>
      <c r="CT4" s="24">
        <f>CS4+1</f>
        <v/>
      </c>
      <c r="CU4" s="24">
        <f>CT4+1</f>
        <v/>
      </c>
    </row>
    <row r="5">
      <c r="A5" s="7" t="inlineStr">
        <is>
          <t>End month (last cash flow)</t>
        </is>
      </c>
      <c r="B5" s="34">
        <f>MAX(IF(in_mode_sale=1,MAX(T_Delivery,Sales_Last),R_Exit),IF(COUNT(cf_month)&gt;0,MAX(cf_month),0),SUMPRODUCT(MAX((Construction!$D$32:$CU$32&lt;&gt;0)*$D$4:$CU$4)))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>
      <c r="A6" s="7" t="inlineStr">
        <is>
          <t>Total development cost (TDC, excl. financing)</t>
        </is>
      </c>
      <c r="B6" s="34">
        <f>SUM($D$22:$CU$22)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</row>
    <row r="7">
      <c r="A7" s="7" t="inlineStr">
        <is>
          <t>Financing cost (interest + fees)</t>
        </is>
      </c>
      <c r="B7" s="34">
        <f>B30+B32+B33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</row>
    <row r="8">
      <c r="A8" s="7" t="inlineStr">
        <is>
          <t>Total cost incl. financing</t>
        </is>
      </c>
      <c r="B8" s="34">
        <f>TDC+FinCost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</row>
    <row r="9">
      <c r="A9" s="7" t="inlineStr">
        <is>
          <t>Senior rate (annual, nominal)</t>
        </is>
      </c>
      <c r="B9" s="45">
        <f>IF(in_fin_senior_rate_type="fixed",N(in_fin_senior_fixed_rate_pct),N(in_fin_reference_rate_pct)+in_fin_senior_spread_pct)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s="7" t="inlineStr">
        <is>
          <t>Senior commitment (LTC × cost incl. financing)</t>
        </is>
      </c>
      <c r="B10" s="34">
        <f>in_fin_senior_ltc_pct*(TDC+FinCostSizing)</f>
        <v/>
      </c>
      <c r="C10" s="11" t="inlineStr">
        <is>
          <t>Circular by design (debt sized on cost incl. financing). Iterative calculation is on; set the circuit breaker on Assumptions to 0 to break the loop.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</row>
    <row r="11">
      <c r="A11" s="7" t="inlineStr">
        <is>
          <t>Mezzanine commitment</t>
        </is>
      </c>
      <c r="B11" s="34">
        <f>N(in_fin_mezz_ltc_pct)*(TDC+FinCostSizing)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s="7" t="inlineStr">
        <is>
          <t>Planned equity (cap before debt)</t>
        </is>
      </c>
      <c r="B12" s="34">
        <f>MAX(TDC+FinCostSizing-F_SeniorCommit-F_MezzCommit,0)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</row>
    <row r="13">
      <c r="A13" s="7" t="inlineStr">
        <is>
          <t>Fixed monthly principal after delivery (rentals)</t>
        </is>
      </c>
      <c r="B13" s="34">
        <f>IF(N(in_fin_amortization_years)&gt;0,INDEX($D$56:$CU$56,1,T_Delivery+1)*IF(F_SeniorRate/12=0,1/(in_fin_amortization_years*12),F_SeniorRate/12/(1-(1+F_SeniorRate/12)^-(in_fin_amortization_years*12)))-INDEX($D$56:$CU$56,1,T_Delivery+1)*F_SeniorRate/12,0)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</row>
    <row r="14">
      <c r="A14" s="7" t="inlineStr">
        <is>
          <t>Financing cost used for debt sizing (circuit breaker)</t>
        </is>
      </c>
      <c r="B14" s="34">
        <f>IF(in_circ_switch=1,IFERROR(FinCost,0),0)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</row>
    <row r="17">
      <c r="A17" s="7" t="inlineStr">
        <is>
          <t>End month (flag)</t>
        </is>
      </c>
      <c r="B17" s="1" t="n"/>
      <c r="C17" s="11" t="inlineStr"/>
      <c r="D17" s="34">
        <f>IF(D$4=T_End,1,0)</f>
        <v/>
      </c>
      <c r="E17" s="34">
        <f>IF(E$4=T_End,1,0)</f>
        <v/>
      </c>
      <c r="F17" s="34">
        <f>IF(F$4=T_End,1,0)</f>
        <v/>
      </c>
      <c r="G17" s="34">
        <f>IF(G$4=T_End,1,0)</f>
        <v/>
      </c>
      <c r="H17" s="34">
        <f>IF(H$4=T_End,1,0)</f>
        <v/>
      </c>
      <c r="I17" s="34">
        <f>IF(I$4=T_End,1,0)</f>
        <v/>
      </c>
      <c r="J17" s="34">
        <f>IF(J$4=T_End,1,0)</f>
        <v/>
      </c>
      <c r="K17" s="34">
        <f>IF(K$4=T_End,1,0)</f>
        <v/>
      </c>
      <c r="L17" s="34">
        <f>IF(L$4=T_End,1,0)</f>
        <v/>
      </c>
      <c r="M17" s="34">
        <f>IF(M$4=T_End,1,0)</f>
        <v/>
      </c>
      <c r="N17" s="34">
        <f>IF(N$4=T_End,1,0)</f>
        <v/>
      </c>
      <c r="O17" s="34">
        <f>IF(O$4=T_End,1,0)</f>
        <v/>
      </c>
      <c r="P17" s="34">
        <f>IF(P$4=T_End,1,0)</f>
        <v/>
      </c>
      <c r="Q17" s="34">
        <f>IF(Q$4=T_End,1,0)</f>
        <v/>
      </c>
      <c r="R17" s="34">
        <f>IF(R$4=T_End,1,0)</f>
        <v/>
      </c>
      <c r="S17" s="34">
        <f>IF(S$4=T_End,1,0)</f>
        <v/>
      </c>
      <c r="T17" s="34">
        <f>IF(T$4=T_End,1,0)</f>
        <v/>
      </c>
      <c r="U17" s="34">
        <f>IF(U$4=T_End,1,0)</f>
        <v/>
      </c>
      <c r="V17" s="34">
        <f>IF(V$4=T_End,1,0)</f>
        <v/>
      </c>
      <c r="W17" s="34">
        <f>IF(W$4=T_End,1,0)</f>
        <v/>
      </c>
      <c r="X17" s="34">
        <f>IF(X$4=T_End,1,0)</f>
        <v/>
      </c>
      <c r="Y17" s="34">
        <f>IF(Y$4=T_End,1,0)</f>
        <v/>
      </c>
      <c r="Z17" s="34">
        <f>IF(Z$4=T_End,1,0)</f>
        <v/>
      </c>
      <c r="AA17" s="34">
        <f>IF(AA$4=T_End,1,0)</f>
        <v/>
      </c>
      <c r="AB17" s="34">
        <f>IF(AB$4=T_End,1,0)</f>
        <v/>
      </c>
      <c r="AC17" s="34">
        <f>IF(AC$4=T_End,1,0)</f>
        <v/>
      </c>
      <c r="AD17" s="34">
        <f>IF(AD$4=T_End,1,0)</f>
        <v/>
      </c>
      <c r="AE17" s="34">
        <f>IF(AE$4=T_End,1,0)</f>
        <v/>
      </c>
      <c r="AF17" s="34">
        <f>IF(AF$4=T_End,1,0)</f>
        <v/>
      </c>
      <c r="AG17" s="34">
        <f>IF(AG$4=T_End,1,0)</f>
        <v/>
      </c>
      <c r="AH17" s="34">
        <f>IF(AH$4=T_End,1,0)</f>
        <v/>
      </c>
      <c r="AI17" s="34">
        <f>IF(AI$4=T_End,1,0)</f>
        <v/>
      </c>
      <c r="AJ17" s="34">
        <f>IF(AJ$4=T_End,1,0)</f>
        <v/>
      </c>
      <c r="AK17" s="34">
        <f>IF(AK$4=T_End,1,0)</f>
        <v/>
      </c>
      <c r="AL17" s="34">
        <f>IF(AL$4=T_End,1,0)</f>
        <v/>
      </c>
      <c r="AM17" s="34">
        <f>IF(AM$4=T_End,1,0)</f>
        <v/>
      </c>
      <c r="AN17" s="34">
        <f>IF(AN$4=T_End,1,0)</f>
        <v/>
      </c>
      <c r="AO17" s="34">
        <f>IF(AO$4=T_End,1,0)</f>
        <v/>
      </c>
      <c r="AP17" s="34">
        <f>IF(AP$4=T_End,1,0)</f>
        <v/>
      </c>
      <c r="AQ17" s="34">
        <f>IF(AQ$4=T_End,1,0)</f>
        <v/>
      </c>
      <c r="AR17" s="34">
        <f>IF(AR$4=T_End,1,0)</f>
        <v/>
      </c>
      <c r="AS17" s="34">
        <f>IF(AS$4=T_End,1,0)</f>
        <v/>
      </c>
      <c r="AT17" s="34">
        <f>IF(AT$4=T_End,1,0)</f>
        <v/>
      </c>
      <c r="AU17" s="34">
        <f>IF(AU$4=T_End,1,0)</f>
        <v/>
      </c>
      <c r="AV17" s="34">
        <f>IF(AV$4=T_End,1,0)</f>
        <v/>
      </c>
      <c r="AW17" s="34">
        <f>IF(AW$4=T_End,1,0)</f>
        <v/>
      </c>
      <c r="AX17" s="34">
        <f>IF(AX$4=T_End,1,0)</f>
        <v/>
      </c>
      <c r="AY17" s="34">
        <f>IF(AY$4=T_End,1,0)</f>
        <v/>
      </c>
      <c r="AZ17" s="34">
        <f>IF(AZ$4=T_End,1,0)</f>
        <v/>
      </c>
      <c r="BA17" s="34">
        <f>IF(BA$4=T_End,1,0)</f>
        <v/>
      </c>
      <c r="BB17" s="34">
        <f>IF(BB$4=T_End,1,0)</f>
        <v/>
      </c>
      <c r="BC17" s="34">
        <f>IF(BC$4=T_End,1,0)</f>
        <v/>
      </c>
      <c r="BD17" s="34">
        <f>IF(BD$4=T_End,1,0)</f>
        <v/>
      </c>
      <c r="BE17" s="34">
        <f>IF(BE$4=T_End,1,0)</f>
        <v/>
      </c>
      <c r="BF17" s="34">
        <f>IF(BF$4=T_End,1,0)</f>
        <v/>
      </c>
      <c r="BG17" s="34">
        <f>IF(BG$4=T_End,1,0)</f>
        <v/>
      </c>
      <c r="BH17" s="34">
        <f>IF(BH$4=T_End,1,0)</f>
        <v/>
      </c>
      <c r="BI17" s="34">
        <f>IF(BI$4=T_End,1,0)</f>
        <v/>
      </c>
      <c r="BJ17" s="34">
        <f>IF(BJ$4=T_End,1,0)</f>
        <v/>
      </c>
      <c r="BK17" s="34">
        <f>IF(BK$4=T_End,1,0)</f>
        <v/>
      </c>
      <c r="BL17" s="34">
        <f>IF(BL$4=T_End,1,0)</f>
        <v/>
      </c>
      <c r="BM17" s="34">
        <f>IF(BM$4=T_End,1,0)</f>
        <v/>
      </c>
      <c r="BN17" s="34">
        <f>IF(BN$4=T_End,1,0)</f>
        <v/>
      </c>
      <c r="BO17" s="34">
        <f>IF(BO$4=T_End,1,0)</f>
        <v/>
      </c>
      <c r="BP17" s="34">
        <f>IF(BP$4=T_End,1,0)</f>
        <v/>
      </c>
      <c r="BQ17" s="34">
        <f>IF(BQ$4=T_End,1,0)</f>
        <v/>
      </c>
      <c r="BR17" s="34">
        <f>IF(BR$4=T_End,1,0)</f>
        <v/>
      </c>
      <c r="BS17" s="34">
        <f>IF(BS$4=T_End,1,0)</f>
        <v/>
      </c>
      <c r="BT17" s="34">
        <f>IF(BT$4=T_End,1,0)</f>
        <v/>
      </c>
      <c r="BU17" s="34">
        <f>IF(BU$4=T_End,1,0)</f>
        <v/>
      </c>
      <c r="BV17" s="34">
        <f>IF(BV$4=T_End,1,0)</f>
        <v/>
      </c>
      <c r="BW17" s="34">
        <f>IF(BW$4=T_End,1,0)</f>
        <v/>
      </c>
      <c r="BX17" s="34">
        <f>IF(BX$4=T_End,1,0)</f>
        <v/>
      </c>
      <c r="BY17" s="34">
        <f>IF(BY$4=T_End,1,0)</f>
        <v/>
      </c>
      <c r="BZ17" s="34">
        <f>IF(BZ$4=T_End,1,0)</f>
        <v/>
      </c>
      <c r="CA17" s="34">
        <f>IF(CA$4=T_End,1,0)</f>
        <v/>
      </c>
      <c r="CB17" s="34">
        <f>IF(CB$4=T_End,1,0)</f>
        <v/>
      </c>
      <c r="CC17" s="34">
        <f>IF(CC$4=T_End,1,0)</f>
        <v/>
      </c>
      <c r="CD17" s="34">
        <f>IF(CD$4=T_End,1,0)</f>
        <v/>
      </c>
      <c r="CE17" s="34">
        <f>IF(CE$4=T_End,1,0)</f>
        <v/>
      </c>
      <c r="CF17" s="34">
        <f>IF(CF$4=T_End,1,0)</f>
        <v/>
      </c>
      <c r="CG17" s="34">
        <f>IF(CG$4=T_End,1,0)</f>
        <v/>
      </c>
      <c r="CH17" s="34">
        <f>IF(CH$4=T_End,1,0)</f>
        <v/>
      </c>
      <c r="CI17" s="34">
        <f>IF(CI$4=T_End,1,0)</f>
        <v/>
      </c>
      <c r="CJ17" s="34">
        <f>IF(CJ$4=T_End,1,0)</f>
        <v/>
      </c>
      <c r="CK17" s="34">
        <f>IF(CK$4=T_End,1,0)</f>
        <v/>
      </c>
      <c r="CL17" s="34">
        <f>IF(CL$4=T_End,1,0)</f>
        <v/>
      </c>
      <c r="CM17" s="34">
        <f>IF(CM$4=T_End,1,0)</f>
        <v/>
      </c>
      <c r="CN17" s="34">
        <f>IF(CN$4=T_End,1,0)</f>
        <v/>
      </c>
      <c r="CO17" s="34">
        <f>IF(CO$4=T_End,1,0)</f>
        <v/>
      </c>
      <c r="CP17" s="34">
        <f>IF(CP$4=T_End,1,0)</f>
        <v/>
      </c>
      <c r="CQ17" s="34">
        <f>IF(CQ$4=T_End,1,0)</f>
        <v/>
      </c>
      <c r="CR17" s="34">
        <f>IF(CR$4=T_End,1,0)</f>
        <v/>
      </c>
      <c r="CS17" s="34">
        <f>IF(CS$4=T_End,1,0)</f>
        <v/>
      </c>
      <c r="CT17" s="34">
        <f>IF(CT$4=T_End,1,0)</f>
        <v/>
      </c>
      <c r="CU17" s="34">
        <f>IF(CU$4=T_End,1,0)</f>
        <v/>
      </c>
    </row>
    <row r="18">
      <c r="A18" s="7" t="inlineStr">
        <is>
          <t>On or after delivery (flag)</t>
        </is>
      </c>
      <c r="B18" s="1" t="n"/>
      <c r="C18" s="11" t="inlineStr"/>
      <c r="D18" s="34">
        <f>IF(OR(D$4&gt;=T_Delivery,D$4=T_End),1,0)</f>
        <v/>
      </c>
      <c r="E18" s="34">
        <f>IF(OR(E$4&gt;=T_Delivery,E$4=T_End),1,0)</f>
        <v/>
      </c>
      <c r="F18" s="34">
        <f>IF(OR(F$4&gt;=T_Delivery,F$4=T_End),1,0)</f>
        <v/>
      </c>
      <c r="G18" s="34">
        <f>IF(OR(G$4&gt;=T_Delivery,G$4=T_End),1,0)</f>
        <v/>
      </c>
      <c r="H18" s="34">
        <f>IF(OR(H$4&gt;=T_Delivery,H$4=T_End),1,0)</f>
        <v/>
      </c>
      <c r="I18" s="34">
        <f>IF(OR(I$4&gt;=T_Delivery,I$4=T_End),1,0)</f>
        <v/>
      </c>
      <c r="J18" s="34">
        <f>IF(OR(J$4&gt;=T_Delivery,J$4=T_End),1,0)</f>
        <v/>
      </c>
      <c r="K18" s="34">
        <f>IF(OR(K$4&gt;=T_Delivery,K$4=T_End),1,0)</f>
        <v/>
      </c>
      <c r="L18" s="34">
        <f>IF(OR(L$4&gt;=T_Delivery,L$4=T_End),1,0)</f>
        <v/>
      </c>
      <c r="M18" s="34">
        <f>IF(OR(M$4&gt;=T_Delivery,M$4=T_End),1,0)</f>
        <v/>
      </c>
      <c r="N18" s="34">
        <f>IF(OR(N$4&gt;=T_Delivery,N$4=T_End),1,0)</f>
        <v/>
      </c>
      <c r="O18" s="34">
        <f>IF(OR(O$4&gt;=T_Delivery,O$4=T_End),1,0)</f>
        <v/>
      </c>
      <c r="P18" s="34">
        <f>IF(OR(P$4&gt;=T_Delivery,P$4=T_End),1,0)</f>
        <v/>
      </c>
      <c r="Q18" s="34">
        <f>IF(OR(Q$4&gt;=T_Delivery,Q$4=T_End),1,0)</f>
        <v/>
      </c>
      <c r="R18" s="34">
        <f>IF(OR(R$4&gt;=T_Delivery,R$4=T_End),1,0)</f>
        <v/>
      </c>
      <c r="S18" s="34">
        <f>IF(OR(S$4&gt;=T_Delivery,S$4=T_End),1,0)</f>
        <v/>
      </c>
      <c r="T18" s="34">
        <f>IF(OR(T$4&gt;=T_Delivery,T$4=T_End),1,0)</f>
        <v/>
      </c>
      <c r="U18" s="34">
        <f>IF(OR(U$4&gt;=T_Delivery,U$4=T_End),1,0)</f>
        <v/>
      </c>
      <c r="V18" s="34">
        <f>IF(OR(V$4&gt;=T_Delivery,V$4=T_End),1,0)</f>
        <v/>
      </c>
      <c r="W18" s="34">
        <f>IF(OR(W$4&gt;=T_Delivery,W$4=T_End),1,0)</f>
        <v/>
      </c>
      <c r="X18" s="34">
        <f>IF(OR(X$4&gt;=T_Delivery,X$4=T_End),1,0)</f>
        <v/>
      </c>
      <c r="Y18" s="34">
        <f>IF(OR(Y$4&gt;=T_Delivery,Y$4=T_End),1,0)</f>
        <v/>
      </c>
      <c r="Z18" s="34">
        <f>IF(OR(Z$4&gt;=T_Delivery,Z$4=T_End),1,0)</f>
        <v/>
      </c>
      <c r="AA18" s="34">
        <f>IF(OR(AA$4&gt;=T_Delivery,AA$4=T_End),1,0)</f>
        <v/>
      </c>
      <c r="AB18" s="34">
        <f>IF(OR(AB$4&gt;=T_Delivery,AB$4=T_End),1,0)</f>
        <v/>
      </c>
      <c r="AC18" s="34">
        <f>IF(OR(AC$4&gt;=T_Delivery,AC$4=T_End),1,0)</f>
        <v/>
      </c>
      <c r="AD18" s="34">
        <f>IF(OR(AD$4&gt;=T_Delivery,AD$4=T_End),1,0)</f>
        <v/>
      </c>
      <c r="AE18" s="34">
        <f>IF(OR(AE$4&gt;=T_Delivery,AE$4=T_End),1,0)</f>
        <v/>
      </c>
      <c r="AF18" s="34">
        <f>IF(OR(AF$4&gt;=T_Delivery,AF$4=T_End),1,0)</f>
        <v/>
      </c>
      <c r="AG18" s="34">
        <f>IF(OR(AG$4&gt;=T_Delivery,AG$4=T_End),1,0)</f>
        <v/>
      </c>
      <c r="AH18" s="34">
        <f>IF(OR(AH$4&gt;=T_Delivery,AH$4=T_End),1,0)</f>
        <v/>
      </c>
      <c r="AI18" s="34">
        <f>IF(OR(AI$4&gt;=T_Delivery,AI$4=T_End),1,0)</f>
        <v/>
      </c>
      <c r="AJ18" s="34">
        <f>IF(OR(AJ$4&gt;=T_Delivery,AJ$4=T_End),1,0)</f>
        <v/>
      </c>
      <c r="AK18" s="34">
        <f>IF(OR(AK$4&gt;=T_Delivery,AK$4=T_End),1,0)</f>
        <v/>
      </c>
      <c r="AL18" s="34">
        <f>IF(OR(AL$4&gt;=T_Delivery,AL$4=T_End),1,0)</f>
        <v/>
      </c>
      <c r="AM18" s="34">
        <f>IF(OR(AM$4&gt;=T_Delivery,AM$4=T_End),1,0)</f>
        <v/>
      </c>
      <c r="AN18" s="34">
        <f>IF(OR(AN$4&gt;=T_Delivery,AN$4=T_End),1,0)</f>
        <v/>
      </c>
      <c r="AO18" s="34">
        <f>IF(OR(AO$4&gt;=T_Delivery,AO$4=T_End),1,0)</f>
        <v/>
      </c>
      <c r="AP18" s="34">
        <f>IF(OR(AP$4&gt;=T_Delivery,AP$4=T_End),1,0)</f>
        <v/>
      </c>
      <c r="AQ18" s="34">
        <f>IF(OR(AQ$4&gt;=T_Delivery,AQ$4=T_End),1,0)</f>
        <v/>
      </c>
      <c r="AR18" s="34">
        <f>IF(OR(AR$4&gt;=T_Delivery,AR$4=T_End),1,0)</f>
        <v/>
      </c>
      <c r="AS18" s="34">
        <f>IF(OR(AS$4&gt;=T_Delivery,AS$4=T_End),1,0)</f>
        <v/>
      </c>
      <c r="AT18" s="34">
        <f>IF(OR(AT$4&gt;=T_Delivery,AT$4=T_End),1,0)</f>
        <v/>
      </c>
      <c r="AU18" s="34">
        <f>IF(OR(AU$4&gt;=T_Delivery,AU$4=T_End),1,0)</f>
        <v/>
      </c>
      <c r="AV18" s="34">
        <f>IF(OR(AV$4&gt;=T_Delivery,AV$4=T_End),1,0)</f>
        <v/>
      </c>
      <c r="AW18" s="34">
        <f>IF(OR(AW$4&gt;=T_Delivery,AW$4=T_End),1,0)</f>
        <v/>
      </c>
      <c r="AX18" s="34">
        <f>IF(OR(AX$4&gt;=T_Delivery,AX$4=T_End),1,0)</f>
        <v/>
      </c>
      <c r="AY18" s="34">
        <f>IF(OR(AY$4&gt;=T_Delivery,AY$4=T_End),1,0)</f>
        <v/>
      </c>
      <c r="AZ18" s="34">
        <f>IF(OR(AZ$4&gt;=T_Delivery,AZ$4=T_End),1,0)</f>
        <v/>
      </c>
      <c r="BA18" s="34">
        <f>IF(OR(BA$4&gt;=T_Delivery,BA$4=T_End),1,0)</f>
        <v/>
      </c>
      <c r="BB18" s="34">
        <f>IF(OR(BB$4&gt;=T_Delivery,BB$4=T_End),1,0)</f>
        <v/>
      </c>
      <c r="BC18" s="34">
        <f>IF(OR(BC$4&gt;=T_Delivery,BC$4=T_End),1,0)</f>
        <v/>
      </c>
      <c r="BD18" s="34">
        <f>IF(OR(BD$4&gt;=T_Delivery,BD$4=T_End),1,0)</f>
        <v/>
      </c>
      <c r="BE18" s="34">
        <f>IF(OR(BE$4&gt;=T_Delivery,BE$4=T_End),1,0)</f>
        <v/>
      </c>
      <c r="BF18" s="34">
        <f>IF(OR(BF$4&gt;=T_Delivery,BF$4=T_End),1,0)</f>
        <v/>
      </c>
      <c r="BG18" s="34">
        <f>IF(OR(BG$4&gt;=T_Delivery,BG$4=T_End),1,0)</f>
        <v/>
      </c>
      <c r="BH18" s="34">
        <f>IF(OR(BH$4&gt;=T_Delivery,BH$4=T_End),1,0)</f>
        <v/>
      </c>
      <c r="BI18" s="34">
        <f>IF(OR(BI$4&gt;=T_Delivery,BI$4=T_End),1,0)</f>
        <v/>
      </c>
      <c r="BJ18" s="34">
        <f>IF(OR(BJ$4&gt;=T_Delivery,BJ$4=T_End),1,0)</f>
        <v/>
      </c>
      <c r="BK18" s="34">
        <f>IF(OR(BK$4&gt;=T_Delivery,BK$4=T_End),1,0)</f>
        <v/>
      </c>
      <c r="BL18" s="34">
        <f>IF(OR(BL$4&gt;=T_Delivery,BL$4=T_End),1,0)</f>
        <v/>
      </c>
      <c r="BM18" s="34">
        <f>IF(OR(BM$4&gt;=T_Delivery,BM$4=T_End),1,0)</f>
        <v/>
      </c>
      <c r="BN18" s="34">
        <f>IF(OR(BN$4&gt;=T_Delivery,BN$4=T_End),1,0)</f>
        <v/>
      </c>
      <c r="BO18" s="34">
        <f>IF(OR(BO$4&gt;=T_Delivery,BO$4=T_End),1,0)</f>
        <v/>
      </c>
      <c r="BP18" s="34">
        <f>IF(OR(BP$4&gt;=T_Delivery,BP$4=T_End),1,0)</f>
        <v/>
      </c>
      <c r="BQ18" s="34">
        <f>IF(OR(BQ$4&gt;=T_Delivery,BQ$4=T_End),1,0)</f>
        <v/>
      </c>
      <c r="BR18" s="34">
        <f>IF(OR(BR$4&gt;=T_Delivery,BR$4=T_End),1,0)</f>
        <v/>
      </c>
      <c r="BS18" s="34">
        <f>IF(OR(BS$4&gt;=T_Delivery,BS$4=T_End),1,0)</f>
        <v/>
      </c>
      <c r="BT18" s="34">
        <f>IF(OR(BT$4&gt;=T_Delivery,BT$4=T_End),1,0)</f>
        <v/>
      </c>
      <c r="BU18" s="34">
        <f>IF(OR(BU$4&gt;=T_Delivery,BU$4=T_End),1,0)</f>
        <v/>
      </c>
      <c r="BV18" s="34">
        <f>IF(OR(BV$4&gt;=T_Delivery,BV$4=T_End),1,0)</f>
        <v/>
      </c>
      <c r="BW18" s="34">
        <f>IF(OR(BW$4&gt;=T_Delivery,BW$4=T_End),1,0)</f>
        <v/>
      </c>
      <c r="BX18" s="34">
        <f>IF(OR(BX$4&gt;=T_Delivery,BX$4=T_End),1,0)</f>
        <v/>
      </c>
      <c r="BY18" s="34">
        <f>IF(OR(BY$4&gt;=T_Delivery,BY$4=T_End),1,0)</f>
        <v/>
      </c>
      <c r="BZ18" s="34">
        <f>IF(OR(BZ$4&gt;=T_Delivery,BZ$4=T_End),1,0)</f>
        <v/>
      </c>
      <c r="CA18" s="34">
        <f>IF(OR(CA$4&gt;=T_Delivery,CA$4=T_End),1,0)</f>
        <v/>
      </c>
      <c r="CB18" s="34">
        <f>IF(OR(CB$4&gt;=T_Delivery,CB$4=T_End),1,0)</f>
        <v/>
      </c>
      <c r="CC18" s="34">
        <f>IF(OR(CC$4&gt;=T_Delivery,CC$4=T_End),1,0)</f>
        <v/>
      </c>
      <c r="CD18" s="34">
        <f>IF(OR(CD$4&gt;=T_Delivery,CD$4=T_End),1,0)</f>
        <v/>
      </c>
      <c r="CE18" s="34">
        <f>IF(OR(CE$4&gt;=T_Delivery,CE$4=T_End),1,0)</f>
        <v/>
      </c>
      <c r="CF18" s="34">
        <f>IF(OR(CF$4&gt;=T_Delivery,CF$4=T_End),1,0)</f>
        <v/>
      </c>
      <c r="CG18" s="34">
        <f>IF(OR(CG$4&gt;=T_Delivery,CG$4=T_End),1,0)</f>
        <v/>
      </c>
      <c r="CH18" s="34">
        <f>IF(OR(CH$4&gt;=T_Delivery,CH$4=T_End),1,0)</f>
        <v/>
      </c>
      <c r="CI18" s="34">
        <f>IF(OR(CI$4&gt;=T_Delivery,CI$4=T_End),1,0)</f>
        <v/>
      </c>
      <c r="CJ18" s="34">
        <f>IF(OR(CJ$4&gt;=T_Delivery,CJ$4=T_End),1,0)</f>
        <v/>
      </c>
      <c r="CK18" s="34">
        <f>IF(OR(CK$4&gt;=T_Delivery,CK$4=T_End),1,0)</f>
        <v/>
      </c>
      <c r="CL18" s="34">
        <f>IF(OR(CL$4&gt;=T_Delivery,CL$4=T_End),1,0)</f>
        <v/>
      </c>
      <c r="CM18" s="34">
        <f>IF(OR(CM$4&gt;=T_Delivery,CM$4=T_End),1,0)</f>
        <v/>
      </c>
      <c r="CN18" s="34">
        <f>IF(OR(CN$4&gt;=T_Delivery,CN$4=T_End),1,0)</f>
        <v/>
      </c>
      <c r="CO18" s="34">
        <f>IF(OR(CO$4&gt;=T_Delivery,CO$4=T_End),1,0)</f>
        <v/>
      </c>
      <c r="CP18" s="34">
        <f>IF(OR(CP$4&gt;=T_Delivery,CP$4=T_End),1,0)</f>
        <v/>
      </c>
      <c r="CQ18" s="34">
        <f>IF(OR(CQ$4&gt;=T_Delivery,CQ$4=T_End),1,0)</f>
        <v/>
      </c>
      <c r="CR18" s="34">
        <f>IF(OR(CR$4&gt;=T_Delivery,CR$4=T_End),1,0)</f>
        <v/>
      </c>
      <c r="CS18" s="34">
        <f>IF(OR(CS$4&gt;=T_Delivery,CS$4=T_End),1,0)</f>
        <v/>
      </c>
      <c r="CT18" s="34">
        <f>IF(OR(CT$4&gt;=T_Delivery,CT$4=T_End),1,0)</f>
        <v/>
      </c>
      <c r="CU18" s="34">
        <f>IF(OR(CU$4&gt;=T_Delivery,CU$4=T_End),1,0)</f>
        <v/>
      </c>
    </row>
    <row r="19">
      <c r="A19" s="13" t="inlineStr">
        <is>
          <t>Unlevered cash flow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4" t="n"/>
      <c r="CF19" s="14" t="n"/>
      <c r="CG19" s="14" t="n"/>
      <c r="CH19" s="14" t="n"/>
      <c r="CI19" s="14" t="n"/>
      <c r="CJ19" s="14" t="n"/>
      <c r="CK19" s="14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</row>
    <row r="20">
      <c r="A20" s="7" t="inlineStr">
        <is>
          <t>Development costs</t>
        </is>
      </c>
      <c r="B20" s="21">
        <f>SUM(D20:CU20)</f>
        <v/>
      </c>
      <c r="C20" s="11" t="inlineStr"/>
      <c r="D20" s="34">
        <f>Construction!D32</f>
        <v/>
      </c>
      <c r="E20" s="34">
        <f>Construction!E32</f>
        <v/>
      </c>
      <c r="F20" s="34">
        <f>Construction!F32</f>
        <v/>
      </c>
      <c r="G20" s="34">
        <f>Construction!G32</f>
        <v/>
      </c>
      <c r="H20" s="34">
        <f>Construction!H32</f>
        <v/>
      </c>
      <c r="I20" s="34">
        <f>Construction!I32</f>
        <v/>
      </c>
      <c r="J20" s="34">
        <f>Construction!J32</f>
        <v/>
      </c>
      <c r="K20" s="34">
        <f>Construction!K32</f>
        <v/>
      </c>
      <c r="L20" s="34">
        <f>Construction!L32</f>
        <v/>
      </c>
      <c r="M20" s="34">
        <f>Construction!M32</f>
        <v/>
      </c>
      <c r="N20" s="34">
        <f>Construction!N32</f>
        <v/>
      </c>
      <c r="O20" s="34">
        <f>Construction!O32</f>
        <v/>
      </c>
      <c r="P20" s="34">
        <f>Construction!P32</f>
        <v/>
      </c>
      <c r="Q20" s="34">
        <f>Construction!Q32</f>
        <v/>
      </c>
      <c r="R20" s="34">
        <f>Construction!R32</f>
        <v/>
      </c>
      <c r="S20" s="34">
        <f>Construction!S32</f>
        <v/>
      </c>
      <c r="T20" s="34">
        <f>Construction!T32</f>
        <v/>
      </c>
      <c r="U20" s="34">
        <f>Construction!U32</f>
        <v/>
      </c>
      <c r="V20" s="34">
        <f>Construction!V32</f>
        <v/>
      </c>
      <c r="W20" s="34">
        <f>Construction!W32</f>
        <v/>
      </c>
      <c r="X20" s="34">
        <f>Construction!X32</f>
        <v/>
      </c>
      <c r="Y20" s="34">
        <f>Construction!Y32</f>
        <v/>
      </c>
      <c r="Z20" s="34">
        <f>Construction!Z32</f>
        <v/>
      </c>
      <c r="AA20" s="34">
        <f>Construction!AA32</f>
        <v/>
      </c>
      <c r="AB20" s="34">
        <f>Construction!AB32</f>
        <v/>
      </c>
      <c r="AC20" s="34">
        <f>Construction!AC32</f>
        <v/>
      </c>
      <c r="AD20" s="34">
        <f>Construction!AD32</f>
        <v/>
      </c>
      <c r="AE20" s="34">
        <f>Construction!AE32</f>
        <v/>
      </c>
      <c r="AF20" s="34">
        <f>Construction!AF32</f>
        <v/>
      </c>
      <c r="AG20" s="34">
        <f>Construction!AG32</f>
        <v/>
      </c>
      <c r="AH20" s="34">
        <f>Construction!AH32</f>
        <v/>
      </c>
      <c r="AI20" s="34">
        <f>Construction!AI32</f>
        <v/>
      </c>
      <c r="AJ20" s="34">
        <f>Construction!AJ32</f>
        <v/>
      </c>
      <c r="AK20" s="34">
        <f>Construction!AK32</f>
        <v/>
      </c>
      <c r="AL20" s="34">
        <f>Construction!AL32</f>
        <v/>
      </c>
      <c r="AM20" s="34">
        <f>Construction!AM32</f>
        <v/>
      </c>
      <c r="AN20" s="34">
        <f>Construction!AN32</f>
        <v/>
      </c>
      <c r="AO20" s="34">
        <f>Construction!AO32</f>
        <v/>
      </c>
      <c r="AP20" s="34">
        <f>Construction!AP32</f>
        <v/>
      </c>
      <c r="AQ20" s="34">
        <f>Construction!AQ32</f>
        <v/>
      </c>
      <c r="AR20" s="34">
        <f>Construction!AR32</f>
        <v/>
      </c>
      <c r="AS20" s="34">
        <f>Construction!AS32</f>
        <v/>
      </c>
      <c r="AT20" s="34">
        <f>Construction!AT32</f>
        <v/>
      </c>
      <c r="AU20" s="34">
        <f>Construction!AU32</f>
        <v/>
      </c>
      <c r="AV20" s="34">
        <f>Construction!AV32</f>
        <v/>
      </c>
      <c r="AW20" s="34">
        <f>Construction!AW32</f>
        <v/>
      </c>
      <c r="AX20" s="34">
        <f>Construction!AX32</f>
        <v/>
      </c>
      <c r="AY20" s="34">
        <f>Construction!AY32</f>
        <v/>
      </c>
      <c r="AZ20" s="34">
        <f>Construction!AZ32</f>
        <v/>
      </c>
      <c r="BA20" s="34">
        <f>Construction!BA32</f>
        <v/>
      </c>
      <c r="BB20" s="34">
        <f>Construction!BB32</f>
        <v/>
      </c>
      <c r="BC20" s="34">
        <f>Construction!BC32</f>
        <v/>
      </c>
      <c r="BD20" s="34">
        <f>Construction!BD32</f>
        <v/>
      </c>
      <c r="BE20" s="34">
        <f>Construction!BE32</f>
        <v/>
      </c>
      <c r="BF20" s="34">
        <f>Construction!BF32</f>
        <v/>
      </c>
      <c r="BG20" s="34">
        <f>Construction!BG32</f>
        <v/>
      </c>
      <c r="BH20" s="34">
        <f>Construction!BH32</f>
        <v/>
      </c>
      <c r="BI20" s="34">
        <f>Construction!BI32</f>
        <v/>
      </c>
      <c r="BJ20" s="34">
        <f>Construction!BJ32</f>
        <v/>
      </c>
      <c r="BK20" s="34">
        <f>Construction!BK32</f>
        <v/>
      </c>
      <c r="BL20" s="34">
        <f>Construction!BL32</f>
        <v/>
      </c>
      <c r="BM20" s="34">
        <f>Construction!BM32</f>
        <v/>
      </c>
      <c r="BN20" s="34">
        <f>Construction!BN32</f>
        <v/>
      </c>
      <c r="BO20" s="34">
        <f>Construction!BO32</f>
        <v/>
      </c>
      <c r="BP20" s="34">
        <f>Construction!BP32</f>
        <v/>
      </c>
      <c r="BQ20" s="34">
        <f>Construction!BQ32</f>
        <v/>
      </c>
      <c r="BR20" s="34">
        <f>Construction!BR32</f>
        <v/>
      </c>
      <c r="BS20" s="34">
        <f>Construction!BS32</f>
        <v/>
      </c>
      <c r="BT20" s="34">
        <f>Construction!BT32</f>
        <v/>
      </c>
      <c r="BU20" s="34">
        <f>Construction!BU32</f>
        <v/>
      </c>
      <c r="BV20" s="34">
        <f>Construction!BV32</f>
        <v/>
      </c>
      <c r="BW20" s="34">
        <f>Construction!BW32</f>
        <v/>
      </c>
      <c r="BX20" s="34">
        <f>Construction!BX32</f>
        <v/>
      </c>
      <c r="BY20" s="34">
        <f>Construction!BY32</f>
        <v/>
      </c>
      <c r="BZ20" s="34">
        <f>Construction!BZ32</f>
        <v/>
      </c>
      <c r="CA20" s="34">
        <f>Construction!CA32</f>
        <v/>
      </c>
      <c r="CB20" s="34">
        <f>Construction!CB32</f>
        <v/>
      </c>
      <c r="CC20" s="34">
        <f>Construction!CC32</f>
        <v/>
      </c>
      <c r="CD20" s="34">
        <f>Construction!CD32</f>
        <v/>
      </c>
      <c r="CE20" s="34">
        <f>Construction!CE32</f>
        <v/>
      </c>
      <c r="CF20" s="34">
        <f>Construction!CF32</f>
        <v/>
      </c>
      <c r="CG20" s="34">
        <f>Construction!CG32</f>
        <v/>
      </c>
      <c r="CH20" s="34">
        <f>Construction!CH32</f>
        <v/>
      </c>
      <c r="CI20" s="34">
        <f>Construction!CI32</f>
        <v/>
      </c>
      <c r="CJ20" s="34">
        <f>Construction!CJ32</f>
        <v/>
      </c>
      <c r="CK20" s="34">
        <f>Construction!CK32</f>
        <v/>
      </c>
      <c r="CL20" s="34">
        <f>Construction!CL32</f>
        <v/>
      </c>
      <c r="CM20" s="34">
        <f>Construction!CM32</f>
        <v/>
      </c>
      <c r="CN20" s="34">
        <f>Construction!CN32</f>
        <v/>
      </c>
      <c r="CO20" s="34">
        <f>Construction!CO32</f>
        <v/>
      </c>
      <c r="CP20" s="34">
        <f>Construction!CP32</f>
        <v/>
      </c>
      <c r="CQ20" s="34">
        <f>Construction!CQ32</f>
        <v/>
      </c>
      <c r="CR20" s="34">
        <f>Construction!CR32</f>
        <v/>
      </c>
      <c r="CS20" s="34">
        <f>Construction!CS32</f>
        <v/>
      </c>
      <c r="CT20" s="34">
        <f>Construction!CT32</f>
        <v/>
      </c>
      <c r="CU20" s="34">
        <f>Construction!CU32</f>
        <v/>
      </c>
    </row>
    <row r="21">
      <c r="A21" s="7" t="inlineStr">
        <is>
          <t>Sales costs</t>
        </is>
      </c>
      <c r="B21" s="21">
        <f>SUM(D21:CU21)</f>
        <v/>
      </c>
      <c r="C21" s="11" t="inlineStr"/>
      <c r="D21" s="34">
        <f>IF(in_mode_sale=1,Sales!D30,0)</f>
        <v/>
      </c>
      <c r="E21" s="34">
        <f>IF(in_mode_sale=1,Sales!E30,0)</f>
        <v/>
      </c>
      <c r="F21" s="34">
        <f>IF(in_mode_sale=1,Sales!F30,0)</f>
        <v/>
      </c>
      <c r="G21" s="34">
        <f>IF(in_mode_sale=1,Sales!G30,0)</f>
        <v/>
      </c>
      <c r="H21" s="34">
        <f>IF(in_mode_sale=1,Sales!H30,0)</f>
        <v/>
      </c>
      <c r="I21" s="34">
        <f>IF(in_mode_sale=1,Sales!I30,0)</f>
        <v/>
      </c>
      <c r="J21" s="34">
        <f>IF(in_mode_sale=1,Sales!J30,0)</f>
        <v/>
      </c>
      <c r="K21" s="34">
        <f>IF(in_mode_sale=1,Sales!K30,0)</f>
        <v/>
      </c>
      <c r="L21" s="34">
        <f>IF(in_mode_sale=1,Sales!L30,0)</f>
        <v/>
      </c>
      <c r="M21" s="34">
        <f>IF(in_mode_sale=1,Sales!M30,0)</f>
        <v/>
      </c>
      <c r="N21" s="34">
        <f>IF(in_mode_sale=1,Sales!N30,0)</f>
        <v/>
      </c>
      <c r="O21" s="34">
        <f>IF(in_mode_sale=1,Sales!O30,0)</f>
        <v/>
      </c>
      <c r="P21" s="34">
        <f>IF(in_mode_sale=1,Sales!P30,0)</f>
        <v/>
      </c>
      <c r="Q21" s="34">
        <f>IF(in_mode_sale=1,Sales!Q30,0)</f>
        <v/>
      </c>
      <c r="R21" s="34">
        <f>IF(in_mode_sale=1,Sales!R30,0)</f>
        <v/>
      </c>
      <c r="S21" s="34">
        <f>IF(in_mode_sale=1,Sales!S30,0)</f>
        <v/>
      </c>
      <c r="T21" s="34">
        <f>IF(in_mode_sale=1,Sales!T30,0)</f>
        <v/>
      </c>
      <c r="U21" s="34">
        <f>IF(in_mode_sale=1,Sales!U30,0)</f>
        <v/>
      </c>
      <c r="V21" s="34">
        <f>IF(in_mode_sale=1,Sales!V30,0)</f>
        <v/>
      </c>
      <c r="W21" s="34">
        <f>IF(in_mode_sale=1,Sales!W30,0)</f>
        <v/>
      </c>
      <c r="X21" s="34">
        <f>IF(in_mode_sale=1,Sales!X30,0)</f>
        <v/>
      </c>
      <c r="Y21" s="34">
        <f>IF(in_mode_sale=1,Sales!Y30,0)</f>
        <v/>
      </c>
      <c r="Z21" s="34">
        <f>IF(in_mode_sale=1,Sales!Z30,0)</f>
        <v/>
      </c>
      <c r="AA21" s="34">
        <f>IF(in_mode_sale=1,Sales!AA30,0)</f>
        <v/>
      </c>
      <c r="AB21" s="34">
        <f>IF(in_mode_sale=1,Sales!AB30,0)</f>
        <v/>
      </c>
      <c r="AC21" s="34">
        <f>IF(in_mode_sale=1,Sales!AC30,0)</f>
        <v/>
      </c>
      <c r="AD21" s="34">
        <f>IF(in_mode_sale=1,Sales!AD30,0)</f>
        <v/>
      </c>
      <c r="AE21" s="34">
        <f>IF(in_mode_sale=1,Sales!AE30,0)</f>
        <v/>
      </c>
      <c r="AF21" s="34">
        <f>IF(in_mode_sale=1,Sales!AF30,0)</f>
        <v/>
      </c>
      <c r="AG21" s="34">
        <f>IF(in_mode_sale=1,Sales!AG30,0)</f>
        <v/>
      </c>
      <c r="AH21" s="34">
        <f>IF(in_mode_sale=1,Sales!AH30,0)</f>
        <v/>
      </c>
      <c r="AI21" s="34">
        <f>IF(in_mode_sale=1,Sales!AI30,0)</f>
        <v/>
      </c>
      <c r="AJ21" s="34">
        <f>IF(in_mode_sale=1,Sales!AJ30,0)</f>
        <v/>
      </c>
      <c r="AK21" s="34">
        <f>IF(in_mode_sale=1,Sales!AK30,0)</f>
        <v/>
      </c>
      <c r="AL21" s="34">
        <f>IF(in_mode_sale=1,Sales!AL30,0)</f>
        <v/>
      </c>
      <c r="AM21" s="34">
        <f>IF(in_mode_sale=1,Sales!AM30,0)</f>
        <v/>
      </c>
      <c r="AN21" s="34">
        <f>IF(in_mode_sale=1,Sales!AN30,0)</f>
        <v/>
      </c>
      <c r="AO21" s="34">
        <f>IF(in_mode_sale=1,Sales!AO30,0)</f>
        <v/>
      </c>
      <c r="AP21" s="34">
        <f>IF(in_mode_sale=1,Sales!AP30,0)</f>
        <v/>
      </c>
      <c r="AQ21" s="34">
        <f>IF(in_mode_sale=1,Sales!AQ30,0)</f>
        <v/>
      </c>
      <c r="AR21" s="34">
        <f>IF(in_mode_sale=1,Sales!AR30,0)</f>
        <v/>
      </c>
      <c r="AS21" s="34">
        <f>IF(in_mode_sale=1,Sales!AS30,0)</f>
        <v/>
      </c>
      <c r="AT21" s="34">
        <f>IF(in_mode_sale=1,Sales!AT30,0)</f>
        <v/>
      </c>
      <c r="AU21" s="34">
        <f>IF(in_mode_sale=1,Sales!AU30,0)</f>
        <v/>
      </c>
      <c r="AV21" s="34">
        <f>IF(in_mode_sale=1,Sales!AV30,0)</f>
        <v/>
      </c>
      <c r="AW21" s="34">
        <f>IF(in_mode_sale=1,Sales!AW30,0)</f>
        <v/>
      </c>
      <c r="AX21" s="34">
        <f>IF(in_mode_sale=1,Sales!AX30,0)</f>
        <v/>
      </c>
      <c r="AY21" s="34">
        <f>IF(in_mode_sale=1,Sales!AY30,0)</f>
        <v/>
      </c>
      <c r="AZ21" s="34">
        <f>IF(in_mode_sale=1,Sales!AZ30,0)</f>
        <v/>
      </c>
      <c r="BA21" s="34">
        <f>IF(in_mode_sale=1,Sales!BA30,0)</f>
        <v/>
      </c>
      <c r="BB21" s="34">
        <f>IF(in_mode_sale=1,Sales!BB30,0)</f>
        <v/>
      </c>
      <c r="BC21" s="34">
        <f>IF(in_mode_sale=1,Sales!BC30,0)</f>
        <v/>
      </c>
      <c r="BD21" s="34">
        <f>IF(in_mode_sale=1,Sales!BD30,0)</f>
        <v/>
      </c>
      <c r="BE21" s="34">
        <f>IF(in_mode_sale=1,Sales!BE30,0)</f>
        <v/>
      </c>
      <c r="BF21" s="34">
        <f>IF(in_mode_sale=1,Sales!BF30,0)</f>
        <v/>
      </c>
      <c r="BG21" s="34">
        <f>IF(in_mode_sale=1,Sales!BG30,0)</f>
        <v/>
      </c>
      <c r="BH21" s="34">
        <f>IF(in_mode_sale=1,Sales!BH30,0)</f>
        <v/>
      </c>
      <c r="BI21" s="34">
        <f>IF(in_mode_sale=1,Sales!BI30,0)</f>
        <v/>
      </c>
      <c r="BJ21" s="34">
        <f>IF(in_mode_sale=1,Sales!BJ30,0)</f>
        <v/>
      </c>
      <c r="BK21" s="34">
        <f>IF(in_mode_sale=1,Sales!BK30,0)</f>
        <v/>
      </c>
      <c r="BL21" s="34">
        <f>IF(in_mode_sale=1,Sales!BL30,0)</f>
        <v/>
      </c>
      <c r="BM21" s="34">
        <f>IF(in_mode_sale=1,Sales!BM30,0)</f>
        <v/>
      </c>
      <c r="BN21" s="34">
        <f>IF(in_mode_sale=1,Sales!BN30,0)</f>
        <v/>
      </c>
      <c r="BO21" s="34">
        <f>IF(in_mode_sale=1,Sales!BO30,0)</f>
        <v/>
      </c>
      <c r="BP21" s="34">
        <f>IF(in_mode_sale=1,Sales!BP30,0)</f>
        <v/>
      </c>
      <c r="BQ21" s="34">
        <f>IF(in_mode_sale=1,Sales!BQ30,0)</f>
        <v/>
      </c>
      <c r="BR21" s="34">
        <f>IF(in_mode_sale=1,Sales!BR30,0)</f>
        <v/>
      </c>
      <c r="BS21" s="34">
        <f>IF(in_mode_sale=1,Sales!BS30,0)</f>
        <v/>
      </c>
      <c r="BT21" s="34">
        <f>IF(in_mode_sale=1,Sales!BT30,0)</f>
        <v/>
      </c>
      <c r="BU21" s="34">
        <f>IF(in_mode_sale=1,Sales!BU30,0)</f>
        <v/>
      </c>
      <c r="BV21" s="34">
        <f>IF(in_mode_sale=1,Sales!BV30,0)</f>
        <v/>
      </c>
      <c r="BW21" s="34">
        <f>IF(in_mode_sale=1,Sales!BW30,0)</f>
        <v/>
      </c>
      <c r="BX21" s="34">
        <f>IF(in_mode_sale=1,Sales!BX30,0)</f>
        <v/>
      </c>
      <c r="BY21" s="34">
        <f>IF(in_mode_sale=1,Sales!BY30,0)</f>
        <v/>
      </c>
      <c r="BZ21" s="34">
        <f>IF(in_mode_sale=1,Sales!BZ30,0)</f>
        <v/>
      </c>
      <c r="CA21" s="34">
        <f>IF(in_mode_sale=1,Sales!CA30,0)</f>
        <v/>
      </c>
      <c r="CB21" s="34">
        <f>IF(in_mode_sale=1,Sales!CB30,0)</f>
        <v/>
      </c>
      <c r="CC21" s="34">
        <f>IF(in_mode_sale=1,Sales!CC30,0)</f>
        <v/>
      </c>
      <c r="CD21" s="34">
        <f>IF(in_mode_sale=1,Sales!CD30,0)</f>
        <v/>
      </c>
      <c r="CE21" s="34">
        <f>IF(in_mode_sale=1,Sales!CE30,0)</f>
        <v/>
      </c>
      <c r="CF21" s="34">
        <f>IF(in_mode_sale=1,Sales!CF30,0)</f>
        <v/>
      </c>
      <c r="CG21" s="34">
        <f>IF(in_mode_sale=1,Sales!CG30,0)</f>
        <v/>
      </c>
      <c r="CH21" s="34">
        <f>IF(in_mode_sale=1,Sales!CH30,0)</f>
        <v/>
      </c>
      <c r="CI21" s="34">
        <f>IF(in_mode_sale=1,Sales!CI30,0)</f>
        <v/>
      </c>
      <c r="CJ21" s="34">
        <f>IF(in_mode_sale=1,Sales!CJ30,0)</f>
        <v/>
      </c>
      <c r="CK21" s="34">
        <f>IF(in_mode_sale=1,Sales!CK30,0)</f>
        <v/>
      </c>
      <c r="CL21" s="34">
        <f>IF(in_mode_sale=1,Sales!CL30,0)</f>
        <v/>
      </c>
      <c r="CM21" s="34">
        <f>IF(in_mode_sale=1,Sales!CM30,0)</f>
        <v/>
      </c>
      <c r="CN21" s="34">
        <f>IF(in_mode_sale=1,Sales!CN30,0)</f>
        <v/>
      </c>
      <c r="CO21" s="34">
        <f>IF(in_mode_sale=1,Sales!CO30,0)</f>
        <v/>
      </c>
      <c r="CP21" s="34">
        <f>IF(in_mode_sale=1,Sales!CP30,0)</f>
        <v/>
      </c>
      <c r="CQ21" s="34">
        <f>IF(in_mode_sale=1,Sales!CQ30,0)</f>
        <v/>
      </c>
      <c r="CR21" s="34">
        <f>IF(in_mode_sale=1,Sales!CR30,0)</f>
        <v/>
      </c>
      <c r="CS21" s="34">
        <f>IF(in_mode_sale=1,Sales!CS30,0)</f>
        <v/>
      </c>
      <c r="CT21" s="34">
        <f>IF(in_mode_sale=1,Sales!CT30,0)</f>
        <v/>
      </c>
      <c r="CU21" s="34">
        <f>IF(in_mode_sale=1,Sales!CU30,0)</f>
        <v/>
      </c>
    </row>
    <row r="22">
      <c r="A22" s="38" t="inlineStr">
        <is>
          <t>Total outflows</t>
        </is>
      </c>
      <c r="B22" s="39">
        <f>SUM(D22:CU22)</f>
        <v/>
      </c>
      <c r="C22" s="40" t="inlineStr"/>
      <c r="D22" s="39">
        <f>IF(D$4&gt;T_End,0,D20+D21)</f>
        <v/>
      </c>
      <c r="E22" s="39">
        <f>IF(E$4&gt;T_End,0,E20+E21)</f>
        <v/>
      </c>
      <c r="F22" s="39">
        <f>IF(F$4&gt;T_End,0,F20+F21)</f>
        <v/>
      </c>
      <c r="G22" s="39">
        <f>IF(G$4&gt;T_End,0,G20+G21)</f>
        <v/>
      </c>
      <c r="H22" s="39">
        <f>IF(H$4&gt;T_End,0,H20+H21)</f>
        <v/>
      </c>
      <c r="I22" s="39">
        <f>IF(I$4&gt;T_End,0,I20+I21)</f>
        <v/>
      </c>
      <c r="J22" s="39">
        <f>IF(J$4&gt;T_End,0,J20+J21)</f>
        <v/>
      </c>
      <c r="K22" s="39">
        <f>IF(K$4&gt;T_End,0,K20+K21)</f>
        <v/>
      </c>
      <c r="L22" s="39">
        <f>IF(L$4&gt;T_End,0,L20+L21)</f>
        <v/>
      </c>
      <c r="M22" s="39">
        <f>IF(M$4&gt;T_End,0,M20+M21)</f>
        <v/>
      </c>
      <c r="N22" s="39">
        <f>IF(N$4&gt;T_End,0,N20+N21)</f>
        <v/>
      </c>
      <c r="O22" s="39">
        <f>IF(O$4&gt;T_End,0,O20+O21)</f>
        <v/>
      </c>
      <c r="P22" s="39">
        <f>IF(P$4&gt;T_End,0,P20+P21)</f>
        <v/>
      </c>
      <c r="Q22" s="39">
        <f>IF(Q$4&gt;T_End,0,Q20+Q21)</f>
        <v/>
      </c>
      <c r="R22" s="39">
        <f>IF(R$4&gt;T_End,0,R20+R21)</f>
        <v/>
      </c>
      <c r="S22" s="39">
        <f>IF(S$4&gt;T_End,0,S20+S21)</f>
        <v/>
      </c>
      <c r="T22" s="39">
        <f>IF(T$4&gt;T_End,0,T20+T21)</f>
        <v/>
      </c>
      <c r="U22" s="39">
        <f>IF(U$4&gt;T_End,0,U20+U21)</f>
        <v/>
      </c>
      <c r="V22" s="39">
        <f>IF(V$4&gt;T_End,0,V20+V21)</f>
        <v/>
      </c>
      <c r="W22" s="39">
        <f>IF(W$4&gt;T_End,0,W20+W21)</f>
        <v/>
      </c>
      <c r="X22" s="39">
        <f>IF(X$4&gt;T_End,0,X20+X21)</f>
        <v/>
      </c>
      <c r="Y22" s="39">
        <f>IF(Y$4&gt;T_End,0,Y20+Y21)</f>
        <v/>
      </c>
      <c r="Z22" s="39">
        <f>IF(Z$4&gt;T_End,0,Z20+Z21)</f>
        <v/>
      </c>
      <c r="AA22" s="39">
        <f>IF(AA$4&gt;T_End,0,AA20+AA21)</f>
        <v/>
      </c>
      <c r="AB22" s="39">
        <f>IF(AB$4&gt;T_End,0,AB20+AB21)</f>
        <v/>
      </c>
      <c r="AC22" s="39">
        <f>IF(AC$4&gt;T_End,0,AC20+AC21)</f>
        <v/>
      </c>
      <c r="AD22" s="39">
        <f>IF(AD$4&gt;T_End,0,AD20+AD21)</f>
        <v/>
      </c>
      <c r="AE22" s="39">
        <f>IF(AE$4&gt;T_End,0,AE20+AE21)</f>
        <v/>
      </c>
      <c r="AF22" s="39">
        <f>IF(AF$4&gt;T_End,0,AF20+AF21)</f>
        <v/>
      </c>
      <c r="AG22" s="39">
        <f>IF(AG$4&gt;T_End,0,AG20+AG21)</f>
        <v/>
      </c>
      <c r="AH22" s="39">
        <f>IF(AH$4&gt;T_End,0,AH20+AH21)</f>
        <v/>
      </c>
      <c r="AI22" s="39">
        <f>IF(AI$4&gt;T_End,0,AI20+AI21)</f>
        <v/>
      </c>
      <c r="AJ22" s="39">
        <f>IF(AJ$4&gt;T_End,0,AJ20+AJ21)</f>
        <v/>
      </c>
      <c r="AK22" s="39">
        <f>IF(AK$4&gt;T_End,0,AK20+AK21)</f>
        <v/>
      </c>
      <c r="AL22" s="39">
        <f>IF(AL$4&gt;T_End,0,AL20+AL21)</f>
        <v/>
      </c>
      <c r="AM22" s="39">
        <f>IF(AM$4&gt;T_End,0,AM20+AM21)</f>
        <v/>
      </c>
      <c r="AN22" s="39">
        <f>IF(AN$4&gt;T_End,0,AN20+AN21)</f>
        <v/>
      </c>
      <c r="AO22" s="39">
        <f>IF(AO$4&gt;T_End,0,AO20+AO21)</f>
        <v/>
      </c>
      <c r="AP22" s="39">
        <f>IF(AP$4&gt;T_End,0,AP20+AP21)</f>
        <v/>
      </c>
      <c r="AQ22" s="39">
        <f>IF(AQ$4&gt;T_End,0,AQ20+AQ21)</f>
        <v/>
      </c>
      <c r="AR22" s="39">
        <f>IF(AR$4&gt;T_End,0,AR20+AR21)</f>
        <v/>
      </c>
      <c r="AS22" s="39">
        <f>IF(AS$4&gt;T_End,0,AS20+AS21)</f>
        <v/>
      </c>
      <c r="AT22" s="39">
        <f>IF(AT$4&gt;T_End,0,AT20+AT21)</f>
        <v/>
      </c>
      <c r="AU22" s="39">
        <f>IF(AU$4&gt;T_End,0,AU20+AU21)</f>
        <v/>
      </c>
      <c r="AV22" s="39">
        <f>IF(AV$4&gt;T_End,0,AV20+AV21)</f>
        <v/>
      </c>
      <c r="AW22" s="39">
        <f>IF(AW$4&gt;T_End,0,AW20+AW21)</f>
        <v/>
      </c>
      <c r="AX22" s="39">
        <f>IF(AX$4&gt;T_End,0,AX20+AX21)</f>
        <v/>
      </c>
      <c r="AY22" s="39">
        <f>IF(AY$4&gt;T_End,0,AY20+AY21)</f>
        <v/>
      </c>
      <c r="AZ22" s="39">
        <f>IF(AZ$4&gt;T_End,0,AZ20+AZ21)</f>
        <v/>
      </c>
      <c r="BA22" s="39">
        <f>IF(BA$4&gt;T_End,0,BA20+BA21)</f>
        <v/>
      </c>
      <c r="BB22" s="39">
        <f>IF(BB$4&gt;T_End,0,BB20+BB21)</f>
        <v/>
      </c>
      <c r="BC22" s="39">
        <f>IF(BC$4&gt;T_End,0,BC20+BC21)</f>
        <v/>
      </c>
      <c r="BD22" s="39">
        <f>IF(BD$4&gt;T_End,0,BD20+BD21)</f>
        <v/>
      </c>
      <c r="BE22" s="39">
        <f>IF(BE$4&gt;T_End,0,BE20+BE21)</f>
        <v/>
      </c>
      <c r="BF22" s="39">
        <f>IF(BF$4&gt;T_End,0,BF20+BF21)</f>
        <v/>
      </c>
      <c r="BG22" s="39">
        <f>IF(BG$4&gt;T_End,0,BG20+BG21)</f>
        <v/>
      </c>
      <c r="BH22" s="39">
        <f>IF(BH$4&gt;T_End,0,BH20+BH21)</f>
        <v/>
      </c>
      <c r="BI22" s="39">
        <f>IF(BI$4&gt;T_End,0,BI20+BI21)</f>
        <v/>
      </c>
      <c r="BJ22" s="39">
        <f>IF(BJ$4&gt;T_End,0,BJ20+BJ21)</f>
        <v/>
      </c>
      <c r="BK22" s="39">
        <f>IF(BK$4&gt;T_End,0,BK20+BK21)</f>
        <v/>
      </c>
      <c r="BL22" s="39">
        <f>IF(BL$4&gt;T_End,0,BL20+BL21)</f>
        <v/>
      </c>
      <c r="BM22" s="39">
        <f>IF(BM$4&gt;T_End,0,BM20+BM21)</f>
        <v/>
      </c>
      <c r="BN22" s="39">
        <f>IF(BN$4&gt;T_End,0,BN20+BN21)</f>
        <v/>
      </c>
      <c r="BO22" s="39">
        <f>IF(BO$4&gt;T_End,0,BO20+BO21)</f>
        <v/>
      </c>
      <c r="BP22" s="39">
        <f>IF(BP$4&gt;T_End,0,BP20+BP21)</f>
        <v/>
      </c>
      <c r="BQ22" s="39">
        <f>IF(BQ$4&gt;T_End,0,BQ20+BQ21)</f>
        <v/>
      </c>
      <c r="BR22" s="39">
        <f>IF(BR$4&gt;T_End,0,BR20+BR21)</f>
        <v/>
      </c>
      <c r="BS22" s="39">
        <f>IF(BS$4&gt;T_End,0,BS20+BS21)</f>
        <v/>
      </c>
      <c r="BT22" s="39">
        <f>IF(BT$4&gt;T_End,0,BT20+BT21)</f>
        <v/>
      </c>
      <c r="BU22" s="39">
        <f>IF(BU$4&gt;T_End,0,BU20+BU21)</f>
        <v/>
      </c>
      <c r="BV22" s="39">
        <f>IF(BV$4&gt;T_End,0,BV20+BV21)</f>
        <v/>
      </c>
      <c r="BW22" s="39">
        <f>IF(BW$4&gt;T_End,0,BW20+BW21)</f>
        <v/>
      </c>
      <c r="BX22" s="39">
        <f>IF(BX$4&gt;T_End,0,BX20+BX21)</f>
        <v/>
      </c>
      <c r="BY22" s="39">
        <f>IF(BY$4&gt;T_End,0,BY20+BY21)</f>
        <v/>
      </c>
      <c r="BZ22" s="39">
        <f>IF(BZ$4&gt;T_End,0,BZ20+BZ21)</f>
        <v/>
      </c>
      <c r="CA22" s="39">
        <f>IF(CA$4&gt;T_End,0,CA20+CA21)</f>
        <v/>
      </c>
      <c r="CB22" s="39">
        <f>IF(CB$4&gt;T_End,0,CB20+CB21)</f>
        <v/>
      </c>
      <c r="CC22" s="39">
        <f>IF(CC$4&gt;T_End,0,CC20+CC21)</f>
        <v/>
      </c>
      <c r="CD22" s="39">
        <f>IF(CD$4&gt;T_End,0,CD20+CD21)</f>
        <v/>
      </c>
      <c r="CE22" s="39">
        <f>IF(CE$4&gt;T_End,0,CE20+CE21)</f>
        <v/>
      </c>
      <c r="CF22" s="39">
        <f>IF(CF$4&gt;T_End,0,CF20+CF21)</f>
        <v/>
      </c>
      <c r="CG22" s="39">
        <f>IF(CG$4&gt;T_End,0,CG20+CG21)</f>
        <v/>
      </c>
      <c r="CH22" s="39">
        <f>IF(CH$4&gt;T_End,0,CH20+CH21)</f>
        <v/>
      </c>
      <c r="CI22" s="39">
        <f>IF(CI$4&gt;T_End,0,CI20+CI21)</f>
        <v/>
      </c>
      <c r="CJ22" s="39">
        <f>IF(CJ$4&gt;T_End,0,CJ20+CJ21)</f>
        <v/>
      </c>
      <c r="CK22" s="39">
        <f>IF(CK$4&gt;T_End,0,CK20+CK21)</f>
        <v/>
      </c>
      <c r="CL22" s="39">
        <f>IF(CL$4&gt;T_End,0,CL20+CL21)</f>
        <v/>
      </c>
      <c r="CM22" s="39">
        <f>IF(CM$4&gt;T_End,0,CM20+CM21)</f>
        <v/>
      </c>
      <c r="CN22" s="39">
        <f>IF(CN$4&gt;T_End,0,CN20+CN21)</f>
        <v/>
      </c>
      <c r="CO22" s="39">
        <f>IF(CO$4&gt;T_End,0,CO20+CO21)</f>
        <v/>
      </c>
      <c r="CP22" s="39">
        <f>IF(CP$4&gt;T_End,0,CP20+CP21)</f>
        <v/>
      </c>
      <c r="CQ22" s="39">
        <f>IF(CQ$4&gt;T_End,0,CQ20+CQ21)</f>
        <v/>
      </c>
      <c r="CR22" s="39">
        <f>IF(CR$4&gt;T_End,0,CR20+CR21)</f>
        <v/>
      </c>
      <c r="CS22" s="39">
        <f>IF(CS$4&gt;T_End,0,CS20+CS21)</f>
        <v/>
      </c>
      <c r="CT22" s="39">
        <f>IF(CT$4&gt;T_End,0,CT20+CT21)</f>
        <v/>
      </c>
      <c r="CU22" s="39">
        <f>IF(CU$4&gt;T_End,0,CU20+CU21)</f>
        <v/>
      </c>
    </row>
    <row r="23">
      <c r="A23" s="7" t="inlineStr">
        <is>
          <t>Sales collections / operating income</t>
        </is>
      </c>
      <c r="B23" s="21">
        <f>SUM(D23:CU23)</f>
        <v/>
      </c>
      <c r="C23" s="11" t="inlineStr"/>
      <c r="D23" s="34">
        <f>IF(in_mode_sale=1,Sales!D25+Sales!D24,Rental!D20)</f>
        <v/>
      </c>
      <c r="E23" s="34">
        <f>IF(in_mode_sale=1,Sales!E25+Sales!E24,Rental!E20)</f>
        <v/>
      </c>
      <c r="F23" s="34">
        <f>IF(in_mode_sale=1,Sales!F25+Sales!F24,Rental!F20)</f>
        <v/>
      </c>
      <c r="G23" s="34">
        <f>IF(in_mode_sale=1,Sales!G25+Sales!G24,Rental!G20)</f>
        <v/>
      </c>
      <c r="H23" s="34">
        <f>IF(in_mode_sale=1,Sales!H25+Sales!H24,Rental!H20)</f>
        <v/>
      </c>
      <c r="I23" s="34">
        <f>IF(in_mode_sale=1,Sales!I25+Sales!I24,Rental!I20)</f>
        <v/>
      </c>
      <c r="J23" s="34">
        <f>IF(in_mode_sale=1,Sales!J25+Sales!J24,Rental!J20)</f>
        <v/>
      </c>
      <c r="K23" s="34">
        <f>IF(in_mode_sale=1,Sales!K25+Sales!K24,Rental!K20)</f>
        <v/>
      </c>
      <c r="L23" s="34">
        <f>IF(in_mode_sale=1,Sales!L25+Sales!L24,Rental!L20)</f>
        <v/>
      </c>
      <c r="M23" s="34">
        <f>IF(in_mode_sale=1,Sales!M25+Sales!M24,Rental!M20)</f>
        <v/>
      </c>
      <c r="N23" s="34">
        <f>IF(in_mode_sale=1,Sales!N25+Sales!N24,Rental!N20)</f>
        <v/>
      </c>
      <c r="O23" s="34">
        <f>IF(in_mode_sale=1,Sales!O25+Sales!O24,Rental!O20)</f>
        <v/>
      </c>
      <c r="P23" s="34">
        <f>IF(in_mode_sale=1,Sales!P25+Sales!P24,Rental!P20)</f>
        <v/>
      </c>
      <c r="Q23" s="34">
        <f>IF(in_mode_sale=1,Sales!Q25+Sales!Q24,Rental!Q20)</f>
        <v/>
      </c>
      <c r="R23" s="34">
        <f>IF(in_mode_sale=1,Sales!R25+Sales!R24,Rental!R20)</f>
        <v/>
      </c>
      <c r="S23" s="34">
        <f>IF(in_mode_sale=1,Sales!S25+Sales!S24,Rental!S20)</f>
        <v/>
      </c>
      <c r="T23" s="34">
        <f>IF(in_mode_sale=1,Sales!T25+Sales!T24,Rental!T20)</f>
        <v/>
      </c>
      <c r="U23" s="34">
        <f>IF(in_mode_sale=1,Sales!U25+Sales!U24,Rental!U20)</f>
        <v/>
      </c>
      <c r="V23" s="34">
        <f>IF(in_mode_sale=1,Sales!V25+Sales!V24,Rental!V20)</f>
        <v/>
      </c>
      <c r="W23" s="34">
        <f>IF(in_mode_sale=1,Sales!W25+Sales!W24,Rental!W20)</f>
        <v/>
      </c>
      <c r="X23" s="34">
        <f>IF(in_mode_sale=1,Sales!X25+Sales!X24,Rental!X20)</f>
        <v/>
      </c>
      <c r="Y23" s="34">
        <f>IF(in_mode_sale=1,Sales!Y25+Sales!Y24,Rental!Y20)</f>
        <v/>
      </c>
      <c r="Z23" s="34">
        <f>IF(in_mode_sale=1,Sales!Z25+Sales!Z24,Rental!Z20)</f>
        <v/>
      </c>
      <c r="AA23" s="34">
        <f>IF(in_mode_sale=1,Sales!AA25+Sales!AA24,Rental!AA20)</f>
        <v/>
      </c>
      <c r="AB23" s="34">
        <f>IF(in_mode_sale=1,Sales!AB25+Sales!AB24,Rental!AB20)</f>
        <v/>
      </c>
      <c r="AC23" s="34">
        <f>IF(in_mode_sale=1,Sales!AC25+Sales!AC24,Rental!AC20)</f>
        <v/>
      </c>
      <c r="AD23" s="34">
        <f>IF(in_mode_sale=1,Sales!AD25+Sales!AD24,Rental!AD20)</f>
        <v/>
      </c>
      <c r="AE23" s="34">
        <f>IF(in_mode_sale=1,Sales!AE25+Sales!AE24,Rental!AE20)</f>
        <v/>
      </c>
      <c r="AF23" s="34">
        <f>IF(in_mode_sale=1,Sales!AF25+Sales!AF24,Rental!AF20)</f>
        <v/>
      </c>
      <c r="AG23" s="34">
        <f>IF(in_mode_sale=1,Sales!AG25+Sales!AG24,Rental!AG20)</f>
        <v/>
      </c>
      <c r="AH23" s="34">
        <f>IF(in_mode_sale=1,Sales!AH25+Sales!AH24,Rental!AH20)</f>
        <v/>
      </c>
      <c r="AI23" s="34">
        <f>IF(in_mode_sale=1,Sales!AI25+Sales!AI24,Rental!AI20)</f>
        <v/>
      </c>
      <c r="AJ23" s="34">
        <f>IF(in_mode_sale=1,Sales!AJ25+Sales!AJ24,Rental!AJ20)</f>
        <v/>
      </c>
      <c r="AK23" s="34">
        <f>IF(in_mode_sale=1,Sales!AK25+Sales!AK24,Rental!AK20)</f>
        <v/>
      </c>
      <c r="AL23" s="34">
        <f>IF(in_mode_sale=1,Sales!AL25+Sales!AL24,Rental!AL20)</f>
        <v/>
      </c>
      <c r="AM23" s="34">
        <f>IF(in_mode_sale=1,Sales!AM25+Sales!AM24,Rental!AM20)</f>
        <v/>
      </c>
      <c r="AN23" s="34">
        <f>IF(in_mode_sale=1,Sales!AN25+Sales!AN24,Rental!AN20)</f>
        <v/>
      </c>
      <c r="AO23" s="34">
        <f>IF(in_mode_sale=1,Sales!AO25+Sales!AO24,Rental!AO20)</f>
        <v/>
      </c>
      <c r="AP23" s="34">
        <f>IF(in_mode_sale=1,Sales!AP25+Sales!AP24,Rental!AP20)</f>
        <v/>
      </c>
      <c r="AQ23" s="34">
        <f>IF(in_mode_sale=1,Sales!AQ25+Sales!AQ24,Rental!AQ20)</f>
        <v/>
      </c>
      <c r="AR23" s="34">
        <f>IF(in_mode_sale=1,Sales!AR25+Sales!AR24,Rental!AR20)</f>
        <v/>
      </c>
      <c r="AS23" s="34">
        <f>IF(in_mode_sale=1,Sales!AS25+Sales!AS24,Rental!AS20)</f>
        <v/>
      </c>
      <c r="AT23" s="34">
        <f>IF(in_mode_sale=1,Sales!AT25+Sales!AT24,Rental!AT20)</f>
        <v/>
      </c>
      <c r="AU23" s="34">
        <f>IF(in_mode_sale=1,Sales!AU25+Sales!AU24,Rental!AU20)</f>
        <v/>
      </c>
      <c r="AV23" s="34">
        <f>IF(in_mode_sale=1,Sales!AV25+Sales!AV24,Rental!AV20)</f>
        <v/>
      </c>
      <c r="AW23" s="34">
        <f>IF(in_mode_sale=1,Sales!AW25+Sales!AW24,Rental!AW20)</f>
        <v/>
      </c>
      <c r="AX23" s="34">
        <f>IF(in_mode_sale=1,Sales!AX25+Sales!AX24,Rental!AX20)</f>
        <v/>
      </c>
      <c r="AY23" s="34">
        <f>IF(in_mode_sale=1,Sales!AY25+Sales!AY24,Rental!AY20)</f>
        <v/>
      </c>
      <c r="AZ23" s="34">
        <f>IF(in_mode_sale=1,Sales!AZ25+Sales!AZ24,Rental!AZ20)</f>
        <v/>
      </c>
      <c r="BA23" s="34">
        <f>IF(in_mode_sale=1,Sales!BA25+Sales!BA24,Rental!BA20)</f>
        <v/>
      </c>
      <c r="BB23" s="34">
        <f>IF(in_mode_sale=1,Sales!BB25+Sales!BB24,Rental!BB20)</f>
        <v/>
      </c>
      <c r="BC23" s="34">
        <f>IF(in_mode_sale=1,Sales!BC25+Sales!BC24,Rental!BC20)</f>
        <v/>
      </c>
      <c r="BD23" s="34">
        <f>IF(in_mode_sale=1,Sales!BD25+Sales!BD24,Rental!BD20)</f>
        <v/>
      </c>
      <c r="BE23" s="34">
        <f>IF(in_mode_sale=1,Sales!BE25+Sales!BE24,Rental!BE20)</f>
        <v/>
      </c>
      <c r="BF23" s="34">
        <f>IF(in_mode_sale=1,Sales!BF25+Sales!BF24,Rental!BF20)</f>
        <v/>
      </c>
      <c r="BG23" s="34">
        <f>IF(in_mode_sale=1,Sales!BG25+Sales!BG24,Rental!BG20)</f>
        <v/>
      </c>
      <c r="BH23" s="34">
        <f>IF(in_mode_sale=1,Sales!BH25+Sales!BH24,Rental!BH20)</f>
        <v/>
      </c>
      <c r="BI23" s="34">
        <f>IF(in_mode_sale=1,Sales!BI25+Sales!BI24,Rental!BI20)</f>
        <v/>
      </c>
      <c r="BJ23" s="34">
        <f>IF(in_mode_sale=1,Sales!BJ25+Sales!BJ24,Rental!BJ20)</f>
        <v/>
      </c>
      <c r="BK23" s="34">
        <f>IF(in_mode_sale=1,Sales!BK25+Sales!BK24,Rental!BK20)</f>
        <v/>
      </c>
      <c r="BL23" s="34">
        <f>IF(in_mode_sale=1,Sales!BL25+Sales!BL24,Rental!BL20)</f>
        <v/>
      </c>
      <c r="BM23" s="34">
        <f>IF(in_mode_sale=1,Sales!BM25+Sales!BM24,Rental!BM20)</f>
        <v/>
      </c>
      <c r="BN23" s="34">
        <f>IF(in_mode_sale=1,Sales!BN25+Sales!BN24,Rental!BN20)</f>
        <v/>
      </c>
      <c r="BO23" s="34">
        <f>IF(in_mode_sale=1,Sales!BO25+Sales!BO24,Rental!BO20)</f>
        <v/>
      </c>
      <c r="BP23" s="34">
        <f>IF(in_mode_sale=1,Sales!BP25+Sales!BP24,Rental!BP20)</f>
        <v/>
      </c>
      <c r="BQ23" s="34">
        <f>IF(in_mode_sale=1,Sales!BQ25+Sales!BQ24,Rental!BQ20)</f>
        <v/>
      </c>
      <c r="BR23" s="34">
        <f>IF(in_mode_sale=1,Sales!BR25+Sales!BR24,Rental!BR20)</f>
        <v/>
      </c>
      <c r="BS23" s="34">
        <f>IF(in_mode_sale=1,Sales!BS25+Sales!BS24,Rental!BS20)</f>
        <v/>
      </c>
      <c r="BT23" s="34">
        <f>IF(in_mode_sale=1,Sales!BT25+Sales!BT24,Rental!BT20)</f>
        <v/>
      </c>
      <c r="BU23" s="34">
        <f>IF(in_mode_sale=1,Sales!BU25+Sales!BU24,Rental!BU20)</f>
        <v/>
      </c>
      <c r="BV23" s="34">
        <f>IF(in_mode_sale=1,Sales!BV25+Sales!BV24,Rental!BV20)</f>
        <v/>
      </c>
      <c r="BW23" s="34">
        <f>IF(in_mode_sale=1,Sales!BW25+Sales!BW24,Rental!BW20)</f>
        <v/>
      </c>
      <c r="BX23" s="34">
        <f>IF(in_mode_sale=1,Sales!BX25+Sales!BX24,Rental!BX20)</f>
        <v/>
      </c>
      <c r="BY23" s="34">
        <f>IF(in_mode_sale=1,Sales!BY25+Sales!BY24,Rental!BY20)</f>
        <v/>
      </c>
      <c r="BZ23" s="34">
        <f>IF(in_mode_sale=1,Sales!BZ25+Sales!BZ24,Rental!BZ20)</f>
        <v/>
      </c>
      <c r="CA23" s="34">
        <f>IF(in_mode_sale=1,Sales!CA25+Sales!CA24,Rental!CA20)</f>
        <v/>
      </c>
      <c r="CB23" s="34">
        <f>IF(in_mode_sale=1,Sales!CB25+Sales!CB24,Rental!CB20)</f>
        <v/>
      </c>
      <c r="CC23" s="34">
        <f>IF(in_mode_sale=1,Sales!CC25+Sales!CC24,Rental!CC20)</f>
        <v/>
      </c>
      <c r="CD23" s="34">
        <f>IF(in_mode_sale=1,Sales!CD25+Sales!CD24,Rental!CD20)</f>
        <v/>
      </c>
      <c r="CE23" s="34">
        <f>IF(in_mode_sale=1,Sales!CE25+Sales!CE24,Rental!CE20)</f>
        <v/>
      </c>
      <c r="CF23" s="34">
        <f>IF(in_mode_sale=1,Sales!CF25+Sales!CF24,Rental!CF20)</f>
        <v/>
      </c>
      <c r="CG23" s="34">
        <f>IF(in_mode_sale=1,Sales!CG25+Sales!CG24,Rental!CG20)</f>
        <v/>
      </c>
      <c r="CH23" s="34">
        <f>IF(in_mode_sale=1,Sales!CH25+Sales!CH24,Rental!CH20)</f>
        <v/>
      </c>
      <c r="CI23" s="34">
        <f>IF(in_mode_sale=1,Sales!CI25+Sales!CI24,Rental!CI20)</f>
        <v/>
      </c>
      <c r="CJ23" s="34">
        <f>IF(in_mode_sale=1,Sales!CJ25+Sales!CJ24,Rental!CJ20)</f>
        <v/>
      </c>
      <c r="CK23" s="34">
        <f>IF(in_mode_sale=1,Sales!CK25+Sales!CK24,Rental!CK20)</f>
        <v/>
      </c>
      <c r="CL23" s="34">
        <f>IF(in_mode_sale=1,Sales!CL25+Sales!CL24,Rental!CL20)</f>
        <v/>
      </c>
      <c r="CM23" s="34">
        <f>IF(in_mode_sale=1,Sales!CM25+Sales!CM24,Rental!CM20)</f>
        <v/>
      </c>
      <c r="CN23" s="34">
        <f>IF(in_mode_sale=1,Sales!CN25+Sales!CN24,Rental!CN20)</f>
        <v/>
      </c>
      <c r="CO23" s="34">
        <f>IF(in_mode_sale=1,Sales!CO25+Sales!CO24,Rental!CO20)</f>
        <v/>
      </c>
      <c r="CP23" s="34">
        <f>IF(in_mode_sale=1,Sales!CP25+Sales!CP24,Rental!CP20)</f>
        <v/>
      </c>
      <c r="CQ23" s="34">
        <f>IF(in_mode_sale=1,Sales!CQ25+Sales!CQ24,Rental!CQ20)</f>
        <v/>
      </c>
      <c r="CR23" s="34">
        <f>IF(in_mode_sale=1,Sales!CR25+Sales!CR24,Rental!CR20)</f>
        <v/>
      </c>
      <c r="CS23" s="34">
        <f>IF(in_mode_sale=1,Sales!CS25+Sales!CS24,Rental!CS20)</f>
        <v/>
      </c>
      <c r="CT23" s="34">
        <f>IF(in_mode_sale=1,Sales!CT25+Sales!CT24,Rental!CT20)</f>
        <v/>
      </c>
      <c r="CU23" s="34">
        <f>IF(in_mode_sale=1,Sales!CU25+Sales!CU24,Rental!CU20)</f>
        <v/>
      </c>
    </row>
    <row r="24">
      <c r="A24" s="7" t="inlineStr">
        <is>
          <t>Other income (custom flows &amp; user-defined)</t>
        </is>
      </c>
      <c r="B24" s="21">
        <f>SUM(D24:CU24)</f>
        <v/>
      </c>
      <c r="C24" s="11" t="inlineStr"/>
      <c r="D24" s="34">
        <f>SUMPRODUCT((cf_type="revenue")*(cf_month=D$4)*cf_amount)+SUMPRODUCT((cv_effect="revenue_fixed")*(cv_start=D$4)*cv_value)+SUMPRODUCT((cv_effect="revenue_monthly")*(cv_start&lt;=D$4)*(cv_end&gt;D$4)*cv_value)+IF(AND(in_mode_sale=0,D$4=R_Start),D_Units*SUMPRODUCT((cv_effect="revenue_per_unit")*cv_value),0)</f>
        <v/>
      </c>
      <c r="E24" s="34">
        <f>SUMPRODUCT((cf_type="revenue")*(cf_month=E$4)*cf_amount)+SUMPRODUCT((cv_effect="revenue_fixed")*(cv_start=E$4)*cv_value)+SUMPRODUCT((cv_effect="revenue_monthly")*(cv_start&lt;=E$4)*(cv_end&gt;E$4)*cv_value)+IF(AND(in_mode_sale=0,E$4=R_Start),D_Units*SUMPRODUCT((cv_effect="revenue_per_unit")*cv_value),0)</f>
        <v/>
      </c>
      <c r="F24" s="34">
        <f>SUMPRODUCT((cf_type="revenue")*(cf_month=F$4)*cf_amount)+SUMPRODUCT((cv_effect="revenue_fixed")*(cv_start=F$4)*cv_value)+SUMPRODUCT((cv_effect="revenue_monthly")*(cv_start&lt;=F$4)*(cv_end&gt;F$4)*cv_value)+IF(AND(in_mode_sale=0,F$4=R_Start),D_Units*SUMPRODUCT((cv_effect="revenue_per_unit")*cv_value),0)</f>
        <v/>
      </c>
      <c r="G24" s="34">
        <f>SUMPRODUCT((cf_type="revenue")*(cf_month=G$4)*cf_amount)+SUMPRODUCT((cv_effect="revenue_fixed")*(cv_start=G$4)*cv_value)+SUMPRODUCT((cv_effect="revenue_monthly")*(cv_start&lt;=G$4)*(cv_end&gt;G$4)*cv_value)+IF(AND(in_mode_sale=0,G$4=R_Start),D_Units*SUMPRODUCT((cv_effect="revenue_per_unit")*cv_value),0)</f>
        <v/>
      </c>
      <c r="H24" s="34">
        <f>SUMPRODUCT((cf_type="revenue")*(cf_month=H$4)*cf_amount)+SUMPRODUCT((cv_effect="revenue_fixed")*(cv_start=H$4)*cv_value)+SUMPRODUCT((cv_effect="revenue_monthly")*(cv_start&lt;=H$4)*(cv_end&gt;H$4)*cv_value)+IF(AND(in_mode_sale=0,H$4=R_Start),D_Units*SUMPRODUCT((cv_effect="revenue_per_unit")*cv_value),0)</f>
        <v/>
      </c>
      <c r="I24" s="34">
        <f>SUMPRODUCT((cf_type="revenue")*(cf_month=I$4)*cf_amount)+SUMPRODUCT((cv_effect="revenue_fixed")*(cv_start=I$4)*cv_value)+SUMPRODUCT((cv_effect="revenue_monthly")*(cv_start&lt;=I$4)*(cv_end&gt;I$4)*cv_value)+IF(AND(in_mode_sale=0,I$4=R_Start),D_Units*SUMPRODUCT((cv_effect="revenue_per_unit")*cv_value),0)</f>
        <v/>
      </c>
      <c r="J24" s="34">
        <f>SUMPRODUCT((cf_type="revenue")*(cf_month=J$4)*cf_amount)+SUMPRODUCT((cv_effect="revenue_fixed")*(cv_start=J$4)*cv_value)+SUMPRODUCT((cv_effect="revenue_monthly")*(cv_start&lt;=J$4)*(cv_end&gt;J$4)*cv_value)+IF(AND(in_mode_sale=0,J$4=R_Start),D_Units*SUMPRODUCT((cv_effect="revenue_per_unit")*cv_value),0)</f>
        <v/>
      </c>
      <c r="K24" s="34">
        <f>SUMPRODUCT((cf_type="revenue")*(cf_month=K$4)*cf_amount)+SUMPRODUCT((cv_effect="revenue_fixed")*(cv_start=K$4)*cv_value)+SUMPRODUCT((cv_effect="revenue_monthly")*(cv_start&lt;=K$4)*(cv_end&gt;K$4)*cv_value)+IF(AND(in_mode_sale=0,K$4=R_Start),D_Units*SUMPRODUCT((cv_effect="revenue_per_unit")*cv_value),0)</f>
        <v/>
      </c>
      <c r="L24" s="34">
        <f>SUMPRODUCT((cf_type="revenue")*(cf_month=L$4)*cf_amount)+SUMPRODUCT((cv_effect="revenue_fixed")*(cv_start=L$4)*cv_value)+SUMPRODUCT((cv_effect="revenue_monthly")*(cv_start&lt;=L$4)*(cv_end&gt;L$4)*cv_value)+IF(AND(in_mode_sale=0,L$4=R_Start),D_Units*SUMPRODUCT((cv_effect="revenue_per_unit")*cv_value),0)</f>
        <v/>
      </c>
      <c r="M24" s="34">
        <f>SUMPRODUCT((cf_type="revenue")*(cf_month=M$4)*cf_amount)+SUMPRODUCT((cv_effect="revenue_fixed")*(cv_start=M$4)*cv_value)+SUMPRODUCT((cv_effect="revenue_monthly")*(cv_start&lt;=M$4)*(cv_end&gt;M$4)*cv_value)+IF(AND(in_mode_sale=0,M$4=R_Start),D_Units*SUMPRODUCT((cv_effect="revenue_per_unit")*cv_value),0)</f>
        <v/>
      </c>
      <c r="N24" s="34">
        <f>SUMPRODUCT((cf_type="revenue")*(cf_month=N$4)*cf_amount)+SUMPRODUCT((cv_effect="revenue_fixed")*(cv_start=N$4)*cv_value)+SUMPRODUCT((cv_effect="revenue_monthly")*(cv_start&lt;=N$4)*(cv_end&gt;N$4)*cv_value)+IF(AND(in_mode_sale=0,N$4=R_Start),D_Units*SUMPRODUCT((cv_effect="revenue_per_unit")*cv_value),0)</f>
        <v/>
      </c>
      <c r="O24" s="34">
        <f>SUMPRODUCT((cf_type="revenue")*(cf_month=O$4)*cf_amount)+SUMPRODUCT((cv_effect="revenue_fixed")*(cv_start=O$4)*cv_value)+SUMPRODUCT((cv_effect="revenue_monthly")*(cv_start&lt;=O$4)*(cv_end&gt;O$4)*cv_value)+IF(AND(in_mode_sale=0,O$4=R_Start),D_Units*SUMPRODUCT((cv_effect="revenue_per_unit")*cv_value),0)</f>
        <v/>
      </c>
      <c r="P24" s="34">
        <f>SUMPRODUCT((cf_type="revenue")*(cf_month=P$4)*cf_amount)+SUMPRODUCT((cv_effect="revenue_fixed")*(cv_start=P$4)*cv_value)+SUMPRODUCT((cv_effect="revenue_monthly")*(cv_start&lt;=P$4)*(cv_end&gt;P$4)*cv_value)+IF(AND(in_mode_sale=0,P$4=R_Start),D_Units*SUMPRODUCT((cv_effect="revenue_per_unit")*cv_value),0)</f>
        <v/>
      </c>
      <c r="Q24" s="34">
        <f>SUMPRODUCT((cf_type="revenue")*(cf_month=Q$4)*cf_amount)+SUMPRODUCT((cv_effect="revenue_fixed")*(cv_start=Q$4)*cv_value)+SUMPRODUCT((cv_effect="revenue_monthly")*(cv_start&lt;=Q$4)*(cv_end&gt;Q$4)*cv_value)+IF(AND(in_mode_sale=0,Q$4=R_Start),D_Units*SUMPRODUCT((cv_effect="revenue_per_unit")*cv_value),0)</f>
        <v/>
      </c>
      <c r="R24" s="34">
        <f>SUMPRODUCT((cf_type="revenue")*(cf_month=R$4)*cf_amount)+SUMPRODUCT((cv_effect="revenue_fixed")*(cv_start=R$4)*cv_value)+SUMPRODUCT((cv_effect="revenue_monthly")*(cv_start&lt;=R$4)*(cv_end&gt;R$4)*cv_value)+IF(AND(in_mode_sale=0,R$4=R_Start),D_Units*SUMPRODUCT((cv_effect="revenue_per_unit")*cv_value),0)</f>
        <v/>
      </c>
      <c r="S24" s="34">
        <f>SUMPRODUCT((cf_type="revenue")*(cf_month=S$4)*cf_amount)+SUMPRODUCT((cv_effect="revenue_fixed")*(cv_start=S$4)*cv_value)+SUMPRODUCT((cv_effect="revenue_monthly")*(cv_start&lt;=S$4)*(cv_end&gt;S$4)*cv_value)+IF(AND(in_mode_sale=0,S$4=R_Start),D_Units*SUMPRODUCT((cv_effect="revenue_per_unit")*cv_value),0)</f>
        <v/>
      </c>
      <c r="T24" s="34">
        <f>SUMPRODUCT((cf_type="revenue")*(cf_month=T$4)*cf_amount)+SUMPRODUCT((cv_effect="revenue_fixed")*(cv_start=T$4)*cv_value)+SUMPRODUCT((cv_effect="revenue_monthly")*(cv_start&lt;=T$4)*(cv_end&gt;T$4)*cv_value)+IF(AND(in_mode_sale=0,T$4=R_Start),D_Units*SUMPRODUCT((cv_effect="revenue_per_unit")*cv_value),0)</f>
        <v/>
      </c>
      <c r="U24" s="34">
        <f>SUMPRODUCT((cf_type="revenue")*(cf_month=U$4)*cf_amount)+SUMPRODUCT((cv_effect="revenue_fixed")*(cv_start=U$4)*cv_value)+SUMPRODUCT((cv_effect="revenue_monthly")*(cv_start&lt;=U$4)*(cv_end&gt;U$4)*cv_value)+IF(AND(in_mode_sale=0,U$4=R_Start),D_Units*SUMPRODUCT((cv_effect="revenue_per_unit")*cv_value),0)</f>
        <v/>
      </c>
      <c r="V24" s="34">
        <f>SUMPRODUCT((cf_type="revenue")*(cf_month=V$4)*cf_amount)+SUMPRODUCT((cv_effect="revenue_fixed")*(cv_start=V$4)*cv_value)+SUMPRODUCT((cv_effect="revenue_monthly")*(cv_start&lt;=V$4)*(cv_end&gt;V$4)*cv_value)+IF(AND(in_mode_sale=0,V$4=R_Start),D_Units*SUMPRODUCT((cv_effect="revenue_per_unit")*cv_value),0)</f>
        <v/>
      </c>
      <c r="W24" s="34">
        <f>SUMPRODUCT((cf_type="revenue")*(cf_month=W$4)*cf_amount)+SUMPRODUCT((cv_effect="revenue_fixed")*(cv_start=W$4)*cv_value)+SUMPRODUCT((cv_effect="revenue_monthly")*(cv_start&lt;=W$4)*(cv_end&gt;W$4)*cv_value)+IF(AND(in_mode_sale=0,W$4=R_Start),D_Units*SUMPRODUCT((cv_effect="revenue_per_unit")*cv_value),0)</f>
        <v/>
      </c>
      <c r="X24" s="34">
        <f>SUMPRODUCT((cf_type="revenue")*(cf_month=X$4)*cf_amount)+SUMPRODUCT((cv_effect="revenue_fixed")*(cv_start=X$4)*cv_value)+SUMPRODUCT((cv_effect="revenue_monthly")*(cv_start&lt;=X$4)*(cv_end&gt;X$4)*cv_value)+IF(AND(in_mode_sale=0,X$4=R_Start),D_Units*SUMPRODUCT((cv_effect="revenue_per_unit")*cv_value),0)</f>
        <v/>
      </c>
      <c r="Y24" s="34">
        <f>SUMPRODUCT((cf_type="revenue")*(cf_month=Y$4)*cf_amount)+SUMPRODUCT((cv_effect="revenue_fixed")*(cv_start=Y$4)*cv_value)+SUMPRODUCT((cv_effect="revenue_monthly")*(cv_start&lt;=Y$4)*(cv_end&gt;Y$4)*cv_value)+IF(AND(in_mode_sale=0,Y$4=R_Start),D_Units*SUMPRODUCT((cv_effect="revenue_per_unit")*cv_value),0)</f>
        <v/>
      </c>
      <c r="Z24" s="34">
        <f>SUMPRODUCT((cf_type="revenue")*(cf_month=Z$4)*cf_amount)+SUMPRODUCT((cv_effect="revenue_fixed")*(cv_start=Z$4)*cv_value)+SUMPRODUCT((cv_effect="revenue_monthly")*(cv_start&lt;=Z$4)*(cv_end&gt;Z$4)*cv_value)+IF(AND(in_mode_sale=0,Z$4=R_Start),D_Units*SUMPRODUCT((cv_effect="revenue_per_unit")*cv_value),0)</f>
        <v/>
      </c>
      <c r="AA24" s="34">
        <f>SUMPRODUCT((cf_type="revenue")*(cf_month=AA$4)*cf_amount)+SUMPRODUCT((cv_effect="revenue_fixed")*(cv_start=AA$4)*cv_value)+SUMPRODUCT((cv_effect="revenue_monthly")*(cv_start&lt;=AA$4)*(cv_end&gt;AA$4)*cv_value)+IF(AND(in_mode_sale=0,AA$4=R_Start),D_Units*SUMPRODUCT((cv_effect="revenue_per_unit")*cv_value),0)</f>
        <v/>
      </c>
      <c r="AB24" s="34">
        <f>SUMPRODUCT((cf_type="revenue")*(cf_month=AB$4)*cf_amount)+SUMPRODUCT((cv_effect="revenue_fixed")*(cv_start=AB$4)*cv_value)+SUMPRODUCT((cv_effect="revenue_monthly")*(cv_start&lt;=AB$4)*(cv_end&gt;AB$4)*cv_value)+IF(AND(in_mode_sale=0,AB$4=R_Start),D_Units*SUMPRODUCT((cv_effect="revenue_per_unit")*cv_value),0)</f>
        <v/>
      </c>
      <c r="AC24" s="34">
        <f>SUMPRODUCT((cf_type="revenue")*(cf_month=AC$4)*cf_amount)+SUMPRODUCT((cv_effect="revenue_fixed")*(cv_start=AC$4)*cv_value)+SUMPRODUCT((cv_effect="revenue_monthly")*(cv_start&lt;=AC$4)*(cv_end&gt;AC$4)*cv_value)+IF(AND(in_mode_sale=0,AC$4=R_Start),D_Units*SUMPRODUCT((cv_effect="revenue_per_unit")*cv_value),0)</f>
        <v/>
      </c>
      <c r="AD24" s="34">
        <f>SUMPRODUCT((cf_type="revenue")*(cf_month=AD$4)*cf_amount)+SUMPRODUCT((cv_effect="revenue_fixed")*(cv_start=AD$4)*cv_value)+SUMPRODUCT((cv_effect="revenue_monthly")*(cv_start&lt;=AD$4)*(cv_end&gt;AD$4)*cv_value)+IF(AND(in_mode_sale=0,AD$4=R_Start),D_Units*SUMPRODUCT((cv_effect="revenue_per_unit")*cv_value),0)</f>
        <v/>
      </c>
      <c r="AE24" s="34">
        <f>SUMPRODUCT((cf_type="revenue")*(cf_month=AE$4)*cf_amount)+SUMPRODUCT((cv_effect="revenue_fixed")*(cv_start=AE$4)*cv_value)+SUMPRODUCT((cv_effect="revenue_monthly")*(cv_start&lt;=AE$4)*(cv_end&gt;AE$4)*cv_value)+IF(AND(in_mode_sale=0,AE$4=R_Start),D_Units*SUMPRODUCT((cv_effect="revenue_per_unit")*cv_value),0)</f>
        <v/>
      </c>
      <c r="AF24" s="34">
        <f>SUMPRODUCT((cf_type="revenue")*(cf_month=AF$4)*cf_amount)+SUMPRODUCT((cv_effect="revenue_fixed")*(cv_start=AF$4)*cv_value)+SUMPRODUCT((cv_effect="revenue_monthly")*(cv_start&lt;=AF$4)*(cv_end&gt;AF$4)*cv_value)+IF(AND(in_mode_sale=0,AF$4=R_Start),D_Units*SUMPRODUCT((cv_effect="revenue_per_unit")*cv_value),0)</f>
        <v/>
      </c>
      <c r="AG24" s="34">
        <f>SUMPRODUCT((cf_type="revenue")*(cf_month=AG$4)*cf_amount)+SUMPRODUCT((cv_effect="revenue_fixed")*(cv_start=AG$4)*cv_value)+SUMPRODUCT((cv_effect="revenue_monthly")*(cv_start&lt;=AG$4)*(cv_end&gt;AG$4)*cv_value)+IF(AND(in_mode_sale=0,AG$4=R_Start),D_Units*SUMPRODUCT((cv_effect="revenue_per_unit")*cv_value),0)</f>
        <v/>
      </c>
      <c r="AH24" s="34">
        <f>SUMPRODUCT((cf_type="revenue")*(cf_month=AH$4)*cf_amount)+SUMPRODUCT((cv_effect="revenue_fixed")*(cv_start=AH$4)*cv_value)+SUMPRODUCT((cv_effect="revenue_monthly")*(cv_start&lt;=AH$4)*(cv_end&gt;AH$4)*cv_value)+IF(AND(in_mode_sale=0,AH$4=R_Start),D_Units*SUMPRODUCT((cv_effect="revenue_per_unit")*cv_value),0)</f>
        <v/>
      </c>
      <c r="AI24" s="34">
        <f>SUMPRODUCT((cf_type="revenue")*(cf_month=AI$4)*cf_amount)+SUMPRODUCT((cv_effect="revenue_fixed")*(cv_start=AI$4)*cv_value)+SUMPRODUCT((cv_effect="revenue_monthly")*(cv_start&lt;=AI$4)*(cv_end&gt;AI$4)*cv_value)+IF(AND(in_mode_sale=0,AI$4=R_Start),D_Units*SUMPRODUCT((cv_effect="revenue_per_unit")*cv_value),0)</f>
        <v/>
      </c>
      <c r="AJ24" s="34">
        <f>SUMPRODUCT((cf_type="revenue")*(cf_month=AJ$4)*cf_amount)+SUMPRODUCT((cv_effect="revenue_fixed")*(cv_start=AJ$4)*cv_value)+SUMPRODUCT((cv_effect="revenue_monthly")*(cv_start&lt;=AJ$4)*(cv_end&gt;AJ$4)*cv_value)+IF(AND(in_mode_sale=0,AJ$4=R_Start),D_Units*SUMPRODUCT((cv_effect="revenue_per_unit")*cv_value),0)</f>
        <v/>
      </c>
      <c r="AK24" s="34">
        <f>SUMPRODUCT((cf_type="revenue")*(cf_month=AK$4)*cf_amount)+SUMPRODUCT((cv_effect="revenue_fixed")*(cv_start=AK$4)*cv_value)+SUMPRODUCT((cv_effect="revenue_monthly")*(cv_start&lt;=AK$4)*(cv_end&gt;AK$4)*cv_value)+IF(AND(in_mode_sale=0,AK$4=R_Start),D_Units*SUMPRODUCT((cv_effect="revenue_per_unit")*cv_value),0)</f>
        <v/>
      </c>
      <c r="AL24" s="34">
        <f>SUMPRODUCT((cf_type="revenue")*(cf_month=AL$4)*cf_amount)+SUMPRODUCT((cv_effect="revenue_fixed")*(cv_start=AL$4)*cv_value)+SUMPRODUCT((cv_effect="revenue_monthly")*(cv_start&lt;=AL$4)*(cv_end&gt;AL$4)*cv_value)+IF(AND(in_mode_sale=0,AL$4=R_Start),D_Units*SUMPRODUCT((cv_effect="revenue_per_unit")*cv_value),0)</f>
        <v/>
      </c>
      <c r="AM24" s="34">
        <f>SUMPRODUCT((cf_type="revenue")*(cf_month=AM$4)*cf_amount)+SUMPRODUCT((cv_effect="revenue_fixed")*(cv_start=AM$4)*cv_value)+SUMPRODUCT((cv_effect="revenue_monthly")*(cv_start&lt;=AM$4)*(cv_end&gt;AM$4)*cv_value)+IF(AND(in_mode_sale=0,AM$4=R_Start),D_Units*SUMPRODUCT((cv_effect="revenue_per_unit")*cv_value),0)</f>
        <v/>
      </c>
      <c r="AN24" s="34">
        <f>SUMPRODUCT((cf_type="revenue")*(cf_month=AN$4)*cf_amount)+SUMPRODUCT((cv_effect="revenue_fixed")*(cv_start=AN$4)*cv_value)+SUMPRODUCT((cv_effect="revenue_monthly")*(cv_start&lt;=AN$4)*(cv_end&gt;AN$4)*cv_value)+IF(AND(in_mode_sale=0,AN$4=R_Start),D_Units*SUMPRODUCT((cv_effect="revenue_per_unit")*cv_value),0)</f>
        <v/>
      </c>
      <c r="AO24" s="34">
        <f>SUMPRODUCT((cf_type="revenue")*(cf_month=AO$4)*cf_amount)+SUMPRODUCT((cv_effect="revenue_fixed")*(cv_start=AO$4)*cv_value)+SUMPRODUCT((cv_effect="revenue_monthly")*(cv_start&lt;=AO$4)*(cv_end&gt;AO$4)*cv_value)+IF(AND(in_mode_sale=0,AO$4=R_Start),D_Units*SUMPRODUCT((cv_effect="revenue_per_unit")*cv_value),0)</f>
        <v/>
      </c>
      <c r="AP24" s="34">
        <f>SUMPRODUCT((cf_type="revenue")*(cf_month=AP$4)*cf_amount)+SUMPRODUCT((cv_effect="revenue_fixed")*(cv_start=AP$4)*cv_value)+SUMPRODUCT((cv_effect="revenue_monthly")*(cv_start&lt;=AP$4)*(cv_end&gt;AP$4)*cv_value)+IF(AND(in_mode_sale=0,AP$4=R_Start),D_Units*SUMPRODUCT((cv_effect="revenue_per_unit")*cv_value),0)</f>
        <v/>
      </c>
      <c r="AQ24" s="34">
        <f>SUMPRODUCT((cf_type="revenue")*(cf_month=AQ$4)*cf_amount)+SUMPRODUCT((cv_effect="revenue_fixed")*(cv_start=AQ$4)*cv_value)+SUMPRODUCT((cv_effect="revenue_monthly")*(cv_start&lt;=AQ$4)*(cv_end&gt;AQ$4)*cv_value)+IF(AND(in_mode_sale=0,AQ$4=R_Start),D_Units*SUMPRODUCT((cv_effect="revenue_per_unit")*cv_value),0)</f>
        <v/>
      </c>
      <c r="AR24" s="34">
        <f>SUMPRODUCT((cf_type="revenue")*(cf_month=AR$4)*cf_amount)+SUMPRODUCT((cv_effect="revenue_fixed")*(cv_start=AR$4)*cv_value)+SUMPRODUCT((cv_effect="revenue_monthly")*(cv_start&lt;=AR$4)*(cv_end&gt;AR$4)*cv_value)+IF(AND(in_mode_sale=0,AR$4=R_Start),D_Units*SUMPRODUCT((cv_effect="revenue_per_unit")*cv_value),0)</f>
        <v/>
      </c>
      <c r="AS24" s="34">
        <f>SUMPRODUCT((cf_type="revenue")*(cf_month=AS$4)*cf_amount)+SUMPRODUCT((cv_effect="revenue_fixed")*(cv_start=AS$4)*cv_value)+SUMPRODUCT((cv_effect="revenue_monthly")*(cv_start&lt;=AS$4)*(cv_end&gt;AS$4)*cv_value)+IF(AND(in_mode_sale=0,AS$4=R_Start),D_Units*SUMPRODUCT((cv_effect="revenue_per_unit")*cv_value),0)</f>
        <v/>
      </c>
      <c r="AT24" s="34">
        <f>SUMPRODUCT((cf_type="revenue")*(cf_month=AT$4)*cf_amount)+SUMPRODUCT((cv_effect="revenue_fixed")*(cv_start=AT$4)*cv_value)+SUMPRODUCT((cv_effect="revenue_monthly")*(cv_start&lt;=AT$4)*(cv_end&gt;AT$4)*cv_value)+IF(AND(in_mode_sale=0,AT$4=R_Start),D_Units*SUMPRODUCT((cv_effect="revenue_per_unit")*cv_value),0)</f>
        <v/>
      </c>
      <c r="AU24" s="34">
        <f>SUMPRODUCT((cf_type="revenue")*(cf_month=AU$4)*cf_amount)+SUMPRODUCT((cv_effect="revenue_fixed")*(cv_start=AU$4)*cv_value)+SUMPRODUCT((cv_effect="revenue_monthly")*(cv_start&lt;=AU$4)*(cv_end&gt;AU$4)*cv_value)+IF(AND(in_mode_sale=0,AU$4=R_Start),D_Units*SUMPRODUCT((cv_effect="revenue_per_unit")*cv_value),0)</f>
        <v/>
      </c>
      <c r="AV24" s="34">
        <f>SUMPRODUCT((cf_type="revenue")*(cf_month=AV$4)*cf_amount)+SUMPRODUCT((cv_effect="revenue_fixed")*(cv_start=AV$4)*cv_value)+SUMPRODUCT((cv_effect="revenue_monthly")*(cv_start&lt;=AV$4)*(cv_end&gt;AV$4)*cv_value)+IF(AND(in_mode_sale=0,AV$4=R_Start),D_Units*SUMPRODUCT((cv_effect="revenue_per_unit")*cv_value),0)</f>
        <v/>
      </c>
      <c r="AW24" s="34">
        <f>SUMPRODUCT((cf_type="revenue")*(cf_month=AW$4)*cf_amount)+SUMPRODUCT((cv_effect="revenue_fixed")*(cv_start=AW$4)*cv_value)+SUMPRODUCT((cv_effect="revenue_monthly")*(cv_start&lt;=AW$4)*(cv_end&gt;AW$4)*cv_value)+IF(AND(in_mode_sale=0,AW$4=R_Start),D_Units*SUMPRODUCT((cv_effect="revenue_per_unit")*cv_value),0)</f>
        <v/>
      </c>
      <c r="AX24" s="34">
        <f>SUMPRODUCT((cf_type="revenue")*(cf_month=AX$4)*cf_amount)+SUMPRODUCT((cv_effect="revenue_fixed")*(cv_start=AX$4)*cv_value)+SUMPRODUCT((cv_effect="revenue_monthly")*(cv_start&lt;=AX$4)*(cv_end&gt;AX$4)*cv_value)+IF(AND(in_mode_sale=0,AX$4=R_Start),D_Units*SUMPRODUCT((cv_effect="revenue_per_unit")*cv_value),0)</f>
        <v/>
      </c>
      <c r="AY24" s="34">
        <f>SUMPRODUCT((cf_type="revenue")*(cf_month=AY$4)*cf_amount)+SUMPRODUCT((cv_effect="revenue_fixed")*(cv_start=AY$4)*cv_value)+SUMPRODUCT((cv_effect="revenue_monthly")*(cv_start&lt;=AY$4)*(cv_end&gt;AY$4)*cv_value)+IF(AND(in_mode_sale=0,AY$4=R_Start),D_Units*SUMPRODUCT((cv_effect="revenue_per_unit")*cv_value),0)</f>
        <v/>
      </c>
      <c r="AZ24" s="34">
        <f>SUMPRODUCT((cf_type="revenue")*(cf_month=AZ$4)*cf_amount)+SUMPRODUCT((cv_effect="revenue_fixed")*(cv_start=AZ$4)*cv_value)+SUMPRODUCT((cv_effect="revenue_monthly")*(cv_start&lt;=AZ$4)*(cv_end&gt;AZ$4)*cv_value)+IF(AND(in_mode_sale=0,AZ$4=R_Start),D_Units*SUMPRODUCT((cv_effect="revenue_per_unit")*cv_value),0)</f>
        <v/>
      </c>
      <c r="BA24" s="34">
        <f>SUMPRODUCT((cf_type="revenue")*(cf_month=BA$4)*cf_amount)+SUMPRODUCT((cv_effect="revenue_fixed")*(cv_start=BA$4)*cv_value)+SUMPRODUCT((cv_effect="revenue_monthly")*(cv_start&lt;=BA$4)*(cv_end&gt;BA$4)*cv_value)+IF(AND(in_mode_sale=0,BA$4=R_Start),D_Units*SUMPRODUCT((cv_effect="revenue_per_unit")*cv_value),0)</f>
        <v/>
      </c>
      <c r="BB24" s="34">
        <f>SUMPRODUCT((cf_type="revenue")*(cf_month=BB$4)*cf_amount)+SUMPRODUCT((cv_effect="revenue_fixed")*(cv_start=BB$4)*cv_value)+SUMPRODUCT((cv_effect="revenue_monthly")*(cv_start&lt;=BB$4)*(cv_end&gt;BB$4)*cv_value)+IF(AND(in_mode_sale=0,BB$4=R_Start),D_Units*SUMPRODUCT((cv_effect="revenue_per_unit")*cv_value),0)</f>
        <v/>
      </c>
      <c r="BC24" s="34">
        <f>SUMPRODUCT((cf_type="revenue")*(cf_month=BC$4)*cf_amount)+SUMPRODUCT((cv_effect="revenue_fixed")*(cv_start=BC$4)*cv_value)+SUMPRODUCT((cv_effect="revenue_monthly")*(cv_start&lt;=BC$4)*(cv_end&gt;BC$4)*cv_value)+IF(AND(in_mode_sale=0,BC$4=R_Start),D_Units*SUMPRODUCT((cv_effect="revenue_per_unit")*cv_value),0)</f>
        <v/>
      </c>
      <c r="BD24" s="34">
        <f>SUMPRODUCT((cf_type="revenue")*(cf_month=BD$4)*cf_amount)+SUMPRODUCT((cv_effect="revenue_fixed")*(cv_start=BD$4)*cv_value)+SUMPRODUCT((cv_effect="revenue_monthly")*(cv_start&lt;=BD$4)*(cv_end&gt;BD$4)*cv_value)+IF(AND(in_mode_sale=0,BD$4=R_Start),D_Units*SUMPRODUCT((cv_effect="revenue_per_unit")*cv_value),0)</f>
        <v/>
      </c>
      <c r="BE24" s="34">
        <f>SUMPRODUCT((cf_type="revenue")*(cf_month=BE$4)*cf_amount)+SUMPRODUCT((cv_effect="revenue_fixed")*(cv_start=BE$4)*cv_value)+SUMPRODUCT((cv_effect="revenue_monthly")*(cv_start&lt;=BE$4)*(cv_end&gt;BE$4)*cv_value)+IF(AND(in_mode_sale=0,BE$4=R_Start),D_Units*SUMPRODUCT((cv_effect="revenue_per_unit")*cv_value),0)</f>
        <v/>
      </c>
      <c r="BF24" s="34">
        <f>SUMPRODUCT((cf_type="revenue")*(cf_month=BF$4)*cf_amount)+SUMPRODUCT((cv_effect="revenue_fixed")*(cv_start=BF$4)*cv_value)+SUMPRODUCT((cv_effect="revenue_monthly")*(cv_start&lt;=BF$4)*(cv_end&gt;BF$4)*cv_value)+IF(AND(in_mode_sale=0,BF$4=R_Start),D_Units*SUMPRODUCT((cv_effect="revenue_per_unit")*cv_value),0)</f>
        <v/>
      </c>
      <c r="BG24" s="34">
        <f>SUMPRODUCT((cf_type="revenue")*(cf_month=BG$4)*cf_amount)+SUMPRODUCT((cv_effect="revenue_fixed")*(cv_start=BG$4)*cv_value)+SUMPRODUCT((cv_effect="revenue_monthly")*(cv_start&lt;=BG$4)*(cv_end&gt;BG$4)*cv_value)+IF(AND(in_mode_sale=0,BG$4=R_Start),D_Units*SUMPRODUCT((cv_effect="revenue_per_unit")*cv_value),0)</f>
        <v/>
      </c>
      <c r="BH24" s="34">
        <f>SUMPRODUCT((cf_type="revenue")*(cf_month=BH$4)*cf_amount)+SUMPRODUCT((cv_effect="revenue_fixed")*(cv_start=BH$4)*cv_value)+SUMPRODUCT((cv_effect="revenue_monthly")*(cv_start&lt;=BH$4)*(cv_end&gt;BH$4)*cv_value)+IF(AND(in_mode_sale=0,BH$4=R_Start),D_Units*SUMPRODUCT((cv_effect="revenue_per_unit")*cv_value),0)</f>
        <v/>
      </c>
      <c r="BI24" s="34">
        <f>SUMPRODUCT((cf_type="revenue")*(cf_month=BI$4)*cf_amount)+SUMPRODUCT((cv_effect="revenue_fixed")*(cv_start=BI$4)*cv_value)+SUMPRODUCT((cv_effect="revenue_monthly")*(cv_start&lt;=BI$4)*(cv_end&gt;BI$4)*cv_value)+IF(AND(in_mode_sale=0,BI$4=R_Start),D_Units*SUMPRODUCT((cv_effect="revenue_per_unit")*cv_value),0)</f>
        <v/>
      </c>
      <c r="BJ24" s="34">
        <f>SUMPRODUCT((cf_type="revenue")*(cf_month=BJ$4)*cf_amount)+SUMPRODUCT((cv_effect="revenue_fixed")*(cv_start=BJ$4)*cv_value)+SUMPRODUCT((cv_effect="revenue_monthly")*(cv_start&lt;=BJ$4)*(cv_end&gt;BJ$4)*cv_value)+IF(AND(in_mode_sale=0,BJ$4=R_Start),D_Units*SUMPRODUCT((cv_effect="revenue_per_unit")*cv_value),0)</f>
        <v/>
      </c>
      <c r="BK24" s="34">
        <f>SUMPRODUCT((cf_type="revenue")*(cf_month=BK$4)*cf_amount)+SUMPRODUCT((cv_effect="revenue_fixed")*(cv_start=BK$4)*cv_value)+SUMPRODUCT((cv_effect="revenue_monthly")*(cv_start&lt;=BK$4)*(cv_end&gt;BK$4)*cv_value)+IF(AND(in_mode_sale=0,BK$4=R_Start),D_Units*SUMPRODUCT((cv_effect="revenue_per_unit")*cv_value),0)</f>
        <v/>
      </c>
      <c r="BL24" s="34">
        <f>SUMPRODUCT((cf_type="revenue")*(cf_month=BL$4)*cf_amount)+SUMPRODUCT((cv_effect="revenue_fixed")*(cv_start=BL$4)*cv_value)+SUMPRODUCT((cv_effect="revenue_monthly")*(cv_start&lt;=BL$4)*(cv_end&gt;BL$4)*cv_value)+IF(AND(in_mode_sale=0,BL$4=R_Start),D_Units*SUMPRODUCT((cv_effect="revenue_per_unit")*cv_value),0)</f>
        <v/>
      </c>
      <c r="BM24" s="34">
        <f>SUMPRODUCT((cf_type="revenue")*(cf_month=BM$4)*cf_amount)+SUMPRODUCT((cv_effect="revenue_fixed")*(cv_start=BM$4)*cv_value)+SUMPRODUCT((cv_effect="revenue_monthly")*(cv_start&lt;=BM$4)*(cv_end&gt;BM$4)*cv_value)+IF(AND(in_mode_sale=0,BM$4=R_Start),D_Units*SUMPRODUCT((cv_effect="revenue_per_unit")*cv_value),0)</f>
        <v/>
      </c>
      <c r="BN24" s="34">
        <f>SUMPRODUCT((cf_type="revenue")*(cf_month=BN$4)*cf_amount)+SUMPRODUCT((cv_effect="revenue_fixed")*(cv_start=BN$4)*cv_value)+SUMPRODUCT((cv_effect="revenue_monthly")*(cv_start&lt;=BN$4)*(cv_end&gt;BN$4)*cv_value)+IF(AND(in_mode_sale=0,BN$4=R_Start),D_Units*SUMPRODUCT((cv_effect="revenue_per_unit")*cv_value),0)</f>
        <v/>
      </c>
      <c r="BO24" s="34">
        <f>SUMPRODUCT((cf_type="revenue")*(cf_month=BO$4)*cf_amount)+SUMPRODUCT((cv_effect="revenue_fixed")*(cv_start=BO$4)*cv_value)+SUMPRODUCT((cv_effect="revenue_monthly")*(cv_start&lt;=BO$4)*(cv_end&gt;BO$4)*cv_value)+IF(AND(in_mode_sale=0,BO$4=R_Start),D_Units*SUMPRODUCT((cv_effect="revenue_per_unit")*cv_value),0)</f>
        <v/>
      </c>
      <c r="BP24" s="34">
        <f>SUMPRODUCT((cf_type="revenue")*(cf_month=BP$4)*cf_amount)+SUMPRODUCT((cv_effect="revenue_fixed")*(cv_start=BP$4)*cv_value)+SUMPRODUCT((cv_effect="revenue_monthly")*(cv_start&lt;=BP$4)*(cv_end&gt;BP$4)*cv_value)+IF(AND(in_mode_sale=0,BP$4=R_Start),D_Units*SUMPRODUCT((cv_effect="revenue_per_unit")*cv_value),0)</f>
        <v/>
      </c>
      <c r="BQ24" s="34">
        <f>SUMPRODUCT((cf_type="revenue")*(cf_month=BQ$4)*cf_amount)+SUMPRODUCT((cv_effect="revenue_fixed")*(cv_start=BQ$4)*cv_value)+SUMPRODUCT((cv_effect="revenue_monthly")*(cv_start&lt;=BQ$4)*(cv_end&gt;BQ$4)*cv_value)+IF(AND(in_mode_sale=0,BQ$4=R_Start),D_Units*SUMPRODUCT((cv_effect="revenue_per_unit")*cv_value),0)</f>
        <v/>
      </c>
      <c r="BR24" s="34">
        <f>SUMPRODUCT((cf_type="revenue")*(cf_month=BR$4)*cf_amount)+SUMPRODUCT((cv_effect="revenue_fixed")*(cv_start=BR$4)*cv_value)+SUMPRODUCT((cv_effect="revenue_monthly")*(cv_start&lt;=BR$4)*(cv_end&gt;BR$4)*cv_value)+IF(AND(in_mode_sale=0,BR$4=R_Start),D_Units*SUMPRODUCT((cv_effect="revenue_per_unit")*cv_value),0)</f>
        <v/>
      </c>
      <c r="BS24" s="34">
        <f>SUMPRODUCT((cf_type="revenue")*(cf_month=BS$4)*cf_amount)+SUMPRODUCT((cv_effect="revenue_fixed")*(cv_start=BS$4)*cv_value)+SUMPRODUCT((cv_effect="revenue_monthly")*(cv_start&lt;=BS$4)*(cv_end&gt;BS$4)*cv_value)+IF(AND(in_mode_sale=0,BS$4=R_Start),D_Units*SUMPRODUCT((cv_effect="revenue_per_unit")*cv_value),0)</f>
        <v/>
      </c>
      <c r="BT24" s="34">
        <f>SUMPRODUCT((cf_type="revenue")*(cf_month=BT$4)*cf_amount)+SUMPRODUCT((cv_effect="revenue_fixed")*(cv_start=BT$4)*cv_value)+SUMPRODUCT((cv_effect="revenue_monthly")*(cv_start&lt;=BT$4)*(cv_end&gt;BT$4)*cv_value)+IF(AND(in_mode_sale=0,BT$4=R_Start),D_Units*SUMPRODUCT((cv_effect="revenue_per_unit")*cv_value),0)</f>
        <v/>
      </c>
      <c r="BU24" s="34">
        <f>SUMPRODUCT((cf_type="revenue")*(cf_month=BU$4)*cf_amount)+SUMPRODUCT((cv_effect="revenue_fixed")*(cv_start=BU$4)*cv_value)+SUMPRODUCT((cv_effect="revenue_monthly")*(cv_start&lt;=BU$4)*(cv_end&gt;BU$4)*cv_value)+IF(AND(in_mode_sale=0,BU$4=R_Start),D_Units*SUMPRODUCT((cv_effect="revenue_per_unit")*cv_value),0)</f>
        <v/>
      </c>
      <c r="BV24" s="34">
        <f>SUMPRODUCT((cf_type="revenue")*(cf_month=BV$4)*cf_amount)+SUMPRODUCT((cv_effect="revenue_fixed")*(cv_start=BV$4)*cv_value)+SUMPRODUCT((cv_effect="revenue_monthly")*(cv_start&lt;=BV$4)*(cv_end&gt;BV$4)*cv_value)+IF(AND(in_mode_sale=0,BV$4=R_Start),D_Units*SUMPRODUCT((cv_effect="revenue_per_unit")*cv_value),0)</f>
        <v/>
      </c>
      <c r="BW24" s="34">
        <f>SUMPRODUCT((cf_type="revenue")*(cf_month=BW$4)*cf_amount)+SUMPRODUCT((cv_effect="revenue_fixed")*(cv_start=BW$4)*cv_value)+SUMPRODUCT((cv_effect="revenue_monthly")*(cv_start&lt;=BW$4)*(cv_end&gt;BW$4)*cv_value)+IF(AND(in_mode_sale=0,BW$4=R_Start),D_Units*SUMPRODUCT((cv_effect="revenue_per_unit")*cv_value),0)</f>
        <v/>
      </c>
      <c r="BX24" s="34">
        <f>SUMPRODUCT((cf_type="revenue")*(cf_month=BX$4)*cf_amount)+SUMPRODUCT((cv_effect="revenue_fixed")*(cv_start=BX$4)*cv_value)+SUMPRODUCT((cv_effect="revenue_monthly")*(cv_start&lt;=BX$4)*(cv_end&gt;BX$4)*cv_value)+IF(AND(in_mode_sale=0,BX$4=R_Start),D_Units*SUMPRODUCT((cv_effect="revenue_per_unit")*cv_value),0)</f>
        <v/>
      </c>
      <c r="BY24" s="34">
        <f>SUMPRODUCT((cf_type="revenue")*(cf_month=BY$4)*cf_amount)+SUMPRODUCT((cv_effect="revenue_fixed")*(cv_start=BY$4)*cv_value)+SUMPRODUCT((cv_effect="revenue_monthly")*(cv_start&lt;=BY$4)*(cv_end&gt;BY$4)*cv_value)+IF(AND(in_mode_sale=0,BY$4=R_Start),D_Units*SUMPRODUCT((cv_effect="revenue_per_unit")*cv_value),0)</f>
        <v/>
      </c>
      <c r="BZ24" s="34">
        <f>SUMPRODUCT((cf_type="revenue")*(cf_month=BZ$4)*cf_amount)+SUMPRODUCT((cv_effect="revenue_fixed")*(cv_start=BZ$4)*cv_value)+SUMPRODUCT((cv_effect="revenue_monthly")*(cv_start&lt;=BZ$4)*(cv_end&gt;BZ$4)*cv_value)+IF(AND(in_mode_sale=0,BZ$4=R_Start),D_Units*SUMPRODUCT((cv_effect="revenue_per_unit")*cv_value),0)</f>
        <v/>
      </c>
      <c r="CA24" s="34">
        <f>SUMPRODUCT((cf_type="revenue")*(cf_month=CA$4)*cf_amount)+SUMPRODUCT((cv_effect="revenue_fixed")*(cv_start=CA$4)*cv_value)+SUMPRODUCT((cv_effect="revenue_monthly")*(cv_start&lt;=CA$4)*(cv_end&gt;CA$4)*cv_value)+IF(AND(in_mode_sale=0,CA$4=R_Start),D_Units*SUMPRODUCT((cv_effect="revenue_per_unit")*cv_value),0)</f>
        <v/>
      </c>
      <c r="CB24" s="34">
        <f>SUMPRODUCT((cf_type="revenue")*(cf_month=CB$4)*cf_amount)+SUMPRODUCT((cv_effect="revenue_fixed")*(cv_start=CB$4)*cv_value)+SUMPRODUCT((cv_effect="revenue_monthly")*(cv_start&lt;=CB$4)*(cv_end&gt;CB$4)*cv_value)+IF(AND(in_mode_sale=0,CB$4=R_Start),D_Units*SUMPRODUCT((cv_effect="revenue_per_unit")*cv_value),0)</f>
        <v/>
      </c>
      <c r="CC24" s="34">
        <f>SUMPRODUCT((cf_type="revenue")*(cf_month=CC$4)*cf_amount)+SUMPRODUCT((cv_effect="revenue_fixed")*(cv_start=CC$4)*cv_value)+SUMPRODUCT((cv_effect="revenue_monthly")*(cv_start&lt;=CC$4)*(cv_end&gt;CC$4)*cv_value)+IF(AND(in_mode_sale=0,CC$4=R_Start),D_Units*SUMPRODUCT((cv_effect="revenue_per_unit")*cv_value),0)</f>
        <v/>
      </c>
      <c r="CD24" s="34">
        <f>SUMPRODUCT((cf_type="revenue")*(cf_month=CD$4)*cf_amount)+SUMPRODUCT((cv_effect="revenue_fixed")*(cv_start=CD$4)*cv_value)+SUMPRODUCT((cv_effect="revenue_monthly")*(cv_start&lt;=CD$4)*(cv_end&gt;CD$4)*cv_value)+IF(AND(in_mode_sale=0,CD$4=R_Start),D_Units*SUMPRODUCT((cv_effect="revenue_per_unit")*cv_value),0)</f>
        <v/>
      </c>
      <c r="CE24" s="34">
        <f>SUMPRODUCT((cf_type="revenue")*(cf_month=CE$4)*cf_amount)+SUMPRODUCT((cv_effect="revenue_fixed")*(cv_start=CE$4)*cv_value)+SUMPRODUCT((cv_effect="revenue_monthly")*(cv_start&lt;=CE$4)*(cv_end&gt;CE$4)*cv_value)+IF(AND(in_mode_sale=0,CE$4=R_Start),D_Units*SUMPRODUCT((cv_effect="revenue_per_unit")*cv_value),0)</f>
        <v/>
      </c>
      <c r="CF24" s="34">
        <f>SUMPRODUCT((cf_type="revenue")*(cf_month=CF$4)*cf_amount)+SUMPRODUCT((cv_effect="revenue_fixed")*(cv_start=CF$4)*cv_value)+SUMPRODUCT((cv_effect="revenue_monthly")*(cv_start&lt;=CF$4)*(cv_end&gt;CF$4)*cv_value)+IF(AND(in_mode_sale=0,CF$4=R_Start),D_Units*SUMPRODUCT((cv_effect="revenue_per_unit")*cv_value),0)</f>
        <v/>
      </c>
      <c r="CG24" s="34">
        <f>SUMPRODUCT((cf_type="revenue")*(cf_month=CG$4)*cf_amount)+SUMPRODUCT((cv_effect="revenue_fixed")*(cv_start=CG$4)*cv_value)+SUMPRODUCT((cv_effect="revenue_monthly")*(cv_start&lt;=CG$4)*(cv_end&gt;CG$4)*cv_value)+IF(AND(in_mode_sale=0,CG$4=R_Start),D_Units*SUMPRODUCT((cv_effect="revenue_per_unit")*cv_value),0)</f>
        <v/>
      </c>
      <c r="CH24" s="34">
        <f>SUMPRODUCT((cf_type="revenue")*(cf_month=CH$4)*cf_amount)+SUMPRODUCT((cv_effect="revenue_fixed")*(cv_start=CH$4)*cv_value)+SUMPRODUCT((cv_effect="revenue_monthly")*(cv_start&lt;=CH$4)*(cv_end&gt;CH$4)*cv_value)+IF(AND(in_mode_sale=0,CH$4=R_Start),D_Units*SUMPRODUCT((cv_effect="revenue_per_unit")*cv_value),0)</f>
        <v/>
      </c>
      <c r="CI24" s="34">
        <f>SUMPRODUCT((cf_type="revenue")*(cf_month=CI$4)*cf_amount)+SUMPRODUCT((cv_effect="revenue_fixed")*(cv_start=CI$4)*cv_value)+SUMPRODUCT((cv_effect="revenue_monthly")*(cv_start&lt;=CI$4)*(cv_end&gt;CI$4)*cv_value)+IF(AND(in_mode_sale=0,CI$4=R_Start),D_Units*SUMPRODUCT((cv_effect="revenue_per_unit")*cv_value),0)</f>
        <v/>
      </c>
      <c r="CJ24" s="34">
        <f>SUMPRODUCT((cf_type="revenue")*(cf_month=CJ$4)*cf_amount)+SUMPRODUCT((cv_effect="revenue_fixed")*(cv_start=CJ$4)*cv_value)+SUMPRODUCT((cv_effect="revenue_monthly")*(cv_start&lt;=CJ$4)*(cv_end&gt;CJ$4)*cv_value)+IF(AND(in_mode_sale=0,CJ$4=R_Start),D_Units*SUMPRODUCT((cv_effect="revenue_per_unit")*cv_value),0)</f>
        <v/>
      </c>
      <c r="CK24" s="34">
        <f>SUMPRODUCT((cf_type="revenue")*(cf_month=CK$4)*cf_amount)+SUMPRODUCT((cv_effect="revenue_fixed")*(cv_start=CK$4)*cv_value)+SUMPRODUCT((cv_effect="revenue_monthly")*(cv_start&lt;=CK$4)*(cv_end&gt;CK$4)*cv_value)+IF(AND(in_mode_sale=0,CK$4=R_Start),D_Units*SUMPRODUCT((cv_effect="revenue_per_unit")*cv_value),0)</f>
        <v/>
      </c>
      <c r="CL24" s="34">
        <f>SUMPRODUCT((cf_type="revenue")*(cf_month=CL$4)*cf_amount)+SUMPRODUCT((cv_effect="revenue_fixed")*(cv_start=CL$4)*cv_value)+SUMPRODUCT((cv_effect="revenue_monthly")*(cv_start&lt;=CL$4)*(cv_end&gt;CL$4)*cv_value)+IF(AND(in_mode_sale=0,CL$4=R_Start),D_Units*SUMPRODUCT((cv_effect="revenue_per_unit")*cv_value),0)</f>
        <v/>
      </c>
      <c r="CM24" s="34">
        <f>SUMPRODUCT((cf_type="revenue")*(cf_month=CM$4)*cf_amount)+SUMPRODUCT((cv_effect="revenue_fixed")*(cv_start=CM$4)*cv_value)+SUMPRODUCT((cv_effect="revenue_monthly")*(cv_start&lt;=CM$4)*(cv_end&gt;CM$4)*cv_value)+IF(AND(in_mode_sale=0,CM$4=R_Start),D_Units*SUMPRODUCT((cv_effect="revenue_per_unit")*cv_value),0)</f>
        <v/>
      </c>
      <c r="CN24" s="34">
        <f>SUMPRODUCT((cf_type="revenue")*(cf_month=CN$4)*cf_amount)+SUMPRODUCT((cv_effect="revenue_fixed")*(cv_start=CN$4)*cv_value)+SUMPRODUCT((cv_effect="revenue_monthly")*(cv_start&lt;=CN$4)*(cv_end&gt;CN$4)*cv_value)+IF(AND(in_mode_sale=0,CN$4=R_Start),D_Units*SUMPRODUCT((cv_effect="revenue_per_unit")*cv_value),0)</f>
        <v/>
      </c>
      <c r="CO24" s="34">
        <f>SUMPRODUCT((cf_type="revenue")*(cf_month=CO$4)*cf_amount)+SUMPRODUCT((cv_effect="revenue_fixed")*(cv_start=CO$4)*cv_value)+SUMPRODUCT((cv_effect="revenue_monthly")*(cv_start&lt;=CO$4)*(cv_end&gt;CO$4)*cv_value)+IF(AND(in_mode_sale=0,CO$4=R_Start),D_Units*SUMPRODUCT((cv_effect="revenue_per_unit")*cv_value),0)</f>
        <v/>
      </c>
      <c r="CP24" s="34">
        <f>SUMPRODUCT((cf_type="revenue")*(cf_month=CP$4)*cf_amount)+SUMPRODUCT((cv_effect="revenue_fixed")*(cv_start=CP$4)*cv_value)+SUMPRODUCT((cv_effect="revenue_monthly")*(cv_start&lt;=CP$4)*(cv_end&gt;CP$4)*cv_value)+IF(AND(in_mode_sale=0,CP$4=R_Start),D_Units*SUMPRODUCT((cv_effect="revenue_per_unit")*cv_value),0)</f>
        <v/>
      </c>
      <c r="CQ24" s="34">
        <f>SUMPRODUCT((cf_type="revenue")*(cf_month=CQ$4)*cf_amount)+SUMPRODUCT((cv_effect="revenue_fixed")*(cv_start=CQ$4)*cv_value)+SUMPRODUCT((cv_effect="revenue_monthly")*(cv_start&lt;=CQ$4)*(cv_end&gt;CQ$4)*cv_value)+IF(AND(in_mode_sale=0,CQ$4=R_Start),D_Units*SUMPRODUCT((cv_effect="revenue_per_unit")*cv_value),0)</f>
        <v/>
      </c>
      <c r="CR24" s="34">
        <f>SUMPRODUCT((cf_type="revenue")*(cf_month=CR$4)*cf_amount)+SUMPRODUCT((cv_effect="revenue_fixed")*(cv_start=CR$4)*cv_value)+SUMPRODUCT((cv_effect="revenue_monthly")*(cv_start&lt;=CR$4)*(cv_end&gt;CR$4)*cv_value)+IF(AND(in_mode_sale=0,CR$4=R_Start),D_Units*SUMPRODUCT((cv_effect="revenue_per_unit")*cv_value),0)</f>
        <v/>
      </c>
      <c r="CS24" s="34">
        <f>SUMPRODUCT((cf_type="revenue")*(cf_month=CS$4)*cf_amount)+SUMPRODUCT((cv_effect="revenue_fixed")*(cv_start=CS$4)*cv_value)+SUMPRODUCT((cv_effect="revenue_monthly")*(cv_start&lt;=CS$4)*(cv_end&gt;CS$4)*cv_value)+IF(AND(in_mode_sale=0,CS$4=R_Start),D_Units*SUMPRODUCT((cv_effect="revenue_per_unit")*cv_value),0)</f>
        <v/>
      </c>
      <c r="CT24" s="34">
        <f>SUMPRODUCT((cf_type="revenue")*(cf_month=CT$4)*cf_amount)+SUMPRODUCT((cv_effect="revenue_fixed")*(cv_start=CT$4)*cv_value)+SUMPRODUCT((cv_effect="revenue_monthly")*(cv_start&lt;=CT$4)*(cv_end&gt;CT$4)*cv_value)+IF(AND(in_mode_sale=0,CT$4=R_Start),D_Units*SUMPRODUCT((cv_effect="revenue_per_unit")*cv_value),0)</f>
        <v/>
      </c>
      <c r="CU24" s="34">
        <f>SUMPRODUCT((cf_type="revenue")*(cf_month=CU$4)*cf_amount)+SUMPRODUCT((cv_effect="revenue_fixed")*(cv_start=CU$4)*cv_value)+SUMPRODUCT((cv_effect="revenue_monthly")*(cv_start&lt;=CU$4)*(cv_end&gt;CU$4)*cv_value)+IF(AND(in_mode_sale=0,CU$4=R_Start),D_Units*SUMPRODUCT((cv_effect="revenue_per_unit")*cv_value),0)</f>
        <v/>
      </c>
    </row>
    <row r="25">
      <c r="A25" s="38" t="inlineStr">
        <is>
          <t>Total inflows</t>
        </is>
      </c>
      <c r="B25" s="39">
        <f>SUM(D25:CU25)</f>
        <v/>
      </c>
      <c r="C25" s="40" t="inlineStr"/>
      <c r="D25" s="39">
        <f>IF(D$4&gt;T_End,0,D23+D24)</f>
        <v/>
      </c>
      <c r="E25" s="39">
        <f>IF(E$4&gt;T_End,0,E23+E24)</f>
        <v/>
      </c>
      <c r="F25" s="39">
        <f>IF(F$4&gt;T_End,0,F23+F24)</f>
        <v/>
      </c>
      <c r="G25" s="39">
        <f>IF(G$4&gt;T_End,0,G23+G24)</f>
        <v/>
      </c>
      <c r="H25" s="39">
        <f>IF(H$4&gt;T_End,0,H23+H24)</f>
        <v/>
      </c>
      <c r="I25" s="39">
        <f>IF(I$4&gt;T_End,0,I23+I24)</f>
        <v/>
      </c>
      <c r="J25" s="39">
        <f>IF(J$4&gt;T_End,0,J23+J24)</f>
        <v/>
      </c>
      <c r="K25" s="39">
        <f>IF(K$4&gt;T_End,0,K23+K24)</f>
        <v/>
      </c>
      <c r="L25" s="39">
        <f>IF(L$4&gt;T_End,0,L23+L24)</f>
        <v/>
      </c>
      <c r="M25" s="39">
        <f>IF(M$4&gt;T_End,0,M23+M24)</f>
        <v/>
      </c>
      <c r="N25" s="39">
        <f>IF(N$4&gt;T_End,0,N23+N24)</f>
        <v/>
      </c>
      <c r="O25" s="39">
        <f>IF(O$4&gt;T_End,0,O23+O24)</f>
        <v/>
      </c>
      <c r="P25" s="39">
        <f>IF(P$4&gt;T_End,0,P23+P24)</f>
        <v/>
      </c>
      <c r="Q25" s="39">
        <f>IF(Q$4&gt;T_End,0,Q23+Q24)</f>
        <v/>
      </c>
      <c r="R25" s="39">
        <f>IF(R$4&gt;T_End,0,R23+R24)</f>
        <v/>
      </c>
      <c r="S25" s="39">
        <f>IF(S$4&gt;T_End,0,S23+S24)</f>
        <v/>
      </c>
      <c r="T25" s="39">
        <f>IF(T$4&gt;T_End,0,T23+T24)</f>
        <v/>
      </c>
      <c r="U25" s="39">
        <f>IF(U$4&gt;T_End,0,U23+U24)</f>
        <v/>
      </c>
      <c r="V25" s="39">
        <f>IF(V$4&gt;T_End,0,V23+V24)</f>
        <v/>
      </c>
      <c r="W25" s="39">
        <f>IF(W$4&gt;T_End,0,W23+W24)</f>
        <v/>
      </c>
      <c r="X25" s="39">
        <f>IF(X$4&gt;T_End,0,X23+X24)</f>
        <v/>
      </c>
      <c r="Y25" s="39">
        <f>IF(Y$4&gt;T_End,0,Y23+Y24)</f>
        <v/>
      </c>
      <c r="Z25" s="39">
        <f>IF(Z$4&gt;T_End,0,Z23+Z24)</f>
        <v/>
      </c>
      <c r="AA25" s="39">
        <f>IF(AA$4&gt;T_End,0,AA23+AA24)</f>
        <v/>
      </c>
      <c r="AB25" s="39">
        <f>IF(AB$4&gt;T_End,0,AB23+AB24)</f>
        <v/>
      </c>
      <c r="AC25" s="39">
        <f>IF(AC$4&gt;T_End,0,AC23+AC24)</f>
        <v/>
      </c>
      <c r="AD25" s="39">
        <f>IF(AD$4&gt;T_End,0,AD23+AD24)</f>
        <v/>
      </c>
      <c r="AE25" s="39">
        <f>IF(AE$4&gt;T_End,0,AE23+AE24)</f>
        <v/>
      </c>
      <c r="AF25" s="39">
        <f>IF(AF$4&gt;T_End,0,AF23+AF24)</f>
        <v/>
      </c>
      <c r="AG25" s="39">
        <f>IF(AG$4&gt;T_End,0,AG23+AG24)</f>
        <v/>
      </c>
      <c r="AH25" s="39">
        <f>IF(AH$4&gt;T_End,0,AH23+AH24)</f>
        <v/>
      </c>
      <c r="AI25" s="39">
        <f>IF(AI$4&gt;T_End,0,AI23+AI24)</f>
        <v/>
      </c>
      <c r="AJ25" s="39">
        <f>IF(AJ$4&gt;T_End,0,AJ23+AJ24)</f>
        <v/>
      </c>
      <c r="AK25" s="39">
        <f>IF(AK$4&gt;T_End,0,AK23+AK24)</f>
        <v/>
      </c>
      <c r="AL25" s="39">
        <f>IF(AL$4&gt;T_End,0,AL23+AL24)</f>
        <v/>
      </c>
      <c r="AM25" s="39">
        <f>IF(AM$4&gt;T_End,0,AM23+AM24)</f>
        <v/>
      </c>
      <c r="AN25" s="39">
        <f>IF(AN$4&gt;T_End,0,AN23+AN24)</f>
        <v/>
      </c>
      <c r="AO25" s="39">
        <f>IF(AO$4&gt;T_End,0,AO23+AO24)</f>
        <v/>
      </c>
      <c r="AP25" s="39">
        <f>IF(AP$4&gt;T_End,0,AP23+AP24)</f>
        <v/>
      </c>
      <c r="AQ25" s="39">
        <f>IF(AQ$4&gt;T_End,0,AQ23+AQ24)</f>
        <v/>
      </c>
      <c r="AR25" s="39">
        <f>IF(AR$4&gt;T_End,0,AR23+AR24)</f>
        <v/>
      </c>
      <c r="AS25" s="39">
        <f>IF(AS$4&gt;T_End,0,AS23+AS24)</f>
        <v/>
      </c>
      <c r="AT25" s="39">
        <f>IF(AT$4&gt;T_End,0,AT23+AT24)</f>
        <v/>
      </c>
      <c r="AU25" s="39">
        <f>IF(AU$4&gt;T_End,0,AU23+AU24)</f>
        <v/>
      </c>
      <c r="AV25" s="39">
        <f>IF(AV$4&gt;T_End,0,AV23+AV24)</f>
        <v/>
      </c>
      <c r="AW25" s="39">
        <f>IF(AW$4&gt;T_End,0,AW23+AW24)</f>
        <v/>
      </c>
      <c r="AX25" s="39">
        <f>IF(AX$4&gt;T_End,0,AX23+AX24)</f>
        <v/>
      </c>
      <c r="AY25" s="39">
        <f>IF(AY$4&gt;T_End,0,AY23+AY24)</f>
        <v/>
      </c>
      <c r="AZ25" s="39">
        <f>IF(AZ$4&gt;T_End,0,AZ23+AZ24)</f>
        <v/>
      </c>
      <c r="BA25" s="39">
        <f>IF(BA$4&gt;T_End,0,BA23+BA24)</f>
        <v/>
      </c>
      <c r="BB25" s="39">
        <f>IF(BB$4&gt;T_End,0,BB23+BB24)</f>
        <v/>
      </c>
      <c r="BC25" s="39">
        <f>IF(BC$4&gt;T_End,0,BC23+BC24)</f>
        <v/>
      </c>
      <c r="BD25" s="39">
        <f>IF(BD$4&gt;T_End,0,BD23+BD24)</f>
        <v/>
      </c>
      <c r="BE25" s="39">
        <f>IF(BE$4&gt;T_End,0,BE23+BE24)</f>
        <v/>
      </c>
      <c r="BF25" s="39">
        <f>IF(BF$4&gt;T_End,0,BF23+BF24)</f>
        <v/>
      </c>
      <c r="BG25" s="39">
        <f>IF(BG$4&gt;T_End,0,BG23+BG24)</f>
        <v/>
      </c>
      <c r="BH25" s="39">
        <f>IF(BH$4&gt;T_End,0,BH23+BH24)</f>
        <v/>
      </c>
      <c r="BI25" s="39">
        <f>IF(BI$4&gt;T_End,0,BI23+BI24)</f>
        <v/>
      </c>
      <c r="BJ25" s="39">
        <f>IF(BJ$4&gt;T_End,0,BJ23+BJ24)</f>
        <v/>
      </c>
      <c r="BK25" s="39">
        <f>IF(BK$4&gt;T_End,0,BK23+BK24)</f>
        <v/>
      </c>
      <c r="BL25" s="39">
        <f>IF(BL$4&gt;T_End,0,BL23+BL24)</f>
        <v/>
      </c>
      <c r="BM25" s="39">
        <f>IF(BM$4&gt;T_End,0,BM23+BM24)</f>
        <v/>
      </c>
      <c r="BN25" s="39">
        <f>IF(BN$4&gt;T_End,0,BN23+BN24)</f>
        <v/>
      </c>
      <c r="BO25" s="39">
        <f>IF(BO$4&gt;T_End,0,BO23+BO24)</f>
        <v/>
      </c>
      <c r="BP25" s="39">
        <f>IF(BP$4&gt;T_End,0,BP23+BP24)</f>
        <v/>
      </c>
      <c r="BQ25" s="39">
        <f>IF(BQ$4&gt;T_End,0,BQ23+BQ24)</f>
        <v/>
      </c>
      <c r="BR25" s="39">
        <f>IF(BR$4&gt;T_End,0,BR23+BR24)</f>
        <v/>
      </c>
      <c r="BS25" s="39">
        <f>IF(BS$4&gt;T_End,0,BS23+BS24)</f>
        <v/>
      </c>
      <c r="BT25" s="39">
        <f>IF(BT$4&gt;T_End,0,BT23+BT24)</f>
        <v/>
      </c>
      <c r="BU25" s="39">
        <f>IF(BU$4&gt;T_End,0,BU23+BU24)</f>
        <v/>
      </c>
      <c r="BV25" s="39">
        <f>IF(BV$4&gt;T_End,0,BV23+BV24)</f>
        <v/>
      </c>
      <c r="BW25" s="39">
        <f>IF(BW$4&gt;T_End,0,BW23+BW24)</f>
        <v/>
      </c>
      <c r="BX25" s="39">
        <f>IF(BX$4&gt;T_End,0,BX23+BX24)</f>
        <v/>
      </c>
      <c r="BY25" s="39">
        <f>IF(BY$4&gt;T_End,0,BY23+BY24)</f>
        <v/>
      </c>
      <c r="BZ25" s="39">
        <f>IF(BZ$4&gt;T_End,0,BZ23+BZ24)</f>
        <v/>
      </c>
      <c r="CA25" s="39">
        <f>IF(CA$4&gt;T_End,0,CA23+CA24)</f>
        <v/>
      </c>
      <c r="CB25" s="39">
        <f>IF(CB$4&gt;T_End,0,CB23+CB24)</f>
        <v/>
      </c>
      <c r="CC25" s="39">
        <f>IF(CC$4&gt;T_End,0,CC23+CC24)</f>
        <v/>
      </c>
      <c r="CD25" s="39">
        <f>IF(CD$4&gt;T_End,0,CD23+CD24)</f>
        <v/>
      </c>
      <c r="CE25" s="39">
        <f>IF(CE$4&gt;T_End,0,CE23+CE24)</f>
        <v/>
      </c>
      <c r="CF25" s="39">
        <f>IF(CF$4&gt;T_End,0,CF23+CF24)</f>
        <v/>
      </c>
      <c r="CG25" s="39">
        <f>IF(CG$4&gt;T_End,0,CG23+CG24)</f>
        <v/>
      </c>
      <c r="CH25" s="39">
        <f>IF(CH$4&gt;T_End,0,CH23+CH24)</f>
        <v/>
      </c>
      <c r="CI25" s="39">
        <f>IF(CI$4&gt;T_End,0,CI23+CI24)</f>
        <v/>
      </c>
      <c r="CJ25" s="39">
        <f>IF(CJ$4&gt;T_End,0,CJ23+CJ24)</f>
        <v/>
      </c>
      <c r="CK25" s="39">
        <f>IF(CK$4&gt;T_End,0,CK23+CK24)</f>
        <v/>
      </c>
      <c r="CL25" s="39">
        <f>IF(CL$4&gt;T_End,0,CL23+CL24)</f>
        <v/>
      </c>
      <c r="CM25" s="39">
        <f>IF(CM$4&gt;T_End,0,CM23+CM24)</f>
        <v/>
      </c>
      <c r="CN25" s="39">
        <f>IF(CN$4&gt;T_End,0,CN23+CN24)</f>
        <v/>
      </c>
      <c r="CO25" s="39">
        <f>IF(CO$4&gt;T_End,0,CO23+CO24)</f>
        <v/>
      </c>
      <c r="CP25" s="39">
        <f>IF(CP$4&gt;T_End,0,CP23+CP24)</f>
        <v/>
      </c>
      <c r="CQ25" s="39">
        <f>IF(CQ$4&gt;T_End,0,CQ23+CQ24)</f>
        <v/>
      </c>
      <c r="CR25" s="39">
        <f>IF(CR$4&gt;T_End,0,CR23+CR24)</f>
        <v/>
      </c>
      <c r="CS25" s="39">
        <f>IF(CS$4&gt;T_End,0,CS23+CS24)</f>
        <v/>
      </c>
      <c r="CT25" s="39">
        <f>IF(CT$4&gt;T_End,0,CT23+CT24)</f>
        <v/>
      </c>
      <c r="CU25" s="39">
        <f>IF(CU$4&gt;T_End,0,CU23+CU24)</f>
        <v/>
      </c>
    </row>
    <row r="26">
      <c r="A26" s="38" t="inlineStr">
        <is>
          <t>Unlevered cash flow</t>
        </is>
      </c>
      <c r="B26" s="39">
        <f>SUM(D26:CU26)</f>
        <v/>
      </c>
      <c r="C26" s="40" t="inlineStr"/>
      <c r="D26" s="39">
        <f>D25-D22</f>
        <v/>
      </c>
      <c r="E26" s="39">
        <f>E25-E22</f>
        <v/>
      </c>
      <c r="F26" s="39">
        <f>F25-F22</f>
        <v/>
      </c>
      <c r="G26" s="39">
        <f>G25-G22</f>
        <v/>
      </c>
      <c r="H26" s="39">
        <f>H25-H22</f>
        <v/>
      </c>
      <c r="I26" s="39">
        <f>I25-I22</f>
        <v/>
      </c>
      <c r="J26" s="39">
        <f>J25-J22</f>
        <v/>
      </c>
      <c r="K26" s="39">
        <f>K25-K22</f>
        <v/>
      </c>
      <c r="L26" s="39">
        <f>L25-L22</f>
        <v/>
      </c>
      <c r="M26" s="39">
        <f>M25-M22</f>
        <v/>
      </c>
      <c r="N26" s="39">
        <f>N25-N22</f>
        <v/>
      </c>
      <c r="O26" s="39">
        <f>O25-O22</f>
        <v/>
      </c>
      <c r="P26" s="39">
        <f>P25-P22</f>
        <v/>
      </c>
      <c r="Q26" s="39">
        <f>Q25-Q22</f>
        <v/>
      </c>
      <c r="R26" s="39">
        <f>R25-R22</f>
        <v/>
      </c>
      <c r="S26" s="39">
        <f>S25-S22</f>
        <v/>
      </c>
      <c r="T26" s="39">
        <f>T25-T22</f>
        <v/>
      </c>
      <c r="U26" s="39">
        <f>U25-U22</f>
        <v/>
      </c>
      <c r="V26" s="39">
        <f>V25-V22</f>
        <v/>
      </c>
      <c r="W26" s="39">
        <f>W25-W22</f>
        <v/>
      </c>
      <c r="X26" s="39">
        <f>X25-X22</f>
        <v/>
      </c>
      <c r="Y26" s="39">
        <f>Y25-Y22</f>
        <v/>
      </c>
      <c r="Z26" s="39">
        <f>Z25-Z22</f>
        <v/>
      </c>
      <c r="AA26" s="39">
        <f>AA25-AA22</f>
        <v/>
      </c>
      <c r="AB26" s="39">
        <f>AB25-AB22</f>
        <v/>
      </c>
      <c r="AC26" s="39">
        <f>AC25-AC22</f>
        <v/>
      </c>
      <c r="AD26" s="39">
        <f>AD25-AD22</f>
        <v/>
      </c>
      <c r="AE26" s="39">
        <f>AE25-AE22</f>
        <v/>
      </c>
      <c r="AF26" s="39">
        <f>AF25-AF22</f>
        <v/>
      </c>
      <c r="AG26" s="39">
        <f>AG25-AG22</f>
        <v/>
      </c>
      <c r="AH26" s="39">
        <f>AH25-AH22</f>
        <v/>
      </c>
      <c r="AI26" s="39">
        <f>AI25-AI22</f>
        <v/>
      </c>
      <c r="AJ26" s="39">
        <f>AJ25-AJ22</f>
        <v/>
      </c>
      <c r="AK26" s="39">
        <f>AK25-AK22</f>
        <v/>
      </c>
      <c r="AL26" s="39">
        <f>AL25-AL22</f>
        <v/>
      </c>
      <c r="AM26" s="39">
        <f>AM25-AM22</f>
        <v/>
      </c>
      <c r="AN26" s="39">
        <f>AN25-AN22</f>
        <v/>
      </c>
      <c r="AO26" s="39">
        <f>AO25-AO22</f>
        <v/>
      </c>
      <c r="AP26" s="39">
        <f>AP25-AP22</f>
        <v/>
      </c>
      <c r="AQ26" s="39">
        <f>AQ25-AQ22</f>
        <v/>
      </c>
      <c r="AR26" s="39">
        <f>AR25-AR22</f>
        <v/>
      </c>
      <c r="AS26" s="39">
        <f>AS25-AS22</f>
        <v/>
      </c>
      <c r="AT26" s="39">
        <f>AT25-AT22</f>
        <v/>
      </c>
      <c r="AU26" s="39">
        <f>AU25-AU22</f>
        <v/>
      </c>
      <c r="AV26" s="39">
        <f>AV25-AV22</f>
        <v/>
      </c>
      <c r="AW26" s="39">
        <f>AW25-AW22</f>
        <v/>
      </c>
      <c r="AX26" s="39">
        <f>AX25-AX22</f>
        <v/>
      </c>
      <c r="AY26" s="39">
        <f>AY25-AY22</f>
        <v/>
      </c>
      <c r="AZ26" s="39">
        <f>AZ25-AZ22</f>
        <v/>
      </c>
      <c r="BA26" s="39">
        <f>BA25-BA22</f>
        <v/>
      </c>
      <c r="BB26" s="39">
        <f>BB25-BB22</f>
        <v/>
      </c>
      <c r="BC26" s="39">
        <f>BC25-BC22</f>
        <v/>
      </c>
      <c r="BD26" s="39">
        <f>BD25-BD22</f>
        <v/>
      </c>
      <c r="BE26" s="39">
        <f>BE25-BE22</f>
        <v/>
      </c>
      <c r="BF26" s="39">
        <f>BF25-BF22</f>
        <v/>
      </c>
      <c r="BG26" s="39">
        <f>BG25-BG22</f>
        <v/>
      </c>
      <c r="BH26" s="39">
        <f>BH25-BH22</f>
        <v/>
      </c>
      <c r="BI26" s="39">
        <f>BI25-BI22</f>
        <v/>
      </c>
      <c r="BJ26" s="39">
        <f>BJ25-BJ22</f>
        <v/>
      </c>
      <c r="BK26" s="39">
        <f>BK25-BK22</f>
        <v/>
      </c>
      <c r="BL26" s="39">
        <f>BL25-BL22</f>
        <v/>
      </c>
      <c r="BM26" s="39">
        <f>BM25-BM22</f>
        <v/>
      </c>
      <c r="BN26" s="39">
        <f>BN25-BN22</f>
        <v/>
      </c>
      <c r="BO26" s="39">
        <f>BO25-BO22</f>
        <v/>
      </c>
      <c r="BP26" s="39">
        <f>BP25-BP22</f>
        <v/>
      </c>
      <c r="BQ26" s="39">
        <f>BQ25-BQ22</f>
        <v/>
      </c>
      <c r="BR26" s="39">
        <f>BR25-BR22</f>
        <v/>
      </c>
      <c r="BS26" s="39">
        <f>BS25-BS22</f>
        <v/>
      </c>
      <c r="BT26" s="39">
        <f>BT25-BT22</f>
        <v/>
      </c>
      <c r="BU26" s="39">
        <f>BU25-BU22</f>
        <v/>
      </c>
      <c r="BV26" s="39">
        <f>BV25-BV22</f>
        <v/>
      </c>
      <c r="BW26" s="39">
        <f>BW25-BW22</f>
        <v/>
      </c>
      <c r="BX26" s="39">
        <f>BX25-BX22</f>
        <v/>
      </c>
      <c r="BY26" s="39">
        <f>BY25-BY22</f>
        <v/>
      </c>
      <c r="BZ26" s="39">
        <f>BZ25-BZ22</f>
        <v/>
      </c>
      <c r="CA26" s="39">
        <f>CA25-CA22</f>
        <v/>
      </c>
      <c r="CB26" s="39">
        <f>CB25-CB22</f>
        <v/>
      </c>
      <c r="CC26" s="39">
        <f>CC25-CC22</f>
        <v/>
      </c>
      <c r="CD26" s="39">
        <f>CD25-CD22</f>
        <v/>
      </c>
      <c r="CE26" s="39">
        <f>CE25-CE22</f>
        <v/>
      </c>
      <c r="CF26" s="39">
        <f>CF25-CF22</f>
        <v/>
      </c>
      <c r="CG26" s="39">
        <f>CG25-CG22</f>
        <v/>
      </c>
      <c r="CH26" s="39">
        <f>CH25-CH22</f>
        <v/>
      </c>
      <c r="CI26" s="39">
        <f>CI25-CI22</f>
        <v/>
      </c>
      <c r="CJ26" s="39">
        <f>CJ25-CJ22</f>
        <v/>
      </c>
      <c r="CK26" s="39">
        <f>CK25-CK22</f>
        <v/>
      </c>
      <c r="CL26" s="39">
        <f>CL25-CL22</f>
        <v/>
      </c>
      <c r="CM26" s="39">
        <f>CM25-CM22</f>
        <v/>
      </c>
      <c r="CN26" s="39">
        <f>CN25-CN22</f>
        <v/>
      </c>
      <c r="CO26" s="39">
        <f>CO25-CO22</f>
        <v/>
      </c>
      <c r="CP26" s="39">
        <f>CP25-CP22</f>
        <v/>
      </c>
      <c r="CQ26" s="39">
        <f>CQ25-CQ22</f>
        <v/>
      </c>
      <c r="CR26" s="39">
        <f>CR25-CR22</f>
        <v/>
      </c>
      <c r="CS26" s="39">
        <f>CS25-CS22</f>
        <v/>
      </c>
      <c r="CT26" s="39">
        <f>CT25-CT22</f>
        <v/>
      </c>
      <c r="CU26" s="39">
        <f>CU25-CU22</f>
        <v/>
      </c>
    </row>
    <row r="27">
      <c r="A27" s="7" t="inlineStr">
        <is>
          <t>Cumulative unlevered cash flow</t>
        </is>
      </c>
      <c r="B27" s="1" t="n"/>
      <c r="C27" s="11" t="inlineStr"/>
      <c r="D27" s="34">
        <f>D26</f>
        <v/>
      </c>
      <c r="E27" s="34">
        <f>E26+D27</f>
        <v/>
      </c>
      <c r="F27" s="34">
        <f>F26+E27</f>
        <v/>
      </c>
      <c r="G27" s="34">
        <f>G26+F27</f>
        <v/>
      </c>
      <c r="H27" s="34">
        <f>H26+G27</f>
        <v/>
      </c>
      <c r="I27" s="34">
        <f>I26+H27</f>
        <v/>
      </c>
      <c r="J27" s="34">
        <f>J26+I27</f>
        <v/>
      </c>
      <c r="K27" s="34">
        <f>K26+J27</f>
        <v/>
      </c>
      <c r="L27" s="34">
        <f>L26+K27</f>
        <v/>
      </c>
      <c r="M27" s="34">
        <f>M26+L27</f>
        <v/>
      </c>
      <c r="N27" s="34">
        <f>N26+M27</f>
        <v/>
      </c>
      <c r="O27" s="34">
        <f>O26+N27</f>
        <v/>
      </c>
      <c r="P27" s="34">
        <f>P26+O27</f>
        <v/>
      </c>
      <c r="Q27" s="34">
        <f>Q26+P27</f>
        <v/>
      </c>
      <c r="R27" s="34">
        <f>R26+Q27</f>
        <v/>
      </c>
      <c r="S27" s="34">
        <f>S26+R27</f>
        <v/>
      </c>
      <c r="T27" s="34">
        <f>T26+S27</f>
        <v/>
      </c>
      <c r="U27" s="34">
        <f>U26+T27</f>
        <v/>
      </c>
      <c r="V27" s="34">
        <f>V26+U27</f>
        <v/>
      </c>
      <c r="W27" s="34">
        <f>W26+V27</f>
        <v/>
      </c>
      <c r="X27" s="34">
        <f>X26+W27</f>
        <v/>
      </c>
      <c r="Y27" s="34">
        <f>Y26+X27</f>
        <v/>
      </c>
      <c r="Z27" s="34">
        <f>Z26+Y27</f>
        <v/>
      </c>
      <c r="AA27" s="34">
        <f>AA26+Z27</f>
        <v/>
      </c>
      <c r="AB27" s="34">
        <f>AB26+AA27</f>
        <v/>
      </c>
      <c r="AC27" s="34">
        <f>AC26+AB27</f>
        <v/>
      </c>
      <c r="AD27" s="34">
        <f>AD26+AC27</f>
        <v/>
      </c>
      <c r="AE27" s="34">
        <f>AE26+AD27</f>
        <v/>
      </c>
      <c r="AF27" s="34">
        <f>AF26+AE27</f>
        <v/>
      </c>
      <c r="AG27" s="34">
        <f>AG26+AF27</f>
        <v/>
      </c>
      <c r="AH27" s="34">
        <f>AH26+AG27</f>
        <v/>
      </c>
      <c r="AI27" s="34">
        <f>AI26+AH27</f>
        <v/>
      </c>
      <c r="AJ27" s="34">
        <f>AJ26+AI27</f>
        <v/>
      </c>
      <c r="AK27" s="34">
        <f>AK26+AJ27</f>
        <v/>
      </c>
      <c r="AL27" s="34">
        <f>AL26+AK27</f>
        <v/>
      </c>
      <c r="AM27" s="34">
        <f>AM26+AL27</f>
        <v/>
      </c>
      <c r="AN27" s="34">
        <f>AN26+AM27</f>
        <v/>
      </c>
      <c r="AO27" s="34">
        <f>AO26+AN27</f>
        <v/>
      </c>
      <c r="AP27" s="34">
        <f>AP26+AO27</f>
        <v/>
      </c>
      <c r="AQ27" s="34">
        <f>AQ26+AP27</f>
        <v/>
      </c>
      <c r="AR27" s="34">
        <f>AR26+AQ27</f>
        <v/>
      </c>
      <c r="AS27" s="34">
        <f>AS26+AR27</f>
        <v/>
      </c>
      <c r="AT27" s="34">
        <f>AT26+AS27</f>
        <v/>
      </c>
      <c r="AU27" s="34">
        <f>AU26+AT27</f>
        <v/>
      </c>
      <c r="AV27" s="34">
        <f>AV26+AU27</f>
        <v/>
      </c>
      <c r="AW27" s="34">
        <f>AW26+AV27</f>
        <v/>
      </c>
      <c r="AX27" s="34">
        <f>AX26+AW27</f>
        <v/>
      </c>
      <c r="AY27" s="34">
        <f>AY26+AX27</f>
        <v/>
      </c>
      <c r="AZ27" s="34">
        <f>AZ26+AY27</f>
        <v/>
      </c>
      <c r="BA27" s="34">
        <f>BA26+AZ27</f>
        <v/>
      </c>
      <c r="BB27" s="34">
        <f>BB26+BA27</f>
        <v/>
      </c>
      <c r="BC27" s="34">
        <f>BC26+BB27</f>
        <v/>
      </c>
      <c r="BD27" s="34">
        <f>BD26+BC27</f>
        <v/>
      </c>
      <c r="BE27" s="34">
        <f>BE26+BD27</f>
        <v/>
      </c>
      <c r="BF27" s="34">
        <f>BF26+BE27</f>
        <v/>
      </c>
      <c r="BG27" s="34">
        <f>BG26+BF27</f>
        <v/>
      </c>
      <c r="BH27" s="34">
        <f>BH26+BG27</f>
        <v/>
      </c>
      <c r="BI27" s="34">
        <f>BI26+BH27</f>
        <v/>
      </c>
      <c r="BJ27" s="34">
        <f>BJ26+BI27</f>
        <v/>
      </c>
      <c r="BK27" s="34">
        <f>BK26+BJ27</f>
        <v/>
      </c>
      <c r="BL27" s="34">
        <f>BL26+BK27</f>
        <v/>
      </c>
      <c r="BM27" s="34">
        <f>BM26+BL27</f>
        <v/>
      </c>
      <c r="BN27" s="34">
        <f>BN26+BM27</f>
        <v/>
      </c>
      <c r="BO27" s="34">
        <f>BO26+BN27</f>
        <v/>
      </c>
      <c r="BP27" s="34">
        <f>BP26+BO27</f>
        <v/>
      </c>
      <c r="BQ27" s="34">
        <f>BQ26+BP27</f>
        <v/>
      </c>
      <c r="BR27" s="34">
        <f>BR26+BQ27</f>
        <v/>
      </c>
      <c r="BS27" s="34">
        <f>BS26+BR27</f>
        <v/>
      </c>
      <c r="BT27" s="34">
        <f>BT26+BS27</f>
        <v/>
      </c>
      <c r="BU27" s="34">
        <f>BU26+BT27</f>
        <v/>
      </c>
      <c r="BV27" s="34">
        <f>BV26+BU27</f>
        <v/>
      </c>
      <c r="BW27" s="34">
        <f>BW26+BV27</f>
        <v/>
      </c>
      <c r="BX27" s="34">
        <f>BX26+BW27</f>
        <v/>
      </c>
      <c r="BY27" s="34">
        <f>BY26+BX27</f>
        <v/>
      </c>
      <c r="BZ27" s="34">
        <f>BZ26+BY27</f>
        <v/>
      </c>
      <c r="CA27" s="34">
        <f>CA26+BZ27</f>
        <v/>
      </c>
      <c r="CB27" s="34">
        <f>CB26+CA27</f>
        <v/>
      </c>
      <c r="CC27" s="34">
        <f>CC26+CB27</f>
        <v/>
      </c>
      <c r="CD27" s="34">
        <f>CD26+CC27</f>
        <v/>
      </c>
      <c r="CE27" s="34">
        <f>CE26+CD27</f>
        <v/>
      </c>
      <c r="CF27" s="34">
        <f>CF26+CE27</f>
        <v/>
      </c>
      <c r="CG27" s="34">
        <f>CG26+CF27</f>
        <v/>
      </c>
      <c r="CH27" s="34">
        <f>CH26+CG27</f>
        <v/>
      </c>
      <c r="CI27" s="34">
        <f>CI26+CH27</f>
        <v/>
      </c>
      <c r="CJ27" s="34">
        <f>CJ26+CI27</f>
        <v/>
      </c>
      <c r="CK27" s="34">
        <f>CK26+CJ27</f>
        <v/>
      </c>
      <c r="CL27" s="34">
        <f>CL26+CK27</f>
        <v/>
      </c>
      <c r="CM27" s="34">
        <f>CM26+CL27</f>
        <v/>
      </c>
      <c r="CN27" s="34">
        <f>CN26+CM27</f>
        <v/>
      </c>
      <c r="CO27" s="34">
        <f>CO26+CN27</f>
        <v/>
      </c>
      <c r="CP27" s="34">
        <f>CP26+CO27</f>
        <v/>
      </c>
      <c r="CQ27" s="34">
        <f>CQ26+CP27</f>
        <v/>
      </c>
      <c r="CR27" s="34">
        <f>CR26+CQ27</f>
        <v/>
      </c>
      <c r="CS27" s="34">
        <f>CS26+CR27</f>
        <v/>
      </c>
      <c r="CT27" s="34">
        <f>CT26+CS27</f>
        <v/>
      </c>
      <c r="CU27" s="34">
        <f>CU26+CT27</f>
        <v/>
      </c>
    </row>
    <row r="28">
      <c r="A28" s="13" t="inlineStr">
        <is>
          <t>Financing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  <c r="CO28" s="14" t="n"/>
      <c r="CP28" s="14" t="n"/>
      <c r="CQ28" s="14" t="n"/>
      <c r="CR28" s="14" t="n"/>
      <c r="CS28" s="14" t="n"/>
      <c r="CT28" s="14" t="n"/>
      <c r="CU28" s="14" t="n"/>
    </row>
    <row r="29">
      <c r="A29" s="7" t="inlineStr">
        <is>
          <t>Senior debt: opening balance</t>
        </is>
      </c>
      <c r="B29" s="1" t="n"/>
      <c r="C29" s="11" t="inlineStr"/>
      <c r="D29" s="34">
        <f>0</f>
        <v/>
      </c>
      <c r="E29" s="34">
        <f>D56</f>
        <v/>
      </c>
      <c r="F29" s="34">
        <f>E56</f>
        <v/>
      </c>
      <c r="G29" s="34">
        <f>F56</f>
        <v/>
      </c>
      <c r="H29" s="34">
        <f>G56</f>
        <v/>
      </c>
      <c r="I29" s="34">
        <f>H56</f>
        <v/>
      </c>
      <c r="J29" s="34">
        <f>I56</f>
        <v/>
      </c>
      <c r="K29" s="34">
        <f>J56</f>
        <v/>
      </c>
      <c r="L29" s="34">
        <f>K56</f>
        <v/>
      </c>
      <c r="M29" s="34">
        <f>L56</f>
        <v/>
      </c>
      <c r="N29" s="34">
        <f>M56</f>
        <v/>
      </c>
      <c r="O29" s="34">
        <f>N56</f>
        <v/>
      </c>
      <c r="P29" s="34">
        <f>O56</f>
        <v/>
      </c>
      <c r="Q29" s="34">
        <f>P56</f>
        <v/>
      </c>
      <c r="R29" s="34">
        <f>Q56</f>
        <v/>
      </c>
      <c r="S29" s="34">
        <f>R56</f>
        <v/>
      </c>
      <c r="T29" s="34">
        <f>S56</f>
        <v/>
      </c>
      <c r="U29" s="34">
        <f>T56</f>
        <v/>
      </c>
      <c r="V29" s="34">
        <f>U56</f>
        <v/>
      </c>
      <c r="W29" s="34">
        <f>V56</f>
        <v/>
      </c>
      <c r="X29" s="34">
        <f>W56</f>
        <v/>
      </c>
      <c r="Y29" s="34">
        <f>X56</f>
        <v/>
      </c>
      <c r="Z29" s="34">
        <f>Y56</f>
        <v/>
      </c>
      <c r="AA29" s="34">
        <f>Z56</f>
        <v/>
      </c>
      <c r="AB29" s="34">
        <f>AA56</f>
        <v/>
      </c>
      <c r="AC29" s="34">
        <f>AB56</f>
        <v/>
      </c>
      <c r="AD29" s="34">
        <f>AC56</f>
        <v/>
      </c>
      <c r="AE29" s="34">
        <f>AD56</f>
        <v/>
      </c>
      <c r="AF29" s="34">
        <f>AE56</f>
        <v/>
      </c>
      <c r="AG29" s="34">
        <f>AF56</f>
        <v/>
      </c>
      <c r="AH29" s="34">
        <f>AG56</f>
        <v/>
      </c>
      <c r="AI29" s="34">
        <f>AH56</f>
        <v/>
      </c>
      <c r="AJ29" s="34">
        <f>AI56</f>
        <v/>
      </c>
      <c r="AK29" s="34">
        <f>AJ56</f>
        <v/>
      </c>
      <c r="AL29" s="34">
        <f>AK56</f>
        <v/>
      </c>
      <c r="AM29" s="34">
        <f>AL56</f>
        <v/>
      </c>
      <c r="AN29" s="34">
        <f>AM56</f>
        <v/>
      </c>
      <c r="AO29" s="34">
        <f>AN56</f>
        <v/>
      </c>
      <c r="AP29" s="34">
        <f>AO56</f>
        <v/>
      </c>
      <c r="AQ29" s="34">
        <f>AP56</f>
        <v/>
      </c>
      <c r="AR29" s="34">
        <f>AQ56</f>
        <v/>
      </c>
      <c r="AS29" s="34">
        <f>AR56</f>
        <v/>
      </c>
      <c r="AT29" s="34">
        <f>AS56</f>
        <v/>
      </c>
      <c r="AU29" s="34">
        <f>AT56</f>
        <v/>
      </c>
      <c r="AV29" s="34">
        <f>AU56</f>
        <v/>
      </c>
      <c r="AW29" s="34">
        <f>AV56</f>
        <v/>
      </c>
      <c r="AX29" s="34">
        <f>AW56</f>
        <v/>
      </c>
      <c r="AY29" s="34">
        <f>AX56</f>
        <v/>
      </c>
      <c r="AZ29" s="34">
        <f>AY56</f>
        <v/>
      </c>
      <c r="BA29" s="34">
        <f>AZ56</f>
        <v/>
      </c>
      <c r="BB29" s="34">
        <f>BA56</f>
        <v/>
      </c>
      <c r="BC29" s="34">
        <f>BB56</f>
        <v/>
      </c>
      <c r="BD29" s="34">
        <f>BC56</f>
        <v/>
      </c>
      <c r="BE29" s="34">
        <f>BD56</f>
        <v/>
      </c>
      <c r="BF29" s="34">
        <f>BE56</f>
        <v/>
      </c>
      <c r="BG29" s="34">
        <f>BF56</f>
        <v/>
      </c>
      <c r="BH29" s="34">
        <f>BG56</f>
        <v/>
      </c>
      <c r="BI29" s="34">
        <f>BH56</f>
        <v/>
      </c>
      <c r="BJ29" s="34">
        <f>BI56</f>
        <v/>
      </c>
      <c r="BK29" s="34">
        <f>BJ56</f>
        <v/>
      </c>
      <c r="BL29" s="34">
        <f>BK56</f>
        <v/>
      </c>
      <c r="BM29" s="34">
        <f>BL56</f>
        <v/>
      </c>
      <c r="BN29" s="34">
        <f>BM56</f>
        <v/>
      </c>
      <c r="BO29" s="34">
        <f>BN56</f>
        <v/>
      </c>
      <c r="BP29" s="34">
        <f>BO56</f>
        <v/>
      </c>
      <c r="BQ29" s="34">
        <f>BP56</f>
        <v/>
      </c>
      <c r="BR29" s="34">
        <f>BQ56</f>
        <v/>
      </c>
      <c r="BS29" s="34">
        <f>BR56</f>
        <v/>
      </c>
      <c r="BT29" s="34">
        <f>BS56</f>
        <v/>
      </c>
      <c r="BU29" s="34">
        <f>BT56</f>
        <v/>
      </c>
      <c r="BV29" s="34">
        <f>BU56</f>
        <v/>
      </c>
      <c r="BW29" s="34">
        <f>BV56</f>
        <v/>
      </c>
      <c r="BX29" s="34">
        <f>BW56</f>
        <v/>
      </c>
      <c r="BY29" s="34">
        <f>BX56</f>
        <v/>
      </c>
      <c r="BZ29" s="34">
        <f>BY56</f>
        <v/>
      </c>
      <c r="CA29" s="34">
        <f>BZ56</f>
        <v/>
      </c>
      <c r="CB29" s="34">
        <f>CA56</f>
        <v/>
      </c>
      <c r="CC29" s="34">
        <f>CB56</f>
        <v/>
      </c>
      <c r="CD29" s="34">
        <f>CC56</f>
        <v/>
      </c>
      <c r="CE29" s="34">
        <f>CD56</f>
        <v/>
      </c>
      <c r="CF29" s="34">
        <f>CE56</f>
        <v/>
      </c>
      <c r="CG29" s="34">
        <f>CF56</f>
        <v/>
      </c>
      <c r="CH29" s="34">
        <f>CG56</f>
        <v/>
      </c>
      <c r="CI29" s="34">
        <f>CH56</f>
        <v/>
      </c>
      <c r="CJ29" s="34">
        <f>CI56</f>
        <v/>
      </c>
      <c r="CK29" s="34">
        <f>CJ56</f>
        <v/>
      </c>
      <c r="CL29" s="34">
        <f>CK56</f>
        <v/>
      </c>
      <c r="CM29" s="34">
        <f>CL56</f>
        <v/>
      </c>
      <c r="CN29" s="34">
        <f>CM56</f>
        <v/>
      </c>
      <c r="CO29" s="34">
        <f>CN56</f>
        <v/>
      </c>
      <c r="CP29" s="34">
        <f>CO56</f>
        <v/>
      </c>
      <c r="CQ29" s="34">
        <f>CP56</f>
        <v/>
      </c>
      <c r="CR29" s="34">
        <f>CQ56</f>
        <v/>
      </c>
      <c r="CS29" s="34">
        <f>CR56</f>
        <v/>
      </c>
      <c r="CT29" s="34">
        <f>CS56</f>
        <v/>
      </c>
      <c r="CU29" s="34">
        <f>CT56</f>
        <v/>
      </c>
    </row>
    <row r="30">
      <c r="A30" s="7" t="inlineStr">
        <is>
          <t>Senior interest</t>
        </is>
      </c>
      <c r="B30" s="21">
        <f>SUM(D30:CU30)</f>
        <v/>
      </c>
      <c r="C30" s="11" t="inlineStr"/>
      <c r="D30" s="34">
        <f>D29*F_SeniorRate/12</f>
        <v/>
      </c>
      <c r="E30" s="34">
        <f>E29*F_SeniorRate/12</f>
        <v/>
      </c>
      <c r="F30" s="34">
        <f>F29*F_SeniorRate/12</f>
        <v/>
      </c>
      <c r="G30" s="34">
        <f>G29*F_SeniorRate/12</f>
        <v/>
      </c>
      <c r="H30" s="34">
        <f>H29*F_SeniorRate/12</f>
        <v/>
      </c>
      <c r="I30" s="34">
        <f>I29*F_SeniorRate/12</f>
        <v/>
      </c>
      <c r="J30" s="34">
        <f>J29*F_SeniorRate/12</f>
        <v/>
      </c>
      <c r="K30" s="34">
        <f>K29*F_SeniorRate/12</f>
        <v/>
      </c>
      <c r="L30" s="34">
        <f>L29*F_SeniorRate/12</f>
        <v/>
      </c>
      <c r="M30" s="34">
        <f>M29*F_SeniorRate/12</f>
        <v/>
      </c>
      <c r="N30" s="34">
        <f>N29*F_SeniorRate/12</f>
        <v/>
      </c>
      <c r="O30" s="34">
        <f>O29*F_SeniorRate/12</f>
        <v/>
      </c>
      <c r="P30" s="34">
        <f>P29*F_SeniorRate/12</f>
        <v/>
      </c>
      <c r="Q30" s="34">
        <f>Q29*F_SeniorRate/12</f>
        <v/>
      </c>
      <c r="R30" s="34">
        <f>R29*F_SeniorRate/12</f>
        <v/>
      </c>
      <c r="S30" s="34">
        <f>S29*F_SeniorRate/12</f>
        <v/>
      </c>
      <c r="T30" s="34">
        <f>T29*F_SeniorRate/12</f>
        <v/>
      </c>
      <c r="U30" s="34">
        <f>U29*F_SeniorRate/12</f>
        <v/>
      </c>
      <c r="V30" s="34">
        <f>V29*F_SeniorRate/12</f>
        <v/>
      </c>
      <c r="W30" s="34">
        <f>W29*F_SeniorRate/12</f>
        <v/>
      </c>
      <c r="X30" s="34">
        <f>X29*F_SeniorRate/12</f>
        <v/>
      </c>
      <c r="Y30" s="34">
        <f>Y29*F_SeniorRate/12</f>
        <v/>
      </c>
      <c r="Z30" s="34">
        <f>Z29*F_SeniorRate/12</f>
        <v/>
      </c>
      <c r="AA30" s="34">
        <f>AA29*F_SeniorRate/12</f>
        <v/>
      </c>
      <c r="AB30" s="34">
        <f>AB29*F_SeniorRate/12</f>
        <v/>
      </c>
      <c r="AC30" s="34">
        <f>AC29*F_SeniorRate/12</f>
        <v/>
      </c>
      <c r="AD30" s="34">
        <f>AD29*F_SeniorRate/12</f>
        <v/>
      </c>
      <c r="AE30" s="34">
        <f>AE29*F_SeniorRate/12</f>
        <v/>
      </c>
      <c r="AF30" s="34">
        <f>AF29*F_SeniorRate/12</f>
        <v/>
      </c>
      <c r="AG30" s="34">
        <f>AG29*F_SeniorRate/12</f>
        <v/>
      </c>
      <c r="AH30" s="34">
        <f>AH29*F_SeniorRate/12</f>
        <v/>
      </c>
      <c r="AI30" s="34">
        <f>AI29*F_SeniorRate/12</f>
        <v/>
      </c>
      <c r="AJ30" s="34">
        <f>AJ29*F_SeniorRate/12</f>
        <v/>
      </c>
      <c r="AK30" s="34">
        <f>AK29*F_SeniorRate/12</f>
        <v/>
      </c>
      <c r="AL30" s="34">
        <f>AL29*F_SeniorRate/12</f>
        <v/>
      </c>
      <c r="AM30" s="34">
        <f>AM29*F_SeniorRate/12</f>
        <v/>
      </c>
      <c r="AN30" s="34">
        <f>AN29*F_SeniorRate/12</f>
        <v/>
      </c>
      <c r="AO30" s="34">
        <f>AO29*F_SeniorRate/12</f>
        <v/>
      </c>
      <c r="AP30" s="34">
        <f>AP29*F_SeniorRate/12</f>
        <v/>
      </c>
      <c r="AQ30" s="34">
        <f>AQ29*F_SeniorRate/12</f>
        <v/>
      </c>
      <c r="AR30" s="34">
        <f>AR29*F_SeniorRate/12</f>
        <v/>
      </c>
      <c r="AS30" s="34">
        <f>AS29*F_SeniorRate/12</f>
        <v/>
      </c>
      <c r="AT30" s="34">
        <f>AT29*F_SeniorRate/12</f>
        <v/>
      </c>
      <c r="AU30" s="34">
        <f>AU29*F_SeniorRate/12</f>
        <v/>
      </c>
      <c r="AV30" s="34">
        <f>AV29*F_SeniorRate/12</f>
        <v/>
      </c>
      <c r="AW30" s="34">
        <f>AW29*F_SeniorRate/12</f>
        <v/>
      </c>
      <c r="AX30" s="34">
        <f>AX29*F_SeniorRate/12</f>
        <v/>
      </c>
      <c r="AY30" s="34">
        <f>AY29*F_SeniorRate/12</f>
        <v/>
      </c>
      <c r="AZ30" s="34">
        <f>AZ29*F_SeniorRate/12</f>
        <v/>
      </c>
      <c r="BA30" s="34">
        <f>BA29*F_SeniorRate/12</f>
        <v/>
      </c>
      <c r="BB30" s="34">
        <f>BB29*F_SeniorRate/12</f>
        <v/>
      </c>
      <c r="BC30" s="34">
        <f>BC29*F_SeniorRate/12</f>
        <v/>
      </c>
      <c r="BD30" s="34">
        <f>BD29*F_SeniorRate/12</f>
        <v/>
      </c>
      <c r="BE30" s="34">
        <f>BE29*F_SeniorRate/12</f>
        <v/>
      </c>
      <c r="BF30" s="34">
        <f>BF29*F_SeniorRate/12</f>
        <v/>
      </c>
      <c r="BG30" s="34">
        <f>BG29*F_SeniorRate/12</f>
        <v/>
      </c>
      <c r="BH30" s="34">
        <f>BH29*F_SeniorRate/12</f>
        <v/>
      </c>
      <c r="BI30" s="34">
        <f>BI29*F_SeniorRate/12</f>
        <v/>
      </c>
      <c r="BJ30" s="34">
        <f>BJ29*F_SeniorRate/12</f>
        <v/>
      </c>
      <c r="BK30" s="34">
        <f>BK29*F_SeniorRate/12</f>
        <v/>
      </c>
      <c r="BL30" s="34">
        <f>BL29*F_SeniorRate/12</f>
        <v/>
      </c>
      <c r="BM30" s="34">
        <f>BM29*F_SeniorRate/12</f>
        <v/>
      </c>
      <c r="BN30" s="34">
        <f>BN29*F_SeniorRate/12</f>
        <v/>
      </c>
      <c r="BO30" s="34">
        <f>BO29*F_SeniorRate/12</f>
        <v/>
      </c>
      <c r="BP30" s="34">
        <f>BP29*F_SeniorRate/12</f>
        <v/>
      </c>
      <c r="BQ30" s="34">
        <f>BQ29*F_SeniorRate/12</f>
        <v/>
      </c>
      <c r="BR30" s="34">
        <f>BR29*F_SeniorRate/12</f>
        <v/>
      </c>
      <c r="BS30" s="34">
        <f>BS29*F_SeniorRate/12</f>
        <v/>
      </c>
      <c r="BT30" s="34">
        <f>BT29*F_SeniorRate/12</f>
        <v/>
      </c>
      <c r="BU30" s="34">
        <f>BU29*F_SeniorRate/12</f>
        <v/>
      </c>
      <c r="BV30" s="34">
        <f>BV29*F_SeniorRate/12</f>
        <v/>
      </c>
      <c r="BW30" s="34">
        <f>BW29*F_SeniorRate/12</f>
        <v/>
      </c>
      <c r="BX30" s="34">
        <f>BX29*F_SeniorRate/12</f>
        <v/>
      </c>
      <c r="BY30" s="34">
        <f>BY29*F_SeniorRate/12</f>
        <v/>
      </c>
      <c r="BZ30" s="34">
        <f>BZ29*F_SeniorRate/12</f>
        <v/>
      </c>
      <c r="CA30" s="34">
        <f>CA29*F_SeniorRate/12</f>
        <v/>
      </c>
      <c r="CB30" s="34">
        <f>CB29*F_SeniorRate/12</f>
        <v/>
      </c>
      <c r="CC30" s="34">
        <f>CC29*F_SeniorRate/12</f>
        <v/>
      </c>
      <c r="CD30" s="34">
        <f>CD29*F_SeniorRate/12</f>
        <v/>
      </c>
      <c r="CE30" s="34">
        <f>CE29*F_SeniorRate/12</f>
        <v/>
      </c>
      <c r="CF30" s="34">
        <f>CF29*F_SeniorRate/12</f>
        <v/>
      </c>
      <c r="CG30" s="34">
        <f>CG29*F_SeniorRate/12</f>
        <v/>
      </c>
      <c r="CH30" s="34">
        <f>CH29*F_SeniorRate/12</f>
        <v/>
      </c>
      <c r="CI30" s="34">
        <f>CI29*F_SeniorRate/12</f>
        <v/>
      </c>
      <c r="CJ30" s="34">
        <f>CJ29*F_SeniorRate/12</f>
        <v/>
      </c>
      <c r="CK30" s="34">
        <f>CK29*F_SeniorRate/12</f>
        <v/>
      </c>
      <c r="CL30" s="34">
        <f>CL29*F_SeniorRate/12</f>
        <v/>
      </c>
      <c r="CM30" s="34">
        <f>CM29*F_SeniorRate/12</f>
        <v/>
      </c>
      <c r="CN30" s="34">
        <f>CN29*F_SeniorRate/12</f>
        <v/>
      </c>
      <c r="CO30" s="34">
        <f>CO29*F_SeniorRate/12</f>
        <v/>
      </c>
      <c r="CP30" s="34">
        <f>CP29*F_SeniorRate/12</f>
        <v/>
      </c>
      <c r="CQ30" s="34">
        <f>CQ29*F_SeniorRate/12</f>
        <v/>
      </c>
      <c r="CR30" s="34">
        <f>CR29*F_SeniorRate/12</f>
        <v/>
      </c>
      <c r="CS30" s="34">
        <f>CS29*F_SeniorRate/12</f>
        <v/>
      </c>
      <c r="CT30" s="34">
        <f>CT29*F_SeniorRate/12</f>
        <v/>
      </c>
      <c r="CU30" s="34">
        <f>CU29*F_SeniorRate/12</f>
        <v/>
      </c>
    </row>
    <row r="31">
      <c r="A31" s="7" t="inlineStr">
        <is>
          <t>Mezzanine: opening balance</t>
        </is>
      </c>
      <c r="B31" s="1" t="n"/>
      <c r="C31" s="11" t="inlineStr"/>
      <c r="D31" s="34">
        <f>0</f>
        <v/>
      </c>
      <c r="E31" s="34">
        <f>D57</f>
        <v/>
      </c>
      <c r="F31" s="34">
        <f>E57</f>
        <v/>
      </c>
      <c r="G31" s="34">
        <f>F57</f>
        <v/>
      </c>
      <c r="H31" s="34">
        <f>G57</f>
        <v/>
      </c>
      <c r="I31" s="34">
        <f>H57</f>
        <v/>
      </c>
      <c r="J31" s="34">
        <f>I57</f>
        <v/>
      </c>
      <c r="K31" s="34">
        <f>J57</f>
        <v/>
      </c>
      <c r="L31" s="34">
        <f>K57</f>
        <v/>
      </c>
      <c r="M31" s="34">
        <f>L57</f>
        <v/>
      </c>
      <c r="N31" s="34">
        <f>M57</f>
        <v/>
      </c>
      <c r="O31" s="34">
        <f>N57</f>
        <v/>
      </c>
      <c r="P31" s="34">
        <f>O57</f>
        <v/>
      </c>
      <c r="Q31" s="34">
        <f>P57</f>
        <v/>
      </c>
      <c r="R31" s="34">
        <f>Q57</f>
        <v/>
      </c>
      <c r="S31" s="34">
        <f>R57</f>
        <v/>
      </c>
      <c r="T31" s="34">
        <f>S57</f>
        <v/>
      </c>
      <c r="U31" s="34">
        <f>T57</f>
        <v/>
      </c>
      <c r="V31" s="34">
        <f>U57</f>
        <v/>
      </c>
      <c r="W31" s="34">
        <f>V57</f>
        <v/>
      </c>
      <c r="X31" s="34">
        <f>W57</f>
        <v/>
      </c>
      <c r="Y31" s="34">
        <f>X57</f>
        <v/>
      </c>
      <c r="Z31" s="34">
        <f>Y57</f>
        <v/>
      </c>
      <c r="AA31" s="34">
        <f>Z57</f>
        <v/>
      </c>
      <c r="AB31" s="34">
        <f>AA57</f>
        <v/>
      </c>
      <c r="AC31" s="34">
        <f>AB57</f>
        <v/>
      </c>
      <c r="AD31" s="34">
        <f>AC57</f>
        <v/>
      </c>
      <c r="AE31" s="34">
        <f>AD57</f>
        <v/>
      </c>
      <c r="AF31" s="34">
        <f>AE57</f>
        <v/>
      </c>
      <c r="AG31" s="34">
        <f>AF57</f>
        <v/>
      </c>
      <c r="AH31" s="34">
        <f>AG57</f>
        <v/>
      </c>
      <c r="AI31" s="34">
        <f>AH57</f>
        <v/>
      </c>
      <c r="AJ31" s="34">
        <f>AI57</f>
        <v/>
      </c>
      <c r="AK31" s="34">
        <f>AJ57</f>
        <v/>
      </c>
      <c r="AL31" s="34">
        <f>AK57</f>
        <v/>
      </c>
      <c r="AM31" s="34">
        <f>AL57</f>
        <v/>
      </c>
      <c r="AN31" s="34">
        <f>AM57</f>
        <v/>
      </c>
      <c r="AO31" s="34">
        <f>AN57</f>
        <v/>
      </c>
      <c r="AP31" s="34">
        <f>AO57</f>
        <v/>
      </c>
      <c r="AQ31" s="34">
        <f>AP57</f>
        <v/>
      </c>
      <c r="AR31" s="34">
        <f>AQ57</f>
        <v/>
      </c>
      <c r="AS31" s="34">
        <f>AR57</f>
        <v/>
      </c>
      <c r="AT31" s="34">
        <f>AS57</f>
        <v/>
      </c>
      <c r="AU31" s="34">
        <f>AT57</f>
        <v/>
      </c>
      <c r="AV31" s="34">
        <f>AU57</f>
        <v/>
      </c>
      <c r="AW31" s="34">
        <f>AV57</f>
        <v/>
      </c>
      <c r="AX31" s="34">
        <f>AW57</f>
        <v/>
      </c>
      <c r="AY31" s="34">
        <f>AX57</f>
        <v/>
      </c>
      <c r="AZ31" s="34">
        <f>AY57</f>
        <v/>
      </c>
      <c r="BA31" s="34">
        <f>AZ57</f>
        <v/>
      </c>
      <c r="BB31" s="34">
        <f>BA57</f>
        <v/>
      </c>
      <c r="BC31" s="34">
        <f>BB57</f>
        <v/>
      </c>
      <c r="BD31" s="34">
        <f>BC57</f>
        <v/>
      </c>
      <c r="BE31" s="34">
        <f>BD57</f>
        <v/>
      </c>
      <c r="BF31" s="34">
        <f>BE57</f>
        <v/>
      </c>
      <c r="BG31" s="34">
        <f>BF57</f>
        <v/>
      </c>
      <c r="BH31" s="34">
        <f>BG57</f>
        <v/>
      </c>
      <c r="BI31" s="34">
        <f>BH57</f>
        <v/>
      </c>
      <c r="BJ31" s="34">
        <f>BI57</f>
        <v/>
      </c>
      <c r="BK31" s="34">
        <f>BJ57</f>
        <v/>
      </c>
      <c r="BL31" s="34">
        <f>BK57</f>
        <v/>
      </c>
      <c r="BM31" s="34">
        <f>BL57</f>
        <v/>
      </c>
      <c r="BN31" s="34">
        <f>BM57</f>
        <v/>
      </c>
      <c r="BO31" s="34">
        <f>BN57</f>
        <v/>
      </c>
      <c r="BP31" s="34">
        <f>BO57</f>
        <v/>
      </c>
      <c r="BQ31" s="34">
        <f>BP57</f>
        <v/>
      </c>
      <c r="BR31" s="34">
        <f>BQ57</f>
        <v/>
      </c>
      <c r="BS31" s="34">
        <f>BR57</f>
        <v/>
      </c>
      <c r="BT31" s="34">
        <f>BS57</f>
        <v/>
      </c>
      <c r="BU31" s="34">
        <f>BT57</f>
        <v/>
      </c>
      <c r="BV31" s="34">
        <f>BU57</f>
        <v/>
      </c>
      <c r="BW31" s="34">
        <f>BV57</f>
        <v/>
      </c>
      <c r="BX31" s="34">
        <f>BW57</f>
        <v/>
      </c>
      <c r="BY31" s="34">
        <f>BX57</f>
        <v/>
      </c>
      <c r="BZ31" s="34">
        <f>BY57</f>
        <v/>
      </c>
      <c r="CA31" s="34">
        <f>BZ57</f>
        <v/>
      </c>
      <c r="CB31" s="34">
        <f>CA57</f>
        <v/>
      </c>
      <c r="CC31" s="34">
        <f>CB57</f>
        <v/>
      </c>
      <c r="CD31" s="34">
        <f>CC57</f>
        <v/>
      </c>
      <c r="CE31" s="34">
        <f>CD57</f>
        <v/>
      </c>
      <c r="CF31" s="34">
        <f>CE57</f>
        <v/>
      </c>
      <c r="CG31" s="34">
        <f>CF57</f>
        <v/>
      </c>
      <c r="CH31" s="34">
        <f>CG57</f>
        <v/>
      </c>
      <c r="CI31" s="34">
        <f>CH57</f>
        <v/>
      </c>
      <c r="CJ31" s="34">
        <f>CI57</f>
        <v/>
      </c>
      <c r="CK31" s="34">
        <f>CJ57</f>
        <v/>
      </c>
      <c r="CL31" s="34">
        <f>CK57</f>
        <v/>
      </c>
      <c r="CM31" s="34">
        <f>CL57</f>
        <v/>
      </c>
      <c r="CN31" s="34">
        <f>CM57</f>
        <v/>
      </c>
      <c r="CO31" s="34">
        <f>CN57</f>
        <v/>
      </c>
      <c r="CP31" s="34">
        <f>CO57</f>
        <v/>
      </c>
      <c r="CQ31" s="34">
        <f>CP57</f>
        <v/>
      </c>
      <c r="CR31" s="34">
        <f>CQ57</f>
        <v/>
      </c>
      <c r="CS31" s="34">
        <f>CR57</f>
        <v/>
      </c>
      <c r="CT31" s="34">
        <f>CS57</f>
        <v/>
      </c>
      <c r="CU31" s="34">
        <f>CT57</f>
        <v/>
      </c>
    </row>
    <row r="32">
      <c r="A32" s="7" t="inlineStr">
        <is>
          <t>Mezzanine interest</t>
        </is>
      </c>
      <c r="B32" s="21">
        <f>SUM(D32:CU32)</f>
        <v/>
      </c>
      <c r="C32" s="11" t="inlineStr"/>
      <c r="D32" s="34">
        <f>D31*N(in_fin_mezz_rate_pct)/12</f>
        <v/>
      </c>
      <c r="E32" s="34">
        <f>E31*N(in_fin_mezz_rate_pct)/12</f>
        <v/>
      </c>
      <c r="F32" s="34">
        <f>F31*N(in_fin_mezz_rate_pct)/12</f>
        <v/>
      </c>
      <c r="G32" s="34">
        <f>G31*N(in_fin_mezz_rate_pct)/12</f>
        <v/>
      </c>
      <c r="H32" s="34">
        <f>H31*N(in_fin_mezz_rate_pct)/12</f>
        <v/>
      </c>
      <c r="I32" s="34">
        <f>I31*N(in_fin_mezz_rate_pct)/12</f>
        <v/>
      </c>
      <c r="J32" s="34">
        <f>J31*N(in_fin_mezz_rate_pct)/12</f>
        <v/>
      </c>
      <c r="K32" s="34">
        <f>K31*N(in_fin_mezz_rate_pct)/12</f>
        <v/>
      </c>
      <c r="L32" s="34">
        <f>L31*N(in_fin_mezz_rate_pct)/12</f>
        <v/>
      </c>
      <c r="M32" s="34">
        <f>M31*N(in_fin_mezz_rate_pct)/12</f>
        <v/>
      </c>
      <c r="N32" s="34">
        <f>N31*N(in_fin_mezz_rate_pct)/12</f>
        <v/>
      </c>
      <c r="O32" s="34">
        <f>O31*N(in_fin_mezz_rate_pct)/12</f>
        <v/>
      </c>
      <c r="P32" s="34">
        <f>P31*N(in_fin_mezz_rate_pct)/12</f>
        <v/>
      </c>
      <c r="Q32" s="34">
        <f>Q31*N(in_fin_mezz_rate_pct)/12</f>
        <v/>
      </c>
      <c r="R32" s="34">
        <f>R31*N(in_fin_mezz_rate_pct)/12</f>
        <v/>
      </c>
      <c r="S32" s="34">
        <f>S31*N(in_fin_mezz_rate_pct)/12</f>
        <v/>
      </c>
      <c r="T32" s="34">
        <f>T31*N(in_fin_mezz_rate_pct)/12</f>
        <v/>
      </c>
      <c r="U32" s="34">
        <f>U31*N(in_fin_mezz_rate_pct)/12</f>
        <v/>
      </c>
      <c r="V32" s="34">
        <f>V31*N(in_fin_mezz_rate_pct)/12</f>
        <v/>
      </c>
      <c r="W32" s="34">
        <f>W31*N(in_fin_mezz_rate_pct)/12</f>
        <v/>
      </c>
      <c r="X32" s="34">
        <f>X31*N(in_fin_mezz_rate_pct)/12</f>
        <v/>
      </c>
      <c r="Y32" s="34">
        <f>Y31*N(in_fin_mezz_rate_pct)/12</f>
        <v/>
      </c>
      <c r="Z32" s="34">
        <f>Z31*N(in_fin_mezz_rate_pct)/12</f>
        <v/>
      </c>
      <c r="AA32" s="34">
        <f>AA31*N(in_fin_mezz_rate_pct)/12</f>
        <v/>
      </c>
      <c r="AB32" s="34">
        <f>AB31*N(in_fin_mezz_rate_pct)/12</f>
        <v/>
      </c>
      <c r="AC32" s="34">
        <f>AC31*N(in_fin_mezz_rate_pct)/12</f>
        <v/>
      </c>
      <c r="AD32" s="34">
        <f>AD31*N(in_fin_mezz_rate_pct)/12</f>
        <v/>
      </c>
      <c r="AE32" s="34">
        <f>AE31*N(in_fin_mezz_rate_pct)/12</f>
        <v/>
      </c>
      <c r="AF32" s="34">
        <f>AF31*N(in_fin_mezz_rate_pct)/12</f>
        <v/>
      </c>
      <c r="AG32" s="34">
        <f>AG31*N(in_fin_mezz_rate_pct)/12</f>
        <v/>
      </c>
      <c r="AH32" s="34">
        <f>AH31*N(in_fin_mezz_rate_pct)/12</f>
        <v/>
      </c>
      <c r="AI32" s="34">
        <f>AI31*N(in_fin_mezz_rate_pct)/12</f>
        <v/>
      </c>
      <c r="AJ32" s="34">
        <f>AJ31*N(in_fin_mezz_rate_pct)/12</f>
        <v/>
      </c>
      <c r="AK32" s="34">
        <f>AK31*N(in_fin_mezz_rate_pct)/12</f>
        <v/>
      </c>
      <c r="AL32" s="34">
        <f>AL31*N(in_fin_mezz_rate_pct)/12</f>
        <v/>
      </c>
      <c r="AM32" s="34">
        <f>AM31*N(in_fin_mezz_rate_pct)/12</f>
        <v/>
      </c>
      <c r="AN32" s="34">
        <f>AN31*N(in_fin_mezz_rate_pct)/12</f>
        <v/>
      </c>
      <c r="AO32" s="34">
        <f>AO31*N(in_fin_mezz_rate_pct)/12</f>
        <v/>
      </c>
      <c r="AP32" s="34">
        <f>AP31*N(in_fin_mezz_rate_pct)/12</f>
        <v/>
      </c>
      <c r="AQ32" s="34">
        <f>AQ31*N(in_fin_mezz_rate_pct)/12</f>
        <v/>
      </c>
      <c r="AR32" s="34">
        <f>AR31*N(in_fin_mezz_rate_pct)/12</f>
        <v/>
      </c>
      <c r="AS32" s="34">
        <f>AS31*N(in_fin_mezz_rate_pct)/12</f>
        <v/>
      </c>
      <c r="AT32" s="34">
        <f>AT31*N(in_fin_mezz_rate_pct)/12</f>
        <v/>
      </c>
      <c r="AU32" s="34">
        <f>AU31*N(in_fin_mezz_rate_pct)/12</f>
        <v/>
      </c>
      <c r="AV32" s="34">
        <f>AV31*N(in_fin_mezz_rate_pct)/12</f>
        <v/>
      </c>
      <c r="AW32" s="34">
        <f>AW31*N(in_fin_mezz_rate_pct)/12</f>
        <v/>
      </c>
      <c r="AX32" s="34">
        <f>AX31*N(in_fin_mezz_rate_pct)/12</f>
        <v/>
      </c>
      <c r="AY32" s="34">
        <f>AY31*N(in_fin_mezz_rate_pct)/12</f>
        <v/>
      </c>
      <c r="AZ32" s="34">
        <f>AZ31*N(in_fin_mezz_rate_pct)/12</f>
        <v/>
      </c>
      <c r="BA32" s="34">
        <f>BA31*N(in_fin_mezz_rate_pct)/12</f>
        <v/>
      </c>
      <c r="BB32" s="34">
        <f>BB31*N(in_fin_mezz_rate_pct)/12</f>
        <v/>
      </c>
      <c r="BC32" s="34">
        <f>BC31*N(in_fin_mezz_rate_pct)/12</f>
        <v/>
      </c>
      <c r="BD32" s="34">
        <f>BD31*N(in_fin_mezz_rate_pct)/12</f>
        <v/>
      </c>
      <c r="BE32" s="34">
        <f>BE31*N(in_fin_mezz_rate_pct)/12</f>
        <v/>
      </c>
      <c r="BF32" s="34">
        <f>BF31*N(in_fin_mezz_rate_pct)/12</f>
        <v/>
      </c>
      <c r="BG32" s="34">
        <f>BG31*N(in_fin_mezz_rate_pct)/12</f>
        <v/>
      </c>
      <c r="BH32" s="34">
        <f>BH31*N(in_fin_mezz_rate_pct)/12</f>
        <v/>
      </c>
      <c r="BI32" s="34">
        <f>BI31*N(in_fin_mezz_rate_pct)/12</f>
        <v/>
      </c>
      <c r="BJ32" s="34">
        <f>BJ31*N(in_fin_mezz_rate_pct)/12</f>
        <v/>
      </c>
      <c r="BK32" s="34">
        <f>BK31*N(in_fin_mezz_rate_pct)/12</f>
        <v/>
      </c>
      <c r="BL32" s="34">
        <f>BL31*N(in_fin_mezz_rate_pct)/12</f>
        <v/>
      </c>
      <c r="BM32" s="34">
        <f>BM31*N(in_fin_mezz_rate_pct)/12</f>
        <v/>
      </c>
      <c r="BN32" s="34">
        <f>BN31*N(in_fin_mezz_rate_pct)/12</f>
        <v/>
      </c>
      <c r="BO32" s="34">
        <f>BO31*N(in_fin_mezz_rate_pct)/12</f>
        <v/>
      </c>
      <c r="BP32" s="34">
        <f>BP31*N(in_fin_mezz_rate_pct)/12</f>
        <v/>
      </c>
      <c r="BQ32" s="34">
        <f>BQ31*N(in_fin_mezz_rate_pct)/12</f>
        <v/>
      </c>
      <c r="BR32" s="34">
        <f>BR31*N(in_fin_mezz_rate_pct)/12</f>
        <v/>
      </c>
      <c r="BS32" s="34">
        <f>BS31*N(in_fin_mezz_rate_pct)/12</f>
        <v/>
      </c>
      <c r="BT32" s="34">
        <f>BT31*N(in_fin_mezz_rate_pct)/12</f>
        <v/>
      </c>
      <c r="BU32" s="34">
        <f>BU31*N(in_fin_mezz_rate_pct)/12</f>
        <v/>
      </c>
      <c r="BV32" s="34">
        <f>BV31*N(in_fin_mezz_rate_pct)/12</f>
        <v/>
      </c>
      <c r="BW32" s="34">
        <f>BW31*N(in_fin_mezz_rate_pct)/12</f>
        <v/>
      </c>
      <c r="BX32" s="34">
        <f>BX31*N(in_fin_mezz_rate_pct)/12</f>
        <v/>
      </c>
      <c r="BY32" s="34">
        <f>BY31*N(in_fin_mezz_rate_pct)/12</f>
        <v/>
      </c>
      <c r="BZ32" s="34">
        <f>BZ31*N(in_fin_mezz_rate_pct)/12</f>
        <v/>
      </c>
      <c r="CA32" s="34">
        <f>CA31*N(in_fin_mezz_rate_pct)/12</f>
        <v/>
      </c>
      <c r="CB32" s="34">
        <f>CB31*N(in_fin_mezz_rate_pct)/12</f>
        <v/>
      </c>
      <c r="CC32" s="34">
        <f>CC31*N(in_fin_mezz_rate_pct)/12</f>
        <v/>
      </c>
      <c r="CD32" s="34">
        <f>CD31*N(in_fin_mezz_rate_pct)/12</f>
        <v/>
      </c>
      <c r="CE32" s="34">
        <f>CE31*N(in_fin_mezz_rate_pct)/12</f>
        <v/>
      </c>
      <c r="CF32" s="34">
        <f>CF31*N(in_fin_mezz_rate_pct)/12</f>
        <v/>
      </c>
      <c r="CG32" s="34">
        <f>CG31*N(in_fin_mezz_rate_pct)/12</f>
        <v/>
      </c>
      <c r="CH32" s="34">
        <f>CH31*N(in_fin_mezz_rate_pct)/12</f>
        <v/>
      </c>
      <c r="CI32" s="34">
        <f>CI31*N(in_fin_mezz_rate_pct)/12</f>
        <v/>
      </c>
      <c r="CJ32" s="34">
        <f>CJ31*N(in_fin_mezz_rate_pct)/12</f>
        <v/>
      </c>
      <c r="CK32" s="34">
        <f>CK31*N(in_fin_mezz_rate_pct)/12</f>
        <v/>
      </c>
      <c r="CL32" s="34">
        <f>CL31*N(in_fin_mezz_rate_pct)/12</f>
        <v/>
      </c>
      <c r="CM32" s="34">
        <f>CM31*N(in_fin_mezz_rate_pct)/12</f>
        <v/>
      </c>
      <c r="CN32" s="34">
        <f>CN31*N(in_fin_mezz_rate_pct)/12</f>
        <v/>
      </c>
      <c r="CO32" s="34">
        <f>CO31*N(in_fin_mezz_rate_pct)/12</f>
        <v/>
      </c>
      <c r="CP32" s="34">
        <f>CP31*N(in_fin_mezz_rate_pct)/12</f>
        <v/>
      </c>
      <c r="CQ32" s="34">
        <f>CQ31*N(in_fin_mezz_rate_pct)/12</f>
        <v/>
      </c>
      <c r="CR32" s="34">
        <f>CR31*N(in_fin_mezz_rate_pct)/12</f>
        <v/>
      </c>
      <c r="CS32" s="34">
        <f>CS31*N(in_fin_mezz_rate_pct)/12</f>
        <v/>
      </c>
      <c r="CT32" s="34">
        <f>CT31*N(in_fin_mezz_rate_pct)/12</f>
        <v/>
      </c>
      <c r="CU32" s="34">
        <f>CU31*N(in_fin_mezz_rate_pct)/12</f>
        <v/>
      </c>
    </row>
    <row r="33">
      <c r="A33" s="7" t="inlineStr">
        <is>
          <t>Loan fees (commitment on undrawn + origination)</t>
        </is>
      </c>
      <c r="B33" s="21">
        <f>SUM(D33:CU33)</f>
        <v/>
      </c>
      <c r="C33" s="11" t="inlineStr"/>
      <c r="D33" s="34">
        <f>IF(AND(D$4&gt;=T_ConStart,D$4&lt;=T_Delivery,F_SeniorCommit&gt;0),MAX(F_SeniorCommit-D29,0)*in_fin_commitment_fee_pct/12,0)+IF(AND(D$4=T_ConStart,F_SeniorCommit&gt;0),F_SeniorCommit*in_fin_origination_fee_pct,0)</f>
        <v/>
      </c>
      <c r="E33" s="34">
        <f>IF(AND(E$4&gt;=T_ConStart,E$4&lt;=T_Delivery,F_SeniorCommit&gt;0),MAX(F_SeniorCommit-E29,0)*in_fin_commitment_fee_pct/12,0)+IF(AND(E$4=T_ConStart,F_SeniorCommit&gt;0),F_SeniorCommit*in_fin_origination_fee_pct,0)</f>
        <v/>
      </c>
      <c r="F33" s="34">
        <f>IF(AND(F$4&gt;=T_ConStart,F$4&lt;=T_Delivery,F_SeniorCommit&gt;0),MAX(F_SeniorCommit-F29,0)*in_fin_commitment_fee_pct/12,0)+IF(AND(F$4=T_ConStart,F_SeniorCommit&gt;0),F_SeniorCommit*in_fin_origination_fee_pct,0)</f>
        <v/>
      </c>
      <c r="G33" s="34">
        <f>IF(AND(G$4&gt;=T_ConStart,G$4&lt;=T_Delivery,F_SeniorCommit&gt;0),MAX(F_SeniorCommit-G29,0)*in_fin_commitment_fee_pct/12,0)+IF(AND(G$4=T_ConStart,F_SeniorCommit&gt;0),F_SeniorCommit*in_fin_origination_fee_pct,0)</f>
        <v/>
      </c>
      <c r="H33" s="34">
        <f>IF(AND(H$4&gt;=T_ConStart,H$4&lt;=T_Delivery,F_SeniorCommit&gt;0),MAX(F_SeniorCommit-H29,0)*in_fin_commitment_fee_pct/12,0)+IF(AND(H$4=T_ConStart,F_SeniorCommit&gt;0),F_SeniorCommit*in_fin_origination_fee_pct,0)</f>
        <v/>
      </c>
      <c r="I33" s="34">
        <f>IF(AND(I$4&gt;=T_ConStart,I$4&lt;=T_Delivery,F_SeniorCommit&gt;0),MAX(F_SeniorCommit-I29,0)*in_fin_commitment_fee_pct/12,0)+IF(AND(I$4=T_ConStart,F_SeniorCommit&gt;0),F_SeniorCommit*in_fin_origination_fee_pct,0)</f>
        <v/>
      </c>
      <c r="J33" s="34">
        <f>IF(AND(J$4&gt;=T_ConStart,J$4&lt;=T_Delivery,F_SeniorCommit&gt;0),MAX(F_SeniorCommit-J29,0)*in_fin_commitment_fee_pct/12,0)+IF(AND(J$4=T_ConStart,F_SeniorCommit&gt;0),F_SeniorCommit*in_fin_origination_fee_pct,0)</f>
        <v/>
      </c>
      <c r="K33" s="34">
        <f>IF(AND(K$4&gt;=T_ConStart,K$4&lt;=T_Delivery,F_SeniorCommit&gt;0),MAX(F_SeniorCommit-K29,0)*in_fin_commitment_fee_pct/12,0)+IF(AND(K$4=T_ConStart,F_SeniorCommit&gt;0),F_SeniorCommit*in_fin_origination_fee_pct,0)</f>
        <v/>
      </c>
      <c r="L33" s="34">
        <f>IF(AND(L$4&gt;=T_ConStart,L$4&lt;=T_Delivery,F_SeniorCommit&gt;0),MAX(F_SeniorCommit-L29,0)*in_fin_commitment_fee_pct/12,0)+IF(AND(L$4=T_ConStart,F_SeniorCommit&gt;0),F_SeniorCommit*in_fin_origination_fee_pct,0)</f>
        <v/>
      </c>
      <c r="M33" s="34">
        <f>IF(AND(M$4&gt;=T_ConStart,M$4&lt;=T_Delivery,F_SeniorCommit&gt;0),MAX(F_SeniorCommit-M29,0)*in_fin_commitment_fee_pct/12,0)+IF(AND(M$4=T_ConStart,F_SeniorCommit&gt;0),F_SeniorCommit*in_fin_origination_fee_pct,0)</f>
        <v/>
      </c>
      <c r="N33" s="34">
        <f>IF(AND(N$4&gt;=T_ConStart,N$4&lt;=T_Delivery,F_SeniorCommit&gt;0),MAX(F_SeniorCommit-N29,0)*in_fin_commitment_fee_pct/12,0)+IF(AND(N$4=T_ConStart,F_SeniorCommit&gt;0),F_SeniorCommit*in_fin_origination_fee_pct,0)</f>
        <v/>
      </c>
      <c r="O33" s="34">
        <f>IF(AND(O$4&gt;=T_ConStart,O$4&lt;=T_Delivery,F_SeniorCommit&gt;0),MAX(F_SeniorCommit-O29,0)*in_fin_commitment_fee_pct/12,0)+IF(AND(O$4=T_ConStart,F_SeniorCommit&gt;0),F_SeniorCommit*in_fin_origination_fee_pct,0)</f>
        <v/>
      </c>
      <c r="P33" s="34">
        <f>IF(AND(P$4&gt;=T_ConStart,P$4&lt;=T_Delivery,F_SeniorCommit&gt;0),MAX(F_SeniorCommit-P29,0)*in_fin_commitment_fee_pct/12,0)+IF(AND(P$4=T_ConStart,F_SeniorCommit&gt;0),F_SeniorCommit*in_fin_origination_fee_pct,0)</f>
        <v/>
      </c>
      <c r="Q33" s="34">
        <f>IF(AND(Q$4&gt;=T_ConStart,Q$4&lt;=T_Delivery,F_SeniorCommit&gt;0),MAX(F_SeniorCommit-Q29,0)*in_fin_commitment_fee_pct/12,0)+IF(AND(Q$4=T_ConStart,F_SeniorCommit&gt;0),F_SeniorCommit*in_fin_origination_fee_pct,0)</f>
        <v/>
      </c>
      <c r="R33" s="34">
        <f>IF(AND(R$4&gt;=T_ConStart,R$4&lt;=T_Delivery,F_SeniorCommit&gt;0),MAX(F_SeniorCommit-R29,0)*in_fin_commitment_fee_pct/12,0)+IF(AND(R$4=T_ConStart,F_SeniorCommit&gt;0),F_SeniorCommit*in_fin_origination_fee_pct,0)</f>
        <v/>
      </c>
      <c r="S33" s="34">
        <f>IF(AND(S$4&gt;=T_ConStart,S$4&lt;=T_Delivery,F_SeniorCommit&gt;0),MAX(F_SeniorCommit-S29,0)*in_fin_commitment_fee_pct/12,0)+IF(AND(S$4=T_ConStart,F_SeniorCommit&gt;0),F_SeniorCommit*in_fin_origination_fee_pct,0)</f>
        <v/>
      </c>
      <c r="T33" s="34">
        <f>IF(AND(T$4&gt;=T_ConStart,T$4&lt;=T_Delivery,F_SeniorCommit&gt;0),MAX(F_SeniorCommit-T29,0)*in_fin_commitment_fee_pct/12,0)+IF(AND(T$4=T_ConStart,F_SeniorCommit&gt;0),F_SeniorCommit*in_fin_origination_fee_pct,0)</f>
        <v/>
      </c>
      <c r="U33" s="34">
        <f>IF(AND(U$4&gt;=T_ConStart,U$4&lt;=T_Delivery,F_SeniorCommit&gt;0),MAX(F_SeniorCommit-U29,0)*in_fin_commitment_fee_pct/12,0)+IF(AND(U$4=T_ConStart,F_SeniorCommit&gt;0),F_SeniorCommit*in_fin_origination_fee_pct,0)</f>
        <v/>
      </c>
      <c r="V33" s="34">
        <f>IF(AND(V$4&gt;=T_ConStart,V$4&lt;=T_Delivery,F_SeniorCommit&gt;0),MAX(F_SeniorCommit-V29,0)*in_fin_commitment_fee_pct/12,0)+IF(AND(V$4=T_ConStart,F_SeniorCommit&gt;0),F_SeniorCommit*in_fin_origination_fee_pct,0)</f>
        <v/>
      </c>
      <c r="W33" s="34">
        <f>IF(AND(W$4&gt;=T_ConStart,W$4&lt;=T_Delivery,F_SeniorCommit&gt;0),MAX(F_SeniorCommit-W29,0)*in_fin_commitment_fee_pct/12,0)+IF(AND(W$4=T_ConStart,F_SeniorCommit&gt;0),F_SeniorCommit*in_fin_origination_fee_pct,0)</f>
        <v/>
      </c>
      <c r="X33" s="34">
        <f>IF(AND(X$4&gt;=T_ConStart,X$4&lt;=T_Delivery,F_SeniorCommit&gt;0),MAX(F_SeniorCommit-X29,0)*in_fin_commitment_fee_pct/12,0)+IF(AND(X$4=T_ConStart,F_SeniorCommit&gt;0),F_SeniorCommit*in_fin_origination_fee_pct,0)</f>
        <v/>
      </c>
      <c r="Y33" s="34">
        <f>IF(AND(Y$4&gt;=T_ConStart,Y$4&lt;=T_Delivery,F_SeniorCommit&gt;0),MAX(F_SeniorCommit-Y29,0)*in_fin_commitment_fee_pct/12,0)+IF(AND(Y$4=T_ConStart,F_SeniorCommit&gt;0),F_SeniorCommit*in_fin_origination_fee_pct,0)</f>
        <v/>
      </c>
      <c r="Z33" s="34">
        <f>IF(AND(Z$4&gt;=T_ConStart,Z$4&lt;=T_Delivery,F_SeniorCommit&gt;0),MAX(F_SeniorCommit-Z29,0)*in_fin_commitment_fee_pct/12,0)+IF(AND(Z$4=T_ConStart,F_SeniorCommit&gt;0),F_SeniorCommit*in_fin_origination_fee_pct,0)</f>
        <v/>
      </c>
      <c r="AA33" s="34">
        <f>IF(AND(AA$4&gt;=T_ConStart,AA$4&lt;=T_Delivery,F_SeniorCommit&gt;0),MAX(F_SeniorCommit-AA29,0)*in_fin_commitment_fee_pct/12,0)+IF(AND(AA$4=T_ConStart,F_SeniorCommit&gt;0),F_SeniorCommit*in_fin_origination_fee_pct,0)</f>
        <v/>
      </c>
      <c r="AB33" s="34">
        <f>IF(AND(AB$4&gt;=T_ConStart,AB$4&lt;=T_Delivery,F_SeniorCommit&gt;0),MAX(F_SeniorCommit-AB29,0)*in_fin_commitment_fee_pct/12,0)+IF(AND(AB$4=T_ConStart,F_SeniorCommit&gt;0),F_SeniorCommit*in_fin_origination_fee_pct,0)</f>
        <v/>
      </c>
      <c r="AC33" s="34">
        <f>IF(AND(AC$4&gt;=T_ConStart,AC$4&lt;=T_Delivery,F_SeniorCommit&gt;0),MAX(F_SeniorCommit-AC29,0)*in_fin_commitment_fee_pct/12,0)+IF(AND(AC$4=T_ConStart,F_SeniorCommit&gt;0),F_SeniorCommit*in_fin_origination_fee_pct,0)</f>
        <v/>
      </c>
      <c r="AD33" s="34">
        <f>IF(AND(AD$4&gt;=T_ConStart,AD$4&lt;=T_Delivery,F_SeniorCommit&gt;0),MAX(F_SeniorCommit-AD29,0)*in_fin_commitment_fee_pct/12,0)+IF(AND(AD$4=T_ConStart,F_SeniorCommit&gt;0),F_SeniorCommit*in_fin_origination_fee_pct,0)</f>
        <v/>
      </c>
      <c r="AE33" s="34">
        <f>IF(AND(AE$4&gt;=T_ConStart,AE$4&lt;=T_Delivery,F_SeniorCommit&gt;0),MAX(F_SeniorCommit-AE29,0)*in_fin_commitment_fee_pct/12,0)+IF(AND(AE$4=T_ConStart,F_SeniorCommit&gt;0),F_SeniorCommit*in_fin_origination_fee_pct,0)</f>
        <v/>
      </c>
      <c r="AF33" s="34">
        <f>IF(AND(AF$4&gt;=T_ConStart,AF$4&lt;=T_Delivery,F_SeniorCommit&gt;0),MAX(F_SeniorCommit-AF29,0)*in_fin_commitment_fee_pct/12,0)+IF(AND(AF$4=T_ConStart,F_SeniorCommit&gt;0),F_SeniorCommit*in_fin_origination_fee_pct,0)</f>
        <v/>
      </c>
      <c r="AG33" s="34">
        <f>IF(AND(AG$4&gt;=T_ConStart,AG$4&lt;=T_Delivery,F_SeniorCommit&gt;0),MAX(F_SeniorCommit-AG29,0)*in_fin_commitment_fee_pct/12,0)+IF(AND(AG$4=T_ConStart,F_SeniorCommit&gt;0),F_SeniorCommit*in_fin_origination_fee_pct,0)</f>
        <v/>
      </c>
      <c r="AH33" s="34">
        <f>IF(AND(AH$4&gt;=T_ConStart,AH$4&lt;=T_Delivery,F_SeniorCommit&gt;0),MAX(F_SeniorCommit-AH29,0)*in_fin_commitment_fee_pct/12,0)+IF(AND(AH$4=T_ConStart,F_SeniorCommit&gt;0),F_SeniorCommit*in_fin_origination_fee_pct,0)</f>
        <v/>
      </c>
      <c r="AI33" s="34">
        <f>IF(AND(AI$4&gt;=T_ConStart,AI$4&lt;=T_Delivery,F_SeniorCommit&gt;0),MAX(F_SeniorCommit-AI29,0)*in_fin_commitment_fee_pct/12,0)+IF(AND(AI$4=T_ConStart,F_SeniorCommit&gt;0),F_SeniorCommit*in_fin_origination_fee_pct,0)</f>
        <v/>
      </c>
      <c r="AJ33" s="34">
        <f>IF(AND(AJ$4&gt;=T_ConStart,AJ$4&lt;=T_Delivery,F_SeniorCommit&gt;0),MAX(F_SeniorCommit-AJ29,0)*in_fin_commitment_fee_pct/12,0)+IF(AND(AJ$4=T_ConStart,F_SeniorCommit&gt;0),F_SeniorCommit*in_fin_origination_fee_pct,0)</f>
        <v/>
      </c>
      <c r="AK33" s="34">
        <f>IF(AND(AK$4&gt;=T_ConStart,AK$4&lt;=T_Delivery,F_SeniorCommit&gt;0),MAX(F_SeniorCommit-AK29,0)*in_fin_commitment_fee_pct/12,0)+IF(AND(AK$4=T_ConStart,F_SeniorCommit&gt;0),F_SeniorCommit*in_fin_origination_fee_pct,0)</f>
        <v/>
      </c>
      <c r="AL33" s="34">
        <f>IF(AND(AL$4&gt;=T_ConStart,AL$4&lt;=T_Delivery,F_SeniorCommit&gt;0),MAX(F_SeniorCommit-AL29,0)*in_fin_commitment_fee_pct/12,0)+IF(AND(AL$4=T_ConStart,F_SeniorCommit&gt;0),F_SeniorCommit*in_fin_origination_fee_pct,0)</f>
        <v/>
      </c>
      <c r="AM33" s="34">
        <f>IF(AND(AM$4&gt;=T_ConStart,AM$4&lt;=T_Delivery,F_SeniorCommit&gt;0),MAX(F_SeniorCommit-AM29,0)*in_fin_commitment_fee_pct/12,0)+IF(AND(AM$4=T_ConStart,F_SeniorCommit&gt;0),F_SeniorCommit*in_fin_origination_fee_pct,0)</f>
        <v/>
      </c>
      <c r="AN33" s="34">
        <f>IF(AND(AN$4&gt;=T_ConStart,AN$4&lt;=T_Delivery,F_SeniorCommit&gt;0),MAX(F_SeniorCommit-AN29,0)*in_fin_commitment_fee_pct/12,0)+IF(AND(AN$4=T_ConStart,F_SeniorCommit&gt;0),F_SeniorCommit*in_fin_origination_fee_pct,0)</f>
        <v/>
      </c>
      <c r="AO33" s="34">
        <f>IF(AND(AO$4&gt;=T_ConStart,AO$4&lt;=T_Delivery,F_SeniorCommit&gt;0),MAX(F_SeniorCommit-AO29,0)*in_fin_commitment_fee_pct/12,0)+IF(AND(AO$4=T_ConStart,F_SeniorCommit&gt;0),F_SeniorCommit*in_fin_origination_fee_pct,0)</f>
        <v/>
      </c>
      <c r="AP33" s="34">
        <f>IF(AND(AP$4&gt;=T_ConStart,AP$4&lt;=T_Delivery,F_SeniorCommit&gt;0),MAX(F_SeniorCommit-AP29,0)*in_fin_commitment_fee_pct/12,0)+IF(AND(AP$4=T_ConStart,F_SeniorCommit&gt;0),F_SeniorCommit*in_fin_origination_fee_pct,0)</f>
        <v/>
      </c>
      <c r="AQ33" s="34">
        <f>IF(AND(AQ$4&gt;=T_ConStart,AQ$4&lt;=T_Delivery,F_SeniorCommit&gt;0),MAX(F_SeniorCommit-AQ29,0)*in_fin_commitment_fee_pct/12,0)+IF(AND(AQ$4=T_ConStart,F_SeniorCommit&gt;0),F_SeniorCommit*in_fin_origination_fee_pct,0)</f>
        <v/>
      </c>
      <c r="AR33" s="34">
        <f>IF(AND(AR$4&gt;=T_ConStart,AR$4&lt;=T_Delivery,F_SeniorCommit&gt;0),MAX(F_SeniorCommit-AR29,0)*in_fin_commitment_fee_pct/12,0)+IF(AND(AR$4=T_ConStart,F_SeniorCommit&gt;0),F_SeniorCommit*in_fin_origination_fee_pct,0)</f>
        <v/>
      </c>
      <c r="AS33" s="34">
        <f>IF(AND(AS$4&gt;=T_ConStart,AS$4&lt;=T_Delivery,F_SeniorCommit&gt;0),MAX(F_SeniorCommit-AS29,0)*in_fin_commitment_fee_pct/12,0)+IF(AND(AS$4=T_ConStart,F_SeniorCommit&gt;0),F_SeniorCommit*in_fin_origination_fee_pct,0)</f>
        <v/>
      </c>
      <c r="AT33" s="34">
        <f>IF(AND(AT$4&gt;=T_ConStart,AT$4&lt;=T_Delivery,F_SeniorCommit&gt;0),MAX(F_SeniorCommit-AT29,0)*in_fin_commitment_fee_pct/12,0)+IF(AND(AT$4=T_ConStart,F_SeniorCommit&gt;0),F_SeniorCommit*in_fin_origination_fee_pct,0)</f>
        <v/>
      </c>
      <c r="AU33" s="34">
        <f>IF(AND(AU$4&gt;=T_ConStart,AU$4&lt;=T_Delivery,F_SeniorCommit&gt;0),MAX(F_SeniorCommit-AU29,0)*in_fin_commitment_fee_pct/12,0)+IF(AND(AU$4=T_ConStart,F_SeniorCommit&gt;0),F_SeniorCommit*in_fin_origination_fee_pct,0)</f>
        <v/>
      </c>
      <c r="AV33" s="34">
        <f>IF(AND(AV$4&gt;=T_ConStart,AV$4&lt;=T_Delivery,F_SeniorCommit&gt;0),MAX(F_SeniorCommit-AV29,0)*in_fin_commitment_fee_pct/12,0)+IF(AND(AV$4=T_ConStart,F_SeniorCommit&gt;0),F_SeniorCommit*in_fin_origination_fee_pct,0)</f>
        <v/>
      </c>
      <c r="AW33" s="34">
        <f>IF(AND(AW$4&gt;=T_ConStart,AW$4&lt;=T_Delivery,F_SeniorCommit&gt;0),MAX(F_SeniorCommit-AW29,0)*in_fin_commitment_fee_pct/12,0)+IF(AND(AW$4=T_ConStart,F_SeniorCommit&gt;0),F_SeniorCommit*in_fin_origination_fee_pct,0)</f>
        <v/>
      </c>
      <c r="AX33" s="34">
        <f>IF(AND(AX$4&gt;=T_ConStart,AX$4&lt;=T_Delivery,F_SeniorCommit&gt;0),MAX(F_SeniorCommit-AX29,0)*in_fin_commitment_fee_pct/12,0)+IF(AND(AX$4=T_ConStart,F_SeniorCommit&gt;0),F_SeniorCommit*in_fin_origination_fee_pct,0)</f>
        <v/>
      </c>
      <c r="AY33" s="34">
        <f>IF(AND(AY$4&gt;=T_ConStart,AY$4&lt;=T_Delivery,F_SeniorCommit&gt;0),MAX(F_SeniorCommit-AY29,0)*in_fin_commitment_fee_pct/12,0)+IF(AND(AY$4=T_ConStart,F_SeniorCommit&gt;0),F_SeniorCommit*in_fin_origination_fee_pct,0)</f>
        <v/>
      </c>
      <c r="AZ33" s="34">
        <f>IF(AND(AZ$4&gt;=T_ConStart,AZ$4&lt;=T_Delivery,F_SeniorCommit&gt;0),MAX(F_SeniorCommit-AZ29,0)*in_fin_commitment_fee_pct/12,0)+IF(AND(AZ$4=T_ConStart,F_SeniorCommit&gt;0),F_SeniorCommit*in_fin_origination_fee_pct,0)</f>
        <v/>
      </c>
      <c r="BA33" s="34">
        <f>IF(AND(BA$4&gt;=T_ConStart,BA$4&lt;=T_Delivery,F_SeniorCommit&gt;0),MAX(F_SeniorCommit-BA29,0)*in_fin_commitment_fee_pct/12,0)+IF(AND(BA$4=T_ConStart,F_SeniorCommit&gt;0),F_SeniorCommit*in_fin_origination_fee_pct,0)</f>
        <v/>
      </c>
      <c r="BB33" s="34">
        <f>IF(AND(BB$4&gt;=T_ConStart,BB$4&lt;=T_Delivery,F_SeniorCommit&gt;0),MAX(F_SeniorCommit-BB29,0)*in_fin_commitment_fee_pct/12,0)+IF(AND(BB$4=T_ConStart,F_SeniorCommit&gt;0),F_SeniorCommit*in_fin_origination_fee_pct,0)</f>
        <v/>
      </c>
      <c r="BC33" s="34">
        <f>IF(AND(BC$4&gt;=T_ConStart,BC$4&lt;=T_Delivery,F_SeniorCommit&gt;0),MAX(F_SeniorCommit-BC29,0)*in_fin_commitment_fee_pct/12,0)+IF(AND(BC$4=T_ConStart,F_SeniorCommit&gt;0),F_SeniorCommit*in_fin_origination_fee_pct,0)</f>
        <v/>
      </c>
      <c r="BD33" s="34">
        <f>IF(AND(BD$4&gt;=T_ConStart,BD$4&lt;=T_Delivery,F_SeniorCommit&gt;0),MAX(F_SeniorCommit-BD29,0)*in_fin_commitment_fee_pct/12,0)+IF(AND(BD$4=T_ConStart,F_SeniorCommit&gt;0),F_SeniorCommit*in_fin_origination_fee_pct,0)</f>
        <v/>
      </c>
      <c r="BE33" s="34">
        <f>IF(AND(BE$4&gt;=T_ConStart,BE$4&lt;=T_Delivery,F_SeniorCommit&gt;0),MAX(F_SeniorCommit-BE29,0)*in_fin_commitment_fee_pct/12,0)+IF(AND(BE$4=T_ConStart,F_SeniorCommit&gt;0),F_SeniorCommit*in_fin_origination_fee_pct,0)</f>
        <v/>
      </c>
      <c r="BF33" s="34">
        <f>IF(AND(BF$4&gt;=T_ConStart,BF$4&lt;=T_Delivery,F_SeniorCommit&gt;0),MAX(F_SeniorCommit-BF29,0)*in_fin_commitment_fee_pct/12,0)+IF(AND(BF$4=T_ConStart,F_SeniorCommit&gt;0),F_SeniorCommit*in_fin_origination_fee_pct,0)</f>
        <v/>
      </c>
      <c r="BG33" s="34">
        <f>IF(AND(BG$4&gt;=T_ConStart,BG$4&lt;=T_Delivery,F_SeniorCommit&gt;0),MAX(F_SeniorCommit-BG29,0)*in_fin_commitment_fee_pct/12,0)+IF(AND(BG$4=T_ConStart,F_SeniorCommit&gt;0),F_SeniorCommit*in_fin_origination_fee_pct,0)</f>
        <v/>
      </c>
      <c r="BH33" s="34">
        <f>IF(AND(BH$4&gt;=T_ConStart,BH$4&lt;=T_Delivery,F_SeniorCommit&gt;0),MAX(F_SeniorCommit-BH29,0)*in_fin_commitment_fee_pct/12,0)+IF(AND(BH$4=T_ConStart,F_SeniorCommit&gt;0),F_SeniorCommit*in_fin_origination_fee_pct,0)</f>
        <v/>
      </c>
      <c r="BI33" s="34">
        <f>IF(AND(BI$4&gt;=T_ConStart,BI$4&lt;=T_Delivery,F_SeniorCommit&gt;0),MAX(F_SeniorCommit-BI29,0)*in_fin_commitment_fee_pct/12,0)+IF(AND(BI$4=T_ConStart,F_SeniorCommit&gt;0),F_SeniorCommit*in_fin_origination_fee_pct,0)</f>
        <v/>
      </c>
      <c r="BJ33" s="34">
        <f>IF(AND(BJ$4&gt;=T_ConStart,BJ$4&lt;=T_Delivery,F_SeniorCommit&gt;0),MAX(F_SeniorCommit-BJ29,0)*in_fin_commitment_fee_pct/12,0)+IF(AND(BJ$4=T_ConStart,F_SeniorCommit&gt;0),F_SeniorCommit*in_fin_origination_fee_pct,0)</f>
        <v/>
      </c>
      <c r="BK33" s="34">
        <f>IF(AND(BK$4&gt;=T_ConStart,BK$4&lt;=T_Delivery,F_SeniorCommit&gt;0),MAX(F_SeniorCommit-BK29,0)*in_fin_commitment_fee_pct/12,0)+IF(AND(BK$4=T_ConStart,F_SeniorCommit&gt;0),F_SeniorCommit*in_fin_origination_fee_pct,0)</f>
        <v/>
      </c>
      <c r="BL33" s="34">
        <f>IF(AND(BL$4&gt;=T_ConStart,BL$4&lt;=T_Delivery,F_SeniorCommit&gt;0),MAX(F_SeniorCommit-BL29,0)*in_fin_commitment_fee_pct/12,0)+IF(AND(BL$4=T_ConStart,F_SeniorCommit&gt;0),F_SeniorCommit*in_fin_origination_fee_pct,0)</f>
        <v/>
      </c>
      <c r="BM33" s="34">
        <f>IF(AND(BM$4&gt;=T_ConStart,BM$4&lt;=T_Delivery,F_SeniorCommit&gt;0),MAX(F_SeniorCommit-BM29,0)*in_fin_commitment_fee_pct/12,0)+IF(AND(BM$4=T_ConStart,F_SeniorCommit&gt;0),F_SeniorCommit*in_fin_origination_fee_pct,0)</f>
        <v/>
      </c>
      <c r="BN33" s="34">
        <f>IF(AND(BN$4&gt;=T_ConStart,BN$4&lt;=T_Delivery,F_SeniorCommit&gt;0),MAX(F_SeniorCommit-BN29,0)*in_fin_commitment_fee_pct/12,0)+IF(AND(BN$4=T_ConStart,F_SeniorCommit&gt;0),F_SeniorCommit*in_fin_origination_fee_pct,0)</f>
        <v/>
      </c>
      <c r="BO33" s="34">
        <f>IF(AND(BO$4&gt;=T_ConStart,BO$4&lt;=T_Delivery,F_SeniorCommit&gt;0),MAX(F_SeniorCommit-BO29,0)*in_fin_commitment_fee_pct/12,0)+IF(AND(BO$4=T_ConStart,F_SeniorCommit&gt;0),F_SeniorCommit*in_fin_origination_fee_pct,0)</f>
        <v/>
      </c>
      <c r="BP33" s="34">
        <f>IF(AND(BP$4&gt;=T_ConStart,BP$4&lt;=T_Delivery,F_SeniorCommit&gt;0),MAX(F_SeniorCommit-BP29,0)*in_fin_commitment_fee_pct/12,0)+IF(AND(BP$4=T_ConStart,F_SeniorCommit&gt;0),F_SeniorCommit*in_fin_origination_fee_pct,0)</f>
        <v/>
      </c>
      <c r="BQ33" s="34">
        <f>IF(AND(BQ$4&gt;=T_ConStart,BQ$4&lt;=T_Delivery,F_SeniorCommit&gt;0),MAX(F_SeniorCommit-BQ29,0)*in_fin_commitment_fee_pct/12,0)+IF(AND(BQ$4=T_ConStart,F_SeniorCommit&gt;0),F_SeniorCommit*in_fin_origination_fee_pct,0)</f>
        <v/>
      </c>
      <c r="BR33" s="34">
        <f>IF(AND(BR$4&gt;=T_ConStart,BR$4&lt;=T_Delivery,F_SeniorCommit&gt;0),MAX(F_SeniorCommit-BR29,0)*in_fin_commitment_fee_pct/12,0)+IF(AND(BR$4=T_ConStart,F_SeniorCommit&gt;0),F_SeniorCommit*in_fin_origination_fee_pct,0)</f>
        <v/>
      </c>
      <c r="BS33" s="34">
        <f>IF(AND(BS$4&gt;=T_ConStart,BS$4&lt;=T_Delivery,F_SeniorCommit&gt;0),MAX(F_SeniorCommit-BS29,0)*in_fin_commitment_fee_pct/12,0)+IF(AND(BS$4=T_ConStart,F_SeniorCommit&gt;0),F_SeniorCommit*in_fin_origination_fee_pct,0)</f>
        <v/>
      </c>
      <c r="BT33" s="34">
        <f>IF(AND(BT$4&gt;=T_ConStart,BT$4&lt;=T_Delivery,F_SeniorCommit&gt;0),MAX(F_SeniorCommit-BT29,0)*in_fin_commitment_fee_pct/12,0)+IF(AND(BT$4=T_ConStart,F_SeniorCommit&gt;0),F_SeniorCommit*in_fin_origination_fee_pct,0)</f>
        <v/>
      </c>
      <c r="BU33" s="34">
        <f>IF(AND(BU$4&gt;=T_ConStart,BU$4&lt;=T_Delivery,F_SeniorCommit&gt;0),MAX(F_SeniorCommit-BU29,0)*in_fin_commitment_fee_pct/12,0)+IF(AND(BU$4=T_ConStart,F_SeniorCommit&gt;0),F_SeniorCommit*in_fin_origination_fee_pct,0)</f>
        <v/>
      </c>
      <c r="BV33" s="34">
        <f>IF(AND(BV$4&gt;=T_ConStart,BV$4&lt;=T_Delivery,F_SeniorCommit&gt;0),MAX(F_SeniorCommit-BV29,0)*in_fin_commitment_fee_pct/12,0)+IF(AND(BV$4=T_ConStart,F_SeniorCommit&gt;0),F_SeniorCommit*in_fin_origination_fee_pct,0)</f>
        <v/>
      </c>
      <c r="BW33" s="34">
        <f>IF(AND(BW$4&gt;=T_ConStart,BW$4&lt;=T_Delivery,F_SeniorCommit&gt;0),MAX(F_SeniorCommit-BW29,0)*in_fin_commitment_fee_pct/12,0)+IF(AND(BW$4=T_ConStart,F_SeniorCommit&gt;0),F_SeniorCommit*in_fin_origination_fee_pct,0)</f>
        <v/>
      </c>
      <c r="BX33" s="34">
        <f>IF(AND(BX$4&gt;=T_ConStart,BX$4&lt;=T_Delivery,F_SeniorCommit&gt;0),MAX(F_SeniorCommit-BX29,0)*in_fin_commitment_fee_pct/12,0)+IF(AND(BX$4=T_ConStart,F_SeniorCommit&gt;0),F_SeniorCommit*in_fin_origination_fee_pct,0)</f>
        <v/>
      </c>
      <c r="BY33" s="34">
        <f>IF(AND(BY$4&gt;=T_ConStart,BY$4&lt;=T_Delivery,F_SeniorCommit&gt;0),MAX(F_SeniorCommit-BY29,0)*in_fin_commitment_fee_pct/12,0)+IF(AND(BY$4=T_ConStart,F_SeniorCommit&gt;0),F_SeniorCommit*in_fin_origination_fee_pct,0)</f>
        <v/>
      </c>
      <c r="BZ33" s="34">
        <f>IF(AND(BZ$4&gt;=T_ConStart,BZ$4&lt;=T_Delivery,F_SeniorCommit&gt;0),MAX(F_SeniorCommit-BZ29,0)*in_fin_commitment_fee_pct/12,0)+IF(AND(BZ$4=T_ConStart,F_SeniorCommit&gt;0),F_SeniorCommit*in_fin_origination_fee_pct,0)</f>
        <v/>
      </c>
      <c r="CA33" s="34">
        <f>IF(AND(CA$4&gt;=T_ConStart,CA$4&lt;=T_Delivery,F_SeniorCommit&gt;0),MAX(F_SeniorCommit-CA29,0)*in_fin_commitment_fee_pct/12,0)+IF(AND(CA$4=T_ConStart,F_SeniorCommit&gt;0),F_SeniorCommit*in_fin_origination_fee_pct,0)</f>
        <v/>
      </c>
      <c r="CB33" s="34">
        <f>IF(AND(CB$4&gt;=T_ConStart,CB$4&lt;=T_Delivery,F_SeniorCommit&gt;0),MAX(F_SeniorCommit-CB29,0)*in_fin_commitment_fee_pct/12,0)+IF(AND(CB$4=T_ConStart,F_SeniorCommit&gt;0),F_SeniorCommit*in_fin_origination_fee_pct,0)</f>
        <v/>
      </c>
      <c r="CC33" s="34">
        <f>IF(AND(CC$4&gt;=T_ConStart,CC$4&lt;=T_Delivery,F_SeniorCommit&gt;0),MAX(F_SeniorCommit-CC29,0)*in_fin_commitment_fee_pct/12,0)+IF(AND(CC$4=T_ConStart,F_SeniorCommit&gt;0),F_SeniorCommit*in_fin_origination_fee_pct,0)</f>
        <v/>
      </c>
      <c r="CD33" s="34">
        <f>IF(AND(CD$4&gt;=T_ConStart,CD$4&lt;=T_Delivery,F_SeniorCommit&gt;0),MAX(F_SeniorCommit-CD29,0)*in_fin_commitment_fee_pct/12,0)+IF(AND(CD$4=T_ConStart,F_SeniorCommit&gt;0),F_SeniorCommit*in_fin_origination_fee_pct,0)</f>
        <v/>
      </c>
      <c r="CE33" s="34">
        <f>IF(AND(CE$4&gt;=T_ConStart,CE$4&lt;=T_Delivery,F_SeniorCommit&gt;0),MAX(F_SeniorCommit-CE29,0)*in_fin_commitment_fee_pct/12,0)+IF(AND(CE$4=T_ConStart,F_SeniorCommit&gt;0),F_SeniorCommit*in_fin_origination_fee_pct,0)</f>
        <v/>
      </c>
      <c r="CF33" s="34">
        <f>IF(AND(CF$4&gt;=T_ConStart,CF$4&lt;=T_Delivery,F_SeniorCommit&gt;0),MAX(F_SeniorCommit-CF29,0)*in_fin_commitment_fee_pct/12,0)+IF(AND(CF$4=T_ConStart,F_SeniorCommit&gt;0),F_SeniorCommit*in_fin_origination_fee_pct,0)</f>
        <v/>
      </c>
      <c r="CG33" s="34">
        <f>IF(AND(CG$4&gt;=T_ConStart,CG$4&lt;=T_Delivery,F_SeniorCommit&gt;0),MAX(F_SeniorCommit-CG29,0)*in_fin_commitment_fee_pct/12,0)+IF(AND(CG$4=T_ConStart,F_SeniorCommit&gt;0),F_SeniorCommit*in_fin_origination_fee_pct,0)</f>
        <v/>
      </c>
      <c r="CH33" s="34">
        <f>IF(AND(CH$4&gt;=T_ConStart,CH$4&lt;=T_Delivery,F_SeniorCommit&gt;0),MAX(F_SeniorCommit-CH29,0)*in_fin_commitment_fee_pct/12,0)+IF(AND(CH$4=T_ConStart,F_SeniorCommit&gt;0),F_SeniorCommit*in_fin_origination_fee_pct,0)</f>
        <v/>
      </c>
      <c r="CI33" s="34">
        <f>IF(AND(CI$4&gt;=T_ConStart,CI$4&lt;=T_Delivery,F_SeniorCommit&gt;0),MAX(F_SeniorCommit-CI29,0)*in_fin_commitment_fee_pct/12,0)+IF(AND(CI$4=T_ConStart,F_SeniorCommit&gt;0),F_SeniorCommit*in_fin_origination_fee_pct,0)</f>
        <v/>
      </c>
      <c r="CJ33" s="34">
        <f>IF(AND(CJ$4&gt;=T_ConStart,CJ$4&lt;=T_Delivery,F_SeniorCommit&gt;0),MAX(F_SeniorCommit-CJ29,0)*in_fin_commitment_fee_pct/12,0)+IF(AND(CJ$4=T_ConStart,F_SeniorCommit&gt;0),F_SeniorCommit*in_fin_origination_fee_pct,0)</f>
        <v/>
      </c>
      <c r="CK33" s="34">
        <f>IF(AND(CK$4&gt;=T_ConStart,CK$4&lt;=T_Delivery,F_SeniorCommit&gt;0),MAX(F_SeniorCommit-CK29,0)*in_fin_commitment_fee_pct/12,0)+IF(AND(CK$4=T_ConStart,F_SeniorCommit&gt;0),F_SeniorCommit*in_fin_origination_fee_pct,0)</f>
        <v/>
      </c>
      <c r="CL33" s="34">
        <f>IF(AND(CL$4&gt;=T_ConStart,CL$4&lt;=T_Delivery,F_SeniorCommit&gt;0),MAX(F_SeniorCommit-CL29,0)*in_fin_commitment_fee_pct/12,0)+IF(AND(CL$4=T_ConStart,F_SeniorCommit&gt;0),F_SeniorCommit*in_fin_origination_fee_pct,0)</f>
        <v/>
      </c>
      <c r="CM33" s="34">
        <f>IF(AND(CM$4&gt;=T_ConStart,CM$4&lt;=T_Delivery,F_SeniorCommit&gt;0),MAX(F_SeniorCommit-CM29,0)*in_fin_commitment_fee_pct/12,0)+IF(AND(CM$4=T_ConStart,F_SeniorCommit&gt;0),F_SeniorCommit*in_fin_origination_fee_pct,0)</f>
        <v/>
      </c>
      <c r="CN33" s="34">
        <f>IF(AND(CN$4&gt;=T_ConStart,CN$4&lt;=T_Delivery,F_SeniorCommit&gt;0),MAX(F_SeniorCommit-CN29,0)*in_fin_commitment_fee_pct/12,0)+IF(AND(CN$4=T_ConStart,F_SeniorCommit&gt;0),F_SeniorCommit*in_fin_origination_fee_pct,0)</f>
        <v/>
      </c>
      <c r="CO33" s="34">
        <f>IF(AND(CO$4&gt;=T_ConStart,CO$4&lt;=T_Delivery,F_SeniorCommit&gt;0),MAX(F_SeniorCommit-CO29,0)*in_fin_commitment_fee_pct/12,0)+IF(AND(CO$4=T_ConStart,F_SeniorCommit&gt;0),F_SeniorCommit*in_fin_origination_fee_pct,0)</f>
        <v/>
      </c>
      <c r="CP33" s="34">
        <f>IF(AND(CP$4&gt;=T_ConStart,CP$4&lt;=T_Delivery,F_SeniorCommit&gt;0),MAX(F_SeniorCommit-CP29,0)*in_fin_commitment_fee_pct/12,0)+IF(AND(CP$4=T_ConStart,F_SeniorCommit&gt;0),F_SeniorCommit*in_fin_origination_fee_pct,0)</f>
        <v/>
      </c>
      <c r="CQ33" s="34">
        <f>IF(AND(CQ$4&gt;=T_ConStart,CQ$4&lt;=T_Delivery,F_SeniorCommit&gt;0),MAX(F_SeniorCommit-CQ29,0)*in_fin_commitment_fee_pct/12,0)+IF(AND(CQ$4=T_ConStart,F_SeniorCommit&gt;0),F_SeniorCommit*in_fin_origination_fee_pct,0)</f>
        <v/>
      </c>
      <c r="CR33" s="34">
        <f>IF(AND(CR$4&gt;=T_ConStart,CR$4&lt;=T_Delivery,F_SeniorCommit&gt;0),MAX(F_SeniorCommit-CR29,0)*in_fin_commitment_fee_pct/12,0)+IF(AND(CR$4=T_ConStart,F_SeniorCommit&gt;0),F_SeniorCommit*in_fin_origination_fee_pct,0)</f>
        <v/>
      </c>
      <c r="CS33" s="34">
        <f>IF(AND(CS$4&gt;=T_ConStart,CS$4&lt;=T_Delivery,F_SeniorCommit&gt;0),MAX(F_SeniorCommit-CS29,0)*in_fin_commitment_fee_pct/12,0)+IF(AND(CS$4=T_ConStart,F_SeniorCommit&gt;0),F_SeniorCommit*in_fin_origination_fee_pct,0)</f>
        <v/>
      </c>
      <c r="CT33" s="34">
        <f>IF(AND(CT$4&gt;=T_ConStart,CT$4&lt;=T_Delivery,F_SeniorCommit&gt;0),MAX(F_SeniorCommit-CT29,0)*in_fin_commitment_fee_pct/12,0)+IF(AND(CT$4=T_ConStart,F_SeniorCommit&gt;0),F_SeniorCommit*in_fin_origination_fee_pct,0)</f>
        <v/>
      </c>
      <c r="CU33" s="34">
        <f>IF(AND(CU$4&gt;=T_ConStart,CU$4&lt;=T_Delivery,F_SeniorCommit&gt;0),MAX(F_SeniorCommit-CU29,0)*in_fin_commitment_fee_pct/12,0)+IF(AND(CU$4=T_ConStart,F_SeniorCommit&gt;0),F_SeniorCommit*in_fin_origination_fee_pct,0)</f>
        <v/>
      </c>
    </row>
    <row r="34">
      <c r="A34" s="7" t="inlineStr">
        <is>
          <t>Senior interest capitalized</t>
        </is>
      </c>
      <c r="B34" s="21">
        <f>SUM(D34:CU34)</f>
        <v/>
      </c>
      <c r="C34" s="11" t="inlineStr"/>
      <c r="D34" s="34">
        <f>IF(AND(D$4&lt;=T_Delivery,in_fin_interest_capitalized),MIN(D30,MAX(F_SeniorCommit-D29,0)),0)</f>
        <v/>
      </c>
      <c r="E34" s="34">
        <f>IF(AND(E$4&lt;=T_Delivery,in_fin_interest_capitalized),MIN(E30,MAX(F_SeniorCommit-E29,0)),0)</f>
        <v/>
      </c>
      <c r="F34" s="34">
        <f>IF(AND(F$4&lt;=T_Delivery,in_fin_interest_capitalized),MIN(F30,MAX(F_SeniorCommit-F29,0)),0)</f>
        <v/>
      </c>
      <c r="G34" s="34">
        <f>IF(AND(G$4&lt;=T_Delivery,in_fin_interest_capitalized),MIN(G30,MAX(F_SeniorCommit-G29,0)),0)</f>
        <v/>
      </c>
      <c r="H34" s="34">
        <f>IF(AND(H$4&lt;=T_Delivery,in_fin_interest_capitalized),MIN(H30,MAX(F_SeniorCommit-H29,0)),0)</f>
        <v/>
      </c>
      <c r="I34" s="34">
        <f>IF(AND(I$4&lt;=T_Delivery,in_fin_interest_capitalized),MIN(I30,MAX(F_SeniorCommit-I29,0)),0)</f>
        <v/>
      </c>
      <c r="J34" s="34">
        <f>IF(AND(J$4&lt;=T_Delivery,in_fin_interest_capitalized),MIN(J30,MAX(F_SeniorCommit-J29,0)),0)</f>
        <v/>
      </c>
      <c r="K34" s="34">
        <f>IF(AND(K$4&lt;=T_Delivery,in_fin_interest_capitalized),MIN(K30,MAX(F_SeniorCommit-K29,0)),0)</f>
        <v/>
      </c>
      <c r="L34" s="34">
        <f>IF(AND(L$4&lt;=T_Delivery,in_fin_interest_capitalized),MIN(L30,MAX(F_SeniorCommit-L29,0)),0)</f>
        <v/>
      </c>
      <c r="M34" s="34">
        <f>IF(AND(M$4&lt;=T_Delivery,in_fin_interest_capitalized),MIN(M30,MAX(F_SeniorCommit-M29,0)),0)</f>
        <v/>
      </c>
      <c r="N34" s="34">
        <f>IF(AND(N$4&lt;=T_Delivery,in_fin_interest_capitalized),MIN(N30,MAX(F_SeniorCommit-N29,0)),0)</f>
        <v/>
      </c>
      <c r="O34" s="34">
        <f>IF(AND(O$4&lt;=T_Delivery,in_fin_interest_capitalized),MIN(O30,MAX(F_SeniorCommit-O29,0)),0)</f>
        <v/>
      </c>
      <c r="P34" s="34">
        <f>IF(AND(P$4&lt;=T_Delivery,in_fin_interest_capitalized),MIN(P30,MAX(F_SeniorCommit-P29,0)),0)</f>
        <v/>
      </c>
      <c r="Q34" s="34">
        <f>IF(AND(Q$4&lt;=T_Delivery,in_fin_interest_capitalized),MIN(Q30,MAX(F_SeniorCommit-Q29,0)),0)</f>
        <v/>
      </c>
      <c r="R34" s="34">
        <f>IF(AND(R$4&lt;=T_Delivery,in_fin_interest_capitalized),MIN(R30,MAX(F_SeniorCommit-R29,0)),0)</f>
        <v/>
      </c>
      <c r="S34" s="34">
        <f>IF(AND(S$4&lt;=T_Delivery,in_fin_interest_capitalized),MIN(S30,MAX(F_SeniorCommit-S29,0)),0)</f>
        <v/>
      </c>
      <c r="T34" s="34">
        <f>IF(AND(T$4&lt;=T_Delivery,in_fin_interest_capitalized),MIN(T30,MAX(F_SeniorCommit-T29,0)),0)</f>
        <v/>
      </c>
      <c r="U34" s="34">
        <f>IF(AND(U$4&lt;=T_Delivery,in_fin_interest_capitalized),MIN(U30,MAX(F_SeniorCommit-U29,0)),0)</f>
        <v/>
      </c>
      <c r="V34" s="34">
        <f>IF(AND(V$4&lt;=T_Delivery,in_fin_interest_capitalized),MIN(V30,MAX(F_SeniorCommit-V29,0)),0)</f>
        <v/>
      </c>
      <c r="W34" s="34">
        <f>IF(AND(W$4&lt;=T_Delivery,in_fin_interest_capitalized),MIN(W30,MAX(F_SeniorCommit-W29,0)),0)</f>
        <v/>
      </c>
      <c r="X34" s="34">
        <f>IF(AND(X$4&lt;=T_Delivery,in_fin_interest_capitalized),MIN(X30,MAX(F_SeniorCommit-X29,0)),0)</f>
        <v/>
      </c>
      <c r="Y34" s="34">
        <f>IF(AND(Y$4&lt;=T_Delivery,in_fin_interest_capitalized),MIN(Y30,MAX(F_SeniorCommit-Y29,0)),0)</f>
        <v/>
      </c>
      <c r="Z34" s="34">
        <f>IF(AND(Z$4&lt;=T_Delivery,in_fin_interest_capitalized),MIN(Z30,MAX(F_SeniorCommit-Z29,0)),0)</f>
        <v/>
      </c>
      <c r="AA34" s="34">
        <f>IF(AND(AA$4&lt;=T_Delivery,in_fin_interest_capitalized),MIN(AA30,MAX(F_SeniorCommit-AA29,0)),0)</f>
        <v/>
      </c>
      <c r="AB34" s="34">
        <f>IF(AND(AB$4&lt;=T_Delivery,in_fin_interest_capitalized),MIN(AB30,MAX(F_SeniorCommit-AB29,0)),0)</f>
        <v/>
      </c>
      <c r="AC34" s="34">
        <f>IF(AND(AC$4&lt;=T_Delivery,in_fin_interest_capitalized),MIN(AC30,MAX(F_SeniorCommit-AC29,0)),0)</f>
        <v/>
      </c>
      <c r="AD34" s="34">
        <f>IF(AND(AD$4&lt;=T_Delivery,in_fin_interest_capitalized),MIN(AD30,MAX(F_SeniorCommit-AD29,0)),0)</f>
        <v/>
      </c>
      <c r="AE34" s="34">
        <f>IF(AND(AE$4&lt;=T_Delivery,in_fin_interest_capitalized),MIN(AE30,MAX(F_SeniorCommit-AE29,0)),0)</f>
        <v/>
      </c>
      <c r="AF34" s="34">
        <f>IF(AND(AF$4&lt;=T_Delivery,in_fin_interest_capitalized),MIN(AF30,MAX(F_SeniorCommit-AF29,0)),0)</f>
        <v/>
      </c>
      <c r="AG34" s="34">
        <f>IF(AND(AG$4&lt;=T_Delivery,in_fin_interest_capitalized),MIN(AG30,MAX(F_SeniorCommit-AG29,0)),0)</f>
        <v/>
      </c>
      <c r="AH34" s="34">
        <f>IF(AND(AH$4&lt;=T_Delivery,in_fin_interest_capitalized),MIN(AH30,MAX(F_SeniorCommit-AH29,0)),0)</f>
        <v/>
      </c>
      <c r="AI34" s="34">
        <f>IF(AND(AI$4&lt;=T_Delivery,in_fin_interest_capitalized),MIN(AI30,MAX(F_SeniorCommit-AI29,0)),0)</f>
        <v/>
      </c>
      <c r="AJ34" s="34">
        <f>IF(AND(AJ$4&lt;=T_Delivery,in_fin_interest_capitalized),MIN(AJ30,MAX(F_SeniorCommit-AJ29,0)),0)</f>
        <v/>
      </c>
      <c r="AK34" s="34">
        <f>IF(AND(AK$4&lt;=T_Delivery,in_fin_interest_capitalized),MIN(AK30,MAX(F_SeniorCommit-AK29,0)),0)</f>
        <v/>
      </c>
      <c r="AL34" s="34">
        <f>IF(AND(AL$4&lt;=T_Delivery,in_fin_interest_capitalized),MIN(AL30,MAX(F_SeniorCommit-AL29,0)),0)</f>
        <v/>
      </c>
      <c r="AM34" s="34">
        <f>IF(AND(AM$4&lt;=T_Delivery,in_fin_interest_capitalized),MIN(AM30,MAX(F_SeniorCommit-AM29,0)),0)</f>
        <v/>
      </c>
      <c r="AN34" s="34">
        <f>IF(AND(AN$4&lt;=T_Delivery,in_fin_interest_capitalized),MIN(AN30,MAX(F_SeniorCommit-AN29,0)),0)</f>
        <v/>
      </c>
      <c r="AO34" s="34">
        <f>IF(AND(AO$4&lt;=T_Delivery,in_fin_interest_capitalized),MIN(AO30,MAX(F_SeniorCommit-AO29,0)),0)</f>
        <v/>
      </c>
      <c r="AP34" s="34">
        <f>IF(AND(AP$4&lt;=T_Delivery,in_fin_interest_capitalized),MIN(AP30,MAX(F_SeniorCommit-AP29,0)),0)</f>
        <v/>
      </c>
      <c r="AQ34" s="34">
        <f>IF(AND(AQ$4&lt;=T_Delivery,in_fin_interest_capitalized),MIN(AQ30,MAX(F_SeniorCommit-AQ29,0)),0)</f>
        <v/>
      </c>
      <c r="AR34" s="34">
        <f>IF(AND(AR$4&lt;=T_Delivery,in_fin_interest_capitalized),MIN(AR30,MAX(F_SeniorCommit-AR29,0)),0)</f>
        <v/>
      </c>
      <c r="AS34" s="34">
        <f>IF(AND(AS$4&lt;=T_Delivery,in_fin_interest_capitalized),MIN(AS30,MAX(F_SeniorCommit-AS29,0)),0)</f>
        <v/>
      </c>
      <c r="AT34" s="34">
        <f>IF(AND(AT$4&lt;=T_Delivery,in_fin_interest_capitalized),MIN(AT30,MAX(F_SeniorCommit-AT29,0)),0)</f>
        <v/>
      </c>
      <c r="AU34" s="34">
        <f>IF(AND(AU$4&lt;=T_Delivery,in_fin_interest_capitalized),MIN(AU30,MAX(F_SeniorCommit-AU29,0)),0)</f>
        <v/>
      </c>
      <c r="AV34" s="34">
        <f>IF(AND(AV$4&lt;=T_Delivery,in_fin_interest_capitalized),MIN(AV30,MAX(F_SeniorCommit-AV29,0)),0)</f>
        <v/>
      </c>
      <c r="AW34" s="34">
        <f>IF(AND(AW$4&lt;=T_Delivery,in_fin_interest_capitalized),MIN(AW30,MAX(F_SeniorCommit-AW29,0)),0)</f>
        <v/>
      </c>
      <c r="AX34" s="34">
        <f>IF(AND(AX$4&lt;=T_Delivery,in_fin_interest_capitalized),MIN(AX30,MAX(F_SeniorCommit-AX29,0)),0)</f>
        <v/>
      </c>
      <c r="AY34" s="34">
        <f>IF(AND(AY$4&lt;=T_Delivery,in_fin_interest_capitalized),MIN(AY30,MAX(F_SeniorCommit-AY29,0)),0)</f>
        <v/>
      </c>
      <c r="AZ34" s="34">
        <f>IF(AND(AZ$4&lt;=T_Delivery,in_fin_interest_capitalized),MIN(AZ30,MAX(F_SeniorCommit-AZ29,0)),0)</f>
        <v/>
      </c>
      <c r="BA34" s="34">
        <f>IF(AND(BA$4&lt;=T_Delivery,in_fin_interest_capitalized),MIN(BA30,MAX(F_SeniorCommit-BA29,0)),0)</f>
        <v/>
      </c>
      <c r="BB34" s="34">
        <f>IF(AND(BB$4&lt;=T_Delivery,in_fin_interest_capitalized),MIN(BB30,MAX(F_SeniorCommit-BB29,0)),0)</f>
        <v/>
      </c>
      <c r="BC34" s="34">
        <f>IF(AND(BC$4&lt;=T_Delivery,in_fin_interest_capitalized),MIN(BC30,MAX(F_SeniorCommit-BC29,0)),0)</f>
        <v/>
      </c>
      <c r="BD34" s="34">
        <f>IF(AND(BD$4&lt;=T_Delivery,in_fin_interest_capitalized),MIN(BD30,MAX(F_SeniorCommit-BD29,0)),0)</f>
        <v/>
      </c>
      <c r="BE34" s="34">
        <f>IF(AND(BE$4&lt;=T_Delivery,in_fin_interest_capitalized),MIN(BE30,MAX(F_SeniorCommit-BE29,0)),0)</f>
        <v/>
      </c>
      <c r="BF34" s="34">
        <f>IF(AND(BF$4&lt;=T_Delivery,in_fin_interest_capitalized),MIN(BF30,MAX(F_SeniorCommit-BF29,0)),0)</f>
        <v/>
      </c>
      <c r="BG34" s="34">
        <f>IF(AND(BG$4&lt;=T_Delivery,in_fin_interest_capitalized),MIN(BG30,MAX(F_SeniorCommit-BG29,0)),0)</f>
        <v/>
      </c>
      <c r="BH34" s="34">
        <f>IF(AND(BH$4&lt;=T_Delivery,in_fin_interest_capitalized),MIN(BH30,MAX(F_SeniorCommit-BH29,0)),0)</f>
        <v/>
      </c>
      <c r="BI34" s="34">
        <f>IF(AND(BI$4&lt;=T_Delivery,in_fin_interest_capitalized),MIN(BI30,MAX(F_SeniorCommit-BI29,0)),0)</f>
        <v/>
      </c>
      <c r="BJ34" s="34">
        <f>IF(AND(BJ$4&lt;=T_Delivery,in_fin_interest_capitalized),MIN(BJ30,MAX(F_SeniorCommit-BJ29,0)),0)</f>
        <v/>
      </c>
      <c r="BK34" s="34">
        <f>IF(AND(BK$4&lt;=T_Delivery,in_fin_interest_capitalized),MIN(BK30,MAX(F_SeniorCommit-BK29,0)),0)</f>
        <v/>
      </c>
      <c r="BL34" s="34">
        <f>IF(AND(BL$4&lt;=T_Delivery,in_fin_interest_capitalized),MIN(BL30,MAX(F_SeniorCommit-BL29,0)),0)</f>
        <v/>
      </c>
      <c r="BM34" s="34">
        <f>IF(AND(BM$4&lt;=T_Delivery,in_fin_interest_capitalized),MIN(BM30,MAX(F_SeniorCommit-BM29,0)),0)</f>
        <v/>
      </c>
      <c r="BN34" s="34">
        <f>IF(AND(BN$4&lt;=T_Delivery,in_fin_interest_capitalized),MIN(BN30,MAX(F_SeniorCommit-BN29,0)),0)</f>
        <v/>
      </c>
      <c r="BO34" s="34">
        <f>IF(AND(BO$4&lt;=T_Delivery,in_fin_interest_capitalized),MIN(BO30,MAX(F_SeniorCommit-BO29,0)),0)</f>
        <v/>
      </c>
      <c r="BP34" s="34">
        <f>IF(AND(BP$4&lt;=T_Delivery,in_fin_interest_capitalized),MIN(BP30,MAX(F_SeniorCommit-BP29,0)),0)</f>
        <v/>
      </c>
      <c r="BQ34" s="34">
        <f>IF(AND(BQ$4&lt;=T_Delivery,in_fin_interest_capitalized),MIN(BQ30,MAX(F_SeniorCommit-BQ29,0)),0)</f>
        <v/>
      </c>
      <c r="BR34" s="34">
        <f>IF(AND(BR$4&lt;=T_Delivery,in_fin_interest_capitalized),MIN(BR30,MAX(F_SeniorCommit-BR29,0)),0)</f>
        <v/>
      </c>
      <c r="BS34" s="34">
        <f>IF(AND(BS$4&lt;=T_Delivery,in_fin_interest_capitalized),MIN(BS30,MAX(F_SeniorCommit-BS29,0)),0)</f>
        <v/>
      </c>
      <c r="BT34" s="34">
        <f>IF(AND(BT$4&lt;=T_Delivery,in_fin_interest_capitalized),MIN(BT30,MAX(F_SeniorCommit-BT29,0)),0)</f>
        <v/>
      </c>
      <c r="BU34" s="34">
        <f>IF(AND(BU$4&lt;=T_Delivery,in_fin_interest_capitalized),MIN(BU30,MAX(F_SeniorCommit-BU29,0)),0)</f>
        <v/>
      </c>
      <c r="BV34" s="34">
        <f>IF(AND(BV$4&lt;=T_Delivery,in_fin_interest_capitalized),MIN(BV30,MAX(F_SeniorCommit-BV29,0)),0)</f>
        <v/>
      </c>
      <c r="BW34" s="34">
        <f>IF(AND(BW$4&lt;=T_Delivery,in_fin_interest_capitalized),MIN(BW30,MAX(F_SeniorCommit-BW29,0)),0)</f>
        <v/>
      </c>
      <c r="BX34" s="34">
        <f>IF(AND(BX$4&lt;=T_Delivery,in_fin_interest_capitalized),MIN(BX30,MAX(F_SeniorCommit-BX29,0)),0)</f>
        <v/>
      </c>
      <c r="BY34" s="34">
        <f>IF(AND(BY$4&lt;=T_Delivery,in_fin_interest_capitalized),MIN(BY30,MAX(F_SeniorCommit-BY29,0)),0)</f>
        <v/>
      </c>
      <c r="BZ34" s="34">
        <f>IF(AND(BZ$4&lt;=T_Delivery,in_fin_interest_capitalized),MIN(BZ30,MAX(F_SeniorCommit-BZ29,0)),0)</f>
        <v/>
      </c>
      <c r="CA34" s="34">
        <f>IF(AND(CA$4&lt;=T_Delivery,in_fin_interest_capitalized),MIN(CA30,MAX(F_SeniorCommit-CA29,0)),0)</f>
        <v/>
      </c>
      <c r="CB34" s="34">
        <f>IF(AND(CB$4&lt;=T_Delivery,in_fin_interest_capitalized),MIN(CB30,MAX(F_SeniorCommit-CB29,0)),0)</f>
        <v/>
      </c>
      <c r="CC34" s="34">
        <f>IF(AND(CC$4&lt;=T_Delivery,in_fin_interest_capitalized),MIN(CC30,MAX(F_SeniorCommit-CC29,0)),0)</f>
        <v/>
      </c>
      <c r="CD34" s="34">
        <f>IF(AND(CD$4&lt;=T_Delivery,in_fin_interest_capitalized),MIN(CD30,MAX(F_SeniorCommit-CD29,0)),0)</f>
        <v/>
      </c>
      <c r="CE34" s="34">
        <f>IF(AND(CE$4&lt;=T_Delivery,in_fin_interest_capitalized),MIN(CE30,MAX(F_SeniorCommit-CE29,0)),0)</f>
        <v/>
      </c>
      <c r="CF34" s="34">
        <f>IF(AND(CF$4&lt;=T_Delivery,in_fin_interest_capitalized),MIN(CF30,MAX(F_SeniorCommit-CF29,0)),0)</f>
        <v/>
      </c>
      <c r="CG34" s="34">
        <f>IF(AND(CG$4&lt;=T_Delivery,in_fin_interest_capitalized),MIN(CG30,MAX(F_SeniorCommit-CG29,0)),0)</f>
        <v/>
      </c>
      <c r="CH34" s="34">
        <f>IF(AND(CH$4&lt;=T_Delivery,in_fin_interest_capitalized),MIN(CH30,MAX(F_SeniorCommit-CH29,0)),0)</f>
        <v/>
      </c>
      <c r="CI34" s="34">
        <f>IF(AND(CI$4&lt;=T_Delivery,in_fin_interest_capitalized),MIN(CI30,MAX(F_SeniorCommit-CI29,0)),0)</f>
        <v/>
      </c>
      <c r="CJ34" s="34">
        <f>IF(AND(CJ$4&lt;=T_Delivery,in_fin_interest_capitalized),MIN(CJ30,MAX(F_SeniorCommit-CJ29,0)),0)</f>
        <v/>
      </c>
      <c r="CK34" s="34">
        <f>IF(AND(CK$4&lt;=T_Delivery,in_fin_interest_capitalized),MIN(CK30,MAX(F_SeniorCommit-CK29,0)),0)</f>
        <v/>
      </c>
      <c r="CL34" s="34">
        <f>IF(AND(CL$4&lt;=T_Delivery,in_fin_interest_capitalized),MIN(CL30,MAX(F_SeniorCommit-CL29,0)),0)</f>
        <v/>
      </c>
      <c r="CM34" s="34">
        <f>IF(AND(CM$4&lt;=T_Delivery,in_fin_interest_capitalized),MIN(CM30,MAX(F_SeniorCommit-CM29,0)),0)</f>
        <v/>
      </c>
      <c r="CN34" s="34">
        <f>IF(AND(CN$4&lt;=T_Delivery,in_fin_interest_capitalized),MIN(CN30,MAX(F_SeniorCommit-CN29,0)),0)</f>
        <v/>
      </c>
      <c r="CO34" s="34">
        <f>IF(AND(CO$4&lt;=T_Delivery,in_fin_interest_capitalized),MIN(CO30,MAX(F_SeniorCommit-CO29,0)),0)</f>
        <v/>
      </c>
      <c r="CP34" s="34">
        <f>IF(AND(CP$4&lt;=T_Delivery,in_fin_interest_capitalized),MIN(CP30,MAX(F_SeniorCommit-CP29,0)),0)</f>
        <v/>
      </c>
      <c r="CQ34" s="34">
        <f>IF(AND(CQ$4&lt;=T_Delivery,in_fin_interest_capitalized),MIN(CQ30,MAX(F_SeniorCommit-CQ29,0)),0)</f>
        <v/>
      </c>
      <c r="CR34" s="34">
        <f>IF(AND(CR$4&lt;=T_Delivery,in_fin_interest_capitalized),MIN(CR30,MAX(F_SeniorCommit-CR29,0)),0)</f>
        <v/>
      </c>
      <c r="CS34" s="34">
        <f>IF(AND(CS$4&lt;=T_Delivery,in_fin_interest_capitalized),MIN(CS30,MAX(F_SeniorCommit-CS29,0)),0)</f>
        <v/>
      </c>
      <c r="CT34" s="34">
        <f>IF(AND(CT$4&lt;=T_Delivery,in_fin_interest_capitalized),MIN(CT30,MAX(F_SeniorCommit-CT29,0)),0)</f>
        <v/>
      </c>
      <c r="CU34" s="34">
        <f>IF(AND(CU$4&lt;=T_Delivery,in_fin_interest_capitalized),MIN(CU30,MAX(F_SeniorCommit-CU29,0)),0)</f>
        <v/>
      </c>
    </row>
    <row r="35">
      <c r="A35" s="7" t="inlineStr">
        <is>
          <t>Mezzanine interest capitalized</t>
        </is>
      </c>
      <c r="B35" s="21">
        <f>SUM(D35:CU35)</f>
        <v/>
      </c>
      <c r="C35" s="11" t="inlineStr"/>
      <c r="D35" s="34">
        <f>IF(AND(D$4&lt;=T_Delivery,in_fin_interest_capitalized),MIN(D32,MAX(F_MezzCommit-D31,0)),0)</f>
        <v/>
      </c>
      <c r="E35" s="34">
        <f>IF(AND(E$4&lt;=T_Delivery,in_fin_interest_capitalized),MIN(E32,MAX(F_MezzCommit-E31,0)),0)</f>
        <v/>
      </c>
      <c r="F35" s="34">
        <f>IF(AND(F$4&lt;=T_Delivery,in_fin_interest_capitalized),MIN(F32,MAX(F_MezzCommit-F31,0)),0)</f>
        <v/>
      </c>
      <c r="G35" s="34">
        <f>IF(AND(G$4&lt;=T_Delivery,in_fin_interest_capitalized),MIN(G32,MAX(F_MezzCommit-G31,0)),0)</f>
        <v/>
      </c>
      <c r="H35" s="34">
        <f>IF(AND(H$4&lt;=T_Delivery,in_fin_interest_capitalized),MIN(H32,MAX(F_MezzCommit-H31,0)),0)</f>
        <v/>
      </c>
      <c r="I35" s="34">
        <f>IF(AND(I$4&lt;=T_Delivery,in_fin_interest_capitalized),MIN(I32,MAX(F_MezzCommit-I31,0)),0)</f>
        <v/>
      </c>
      <c r="J35" s="34">
        <f>IF(AND(J$4&lt;=T_Delivery,in_fin_interest_capitalized),MIN(J32,MAX(F_MezzCommit-J31,0)),0)</f>
        <v/>
      </c>
      <c r="K35" s="34">
        <f>IF(AND(K$4&lt;=T_Delivery,in_fin_interest_capitalized),MIN(K32,MAX(F_MezzCommit-K31,0)),0)</f>
        <v/>
      </c>
      <c r="L35" s="34">
        <f>IF(AND(L$4&lt;=T_Delivery,in_fin_interest_capitalized),MIN(L32,MAX(F_MezzCommit-L31,0)),0)</f>
        <v/>
      </c>
      <c r="M35" s="34">
        <f>IF(AND(M$4&lt;=T_Delivery,in_fin_interest_capitalized),MIN(M32,MAX(F_MezzCommit-M31,0)),0)</f>
        <v/>
      </c>
      <c r="N35" s="34">
        <f>IF(AND(N$4&lt;=T_Delivery,in_fin_interest_capitalized),MIN(N32,MAX(F_MezzCommit-N31,0)),0)</f>
        <v/>
      </c>
      <c r="O35" s="34">
        <f>IF(AND(O$4&lt;=T_Delivery,in_fin_interest_capitalized),MIN(O32,MAX(F_MezzCommit-O31,0)),0)</f>
        <v/>
      </c>
      <c r="P35" s="34">
        <f>IF(AND(P$4&lt;=T_Delivery,in_fin_interest_capitalized),MIN(P32,MAX(F_MezzCommit-P31,0)),0)</f>
        <v/>
      </c>
      <c r="Q35" s="34">
        <f>IF(AND(Q$4&lt;=T_Delivery,in_fin_interest_capitalized),MIN(Q32,MAX(F_MezzCommit-Q31,0)),0)</f>
        <v/>
      </c>
      <c r="R35" s="34">
        <f>IF(AND(R$4&lt;=T_Delivery,in_fin_interest_capitalized),MIN(R32,MAX(F_MezzCommit-R31,0)),0)</f>
        <v/>
      </c>
      <c r="S35" s="34">
        <f>IF(AND(S$4&lt;=T_Delivery,in_fin_interest_capitalized),MIN(S32,MAX(F_MezzCommit-S31,0)),0)</f>
        <v/>
      </c>
      <c r="T35" s="34">
        <f>IF(AND(T$4&lt;=T_Delivery,in_fin_interest_capitalized),MIN(T32,MAX(F_MezzCommit-T31,0)),0)</f>
        <v/>
      </c>
      <c r="U35" s="34">
        <f>IF(AND(U$4&lt;=T_Delivery,in_fin_interest_capitalized),MIN(U32,MAX(F_MezzCommit-U31,0)),0)</f>
        <v/>
      </c>
      <c r="V35" s="34">
        <f>IF(AND(V$4&lt;=T_Delivery,in_fin_interest_capitalized),MIN(V32,MAX(F_MezzCommit-V31,0)),0)</f>
        <v/>
      </c>
      <c r="W35" s="34">
        <f>IF(AND(W$4&lt;=T_Delivery,in_fin_interest_capitalized),MIN(W32,MAX(F_MezzCommit-W31,0)),0)</f>
        <v/>
      </c>
      <c r="X35" s="34">
        <f>IF(AND(X$4&lt;=T_Delivery,in_fin_interest_capitalized),MIN(X32,MAX(F_MezzCommit-X31,0)),0)</f>
        <v/>
      </c>
      <c r="Y35" s="34">
        <f>IF(AND(Y$4&lt;=T_Delivery,in_fin_interest_capitalized),MIN(Y32,MAX(F_MezzCommit-Y31,0)),0)</f>
        <v/>
      </c>
      <c r="Z35" s="34">
        <f>IF(AND(Z$4&lt;=T_Delivery,in_fin_interest_capitalized),MIN(Z32,MAX(F_MezzCommit-Z31,0)),0)</f>
        <v/>
      </c>
      <c r="AA35" s="34">
        <f>IF(AND(AA$4&lt;=T_Delivery,in_fin_interest_capitalized),MIN(AA32,MAX(F_MezzCommit-AA31,0)),0)</f>
        <v/>
      </c>
      <c r="AB35" s="34">
        <f>IF(AND(AB$4&lt;=T_Delivery,in_fin_interest_capitalized),MIN(AB32,MAX(F_MezzCommit-AB31,0)),0)</f>
        <v/>
      </c>
      <c r="AC35" s="34">
        <f>IF(AND(AC$4&lt;=T_Delivery,in_fin_interest_capitalized),MIN(AC32,MAX(F_MezzCommit-AC31,0)),0)</f>
        <v/>
      </c>
      <c r="AD35" s="34">
        <f>IF(AND(AD$4&lt;=T_Delivery,in_fin_interest_capitalized),MIN(AD32,MAX(F_MezzCommit-AD31,0)),0)</f>
        <v/>
      </c>
      <c r="AE35" s="34">
        <f>IF(AND(AE$4&lt;=T_Delivery,in_fin_interest_capitalized),MIN(AE32,MAX(F_MezzCommit-AE31,0)),0)</f>
        <v/>
      </c>
      <c r="AF35" s="34">
        <f>IF(AND(AF$4&lt;=T_Delivery,in_fin_interest_capitalized),MIN(AF32,MAX(F_MezzCommit-AF31,0)),0)</f>
        <v/>
      </c>
      <c r="AG35" s="34">
        <f>IF(AND(AG$4&lt;=T_Delivery,in_fin_interest_capitalized),MIN(AG32,MAX(F_MezzCommit-AG31,0)),0)</f>
        <v/>
      </c>
      <c r="AH35" s="34">
        <f>IF(AND(AH$4&lt;=T_Delivery,in_fin_interest_capitalized),MIN(AH32,MAX(F_MezzCommit-AH31,0)),0)</f>
        <v/>
      </c>
      <c r="AI35" s="34">
        <f>IF(AND(AI$4&lt;=T_Delivery,in_fin_interest_capitalized),MIN(AI32,MAX(F_MezzCommit-AI31,0)),0)</f>
        <v/>
      </c>
      <c r="AJ35" s="34">
        <f>IF(AND(AJ$4&lt;=T_Delivery,in_fin_interest_capitalized),MIN(AJ32,MAX(F_MezzCommit-AJ31,0)),0)</f>
        <v/>
      </c>
      <c r="AK35" s="34">
        <f>IF(AND(AK$4&lt;=T_Delivery,in_fin_interest_capitalized),MIN(AK32,MAX(F_MezzCommit-AK31,0)),0)</f>
        <v/>
      </c>
      <c r="AL35" s="34">
        <f>IF(AND(AL$4&lt;=T_Delivery,in_fin_interest_capitalized),MIN(AL32,MAX(F_MezzCommit-AL31,0)),0)</f>
        <v/>
      </c>
      <c r="AM35" s="34">
        <f>IF(AND(AM$4&lt;=T_Delivery,in_fin_interest_capitalized),MIN(AM32,MAX(F_MezzCommit-AM31,0)),0)</f>
        <v/>
      </c>
      <c r="AN35" s="34">
        <f>IF(AND(AN$4&lt;=T_Delivery,in_fin_interest_capitalized),MIN(AN32,MAX(F_MezzCommit-AN31,0)),0)</f>
        <v/>
      </c>
      <c r="AO35" s="34">
        <f>IF(AND(AO$4&lt;=T_Delivery,in_fin_interest_capitalized),MIN(AO32,MAX(F_MezzCommit-AO31,0)),0)</f>
        <v/>
      </c>
      <c r="AP35" s="34">
        <f>IF(AND(AP$4&lt;=T_Delivery,in_fin_interest_capitalized),MIN(AP32,MAX(F_MezzCommit-AP31,0)),0)</f>
        <v/>
      </c>
      <c r="AQ35" s="34">
        <f>IF(AND(AQ$4&lt;=T_Delivery,in_fin_interest_capitalized),MIN(AQ32,MAX(F_MezzCommit-AQ31,0)),0)</f>
        <v/>
      </c>
      <c r="AR35" s="34">
        <f>IF(AND(AR$4&lt;=T_Delivery,in_fin_interest_capitalized),MIN(AR32,MAX(F_MezzCommit-AR31,0)),0)</f>
        <v/>
      </c>
      <c r="AS35" s="34">
        <f>IF(AND(AS$4&lt;=T_Delivery,in_fin_interest_capitalized),MIN(AS32,MAX(F_MezzCommit-AS31,0)),0)</f>
        <v/>
      </c>
      <c r="AT35" s="34">
        <f>IF(AND(AT$4&lt;=T_Delivery,in_fin_interest_capitalized),MIN(AT32,MAX(F_MezzCommit-AT31,0)),0)</f>
        <v/>
      </c>
      <c r="AU35" s="34">
        <f>IF(AND(AU$4&lt;=T_Delivery,in_fin_interest_capitalized),MIN(AU32,MAX(F_MezzCommit-AU31,0)),0)</f>
        <v/>
      </c>
      <c r="AV35" s="34">
        <f>IF(AND(AV$4&lt;=T_Delivery,in_fin_interest_capitalized),MIN(AV32,MAX(F_MezzCommit-AV31,0)),0)</f>
        <v/>
      </c>
      <c r="AW35" s="34">
        <f>IF(AND(AW$4&lt;=T_Delivery,in_fin_interest_capitalized),MIN(AW32,MAX(F_MezzCommit-AW31,0)),0)</f>
        <v/>
      </c>
      <c r="AX35" s="34">
        <f>IF(AND(AX$4&lt;=T_Delivery,in_fin_interest_capitalized),MIN(AX32,MAX(F_MezzCommit-AX31,0)),0)</f>
        <v/>
      </c>
      <c r="AY35" s="34">
        <f>IF(AND(AY$4&lt;=T_Delivery,in_fin_interest_capitalized),MIN(AY32,MAX(F_MezzCommit-AY31,0)),0)</f>
        <v/>
      </c>
      <c r="AZ35" s="34">
        <f>IF(AND(AZ$4&lt;=T_Delivery,in_fin_interest_capitalized),MIN(AZ32,MAX(F_MezzCommit-AZ31,0)),0)</f>
        <v/>
      </c>
      <c r="BA35" s="34">
        <f>IF(AND(BA$4&lt;=T_Delivery,in_fin_interest_capitalized),MIN(BA32,MAX(F_MezzCommit-BA31,0)),0)</f>
        <v/>
      </c>
      <c r="BB35" s="34">
        <f>IF(AND(BB$4&lt;=T_Delivery,in_fin_interest_capitalized),MIN(BB32,MAX(F_MezzCommit-BB31,0)),0)</f>
        <v/>
      </c>
      <c r="BC35" s="34">
        <f>IF(AND(BC$4&lt;=T_Delivery,in_fin_interest_capitalized),MIN(BC32,MAX(F_MezzCommit-BC31,0)),0)</f>
        <v/>
      </c>
      <c r="BD35" s="34">
        <f>IF(AND(BD$4&lt;=T_Delivery,in_fin_interest_capitalized),MIN(BD32,MAX(F_MezzCommit-BD31,0)),0)</f>
        <v/>
      </c>
      <c r="BE35" s="34">
        <f>IF(AND(BE$4&lt;=T_Delivery,in_fin_interest_capitalized),MIN(BE32,MAX(F_MezzCommit-BE31,0)),0)</f>
        <v/>
      </c>
      <c r="BF35" s="34">
        <f>IF(AND(BF$4&lt;=T_Delivery,in_fin_interest_capitalized),MIN(BF32,MAX(F_MezzCommit-BF31,0)),0)</f>
        <v/>
      </c>
      <c r="BG35" s="34">
        <f>IF(AND(BG$4&lt;=T_Delivery,in_fin_interest_capitalized),MIN(BG32,MAX(F_MezzCommit-BG31,0)),0)</f>
        <v/>
      </c>
      <c r="BH35" s="34">
        <f>IF(AND(BH$4&lt;=T_Delivery,in_fin_interest_capitalized),MIN(BH32,MAX(F_MezzCommit-BH31,0)),0)</f>
        <v/>
      </c>
      <c r="BI35" s="34">
        <f>IF(AND(BI$4&lt;=T_Delivery,in_fin_interest_capitalized),MIN(BI32,MAX(F_MezzCommit-BI31,0)),0)</f>
        <v/>
      </c>
      <c r="BJ35" s="34">
        <f>IF(AND(BJ$4&lt;=T_Delivery,in_fin_interest_capitalized),MIN(BJ32,MAX(F_MezzCommit-BJ31,0)),0)</f>
        <v/>
      </c>
      <c r="BK35" s="34">
        <f>IF(AND(BK$4&lt;=T_Delivery,in_fin_interest_capitalized),MIN(BK32,MAX(F_MezzCommit-BK31,0)),0)</f>
        <v/>
      </c>
      <c r="BL35" s="34">
        <f>IF(AND(BL$4&lt;=T_Delivery,in_fin_interest_capitalized),MIN(BL32,MAX(F_MezzCommit-BL31,0)),0)</f>
        <v/>
      </c>
      <c r="BM35" s="34">
        <f>IF(AND(BM$4&lt;=T_Delivery,in_fin_interest_capitalized),MIN(BM32,MAX(F_MezzCommit-BM31,0)),0)</f>
        <v/>
      </c>
      <c r="BN35" s="34">
        <f>IF(AND(BN$4&lt;=T_Delivery,in_fin_interest_capitalized),MIN(BN32,MAX(F_MezzCommit-BN31,0)),0)</f>
        <v/>
      </c>
      <c r="BO35" s="34">
        <f>IF(AND(BO$4&lt;=T_Delivery,in_fin_interest_capitalized),MIN(BO32,MAX(F_MezzCommit-BO31,0)),0)</f>
        <v/>
      </c>
      <c r="BP35" s="34">
        <f>IF(AND(BP$4&lt;=T_Delivery,in_fin_interest_capitalized),MIN(BP32,MAX(F_MezzCommit-BP31,0)),0)</f>
        <v/>
      </c>
      <c r="BQ35" s="34">
        <f>IF(AND(BQ$4&lt;=T_Delivery,in_fin_interest_capitalized),MIN(BQ32,MAX(F_MezzCommit-BQ31,0)),0)</f>
        <v/>
      </c>
      <c r="BR35" s="34">
        <f>IF(AND(BR$4&lt;=T_Delivery,in_fin_interest_capitalized),MIN(BR32,MAX(F_MezzCommit-BR31,0)),0)</f>
        <v/>
      </c>
      <c r="BS35" s="34">
        <f>IF(AND(BS$4&lt;=T_Delivery,in_fin_interest_capitalized),MIN(BS32,MAX(F_MezzCommit-BS31,0)),0)</f>
        <v/>
      </c>
      <c r="BT35" s="34">
        <f>IF(AND(BT$4&lt;=T_Delivery,in_fin_interest_capitalized),MIN(BT32,MAX(F_MezzCommit-BT31,0)),0)</f>
        <v/>
      </c>
      <c r="BU35" s="34">
        <f>IF(AND(BU$4&lt;=T_Delivery,in_fin_interest_capitalized),MIN(BU32,MAX(F_MezzCommit-BU31,0)),0)</f>
        <v/>
      </c>
      <c r="BV35" s="34">
        <f>IF(AND(BV$4&lt;=T_Delivery,in_fin_interest_capitalized),MIN(BV32,MAX(F_MezzCommit-BV31,0)),0)</f>
        <v/>
      </c>
      <c r="BW35" s="34">
        <f>IF(AND(BW$4&lt;=T_Delivery,in_fin_interest_capitalized),MIN(BW32,MAX(F_MezzCommit-BW31,0)),0)</f>
        <v/>
      </c>
      <c r="BX35" s="34">
        <f>IF(AND(BX$4&lt;=T_Delivery,in_fin_interest_capitalized),MIN(BX32,MAX(F_MezzCommit-BX31,0)),0)</f>
        <v/>
      </c>
      <c r="BY35" s="34">
        <f>IF(AND(BY$4&lt;=T_Delivery,in_fin_interest_capitalized),MIN(BY32,MAX(F_MezzCommit-BY31,0)),0)</f>
        <v/>
      </c>
      <c r="BZ35" s="34">
        <f>IF(AND(BZ$4&lt;=T_Delivery,in_fin_interest_capitalized),MIN(BZ32,MAX(F_MezzCommit-BZ31,0)),0)</f>
        <v/>
      </c>
      <c r="CA35" s="34">
        <f>IF(AND(CA$4&lt;=T_Delivery,in_fin_interest_capitalized),MIN(CA32,MAX(F_MezzCommit-CA31,0)),0)</f>
        <v/>
      </c>
      <c r="CB35" s="34">
        <f>IF(AND(CB$4&lt;=T_Delivery,in_fin_interest_capitalized),MIN(CB32,MAX(F_MezzCommit-CB31,0)),0)</f>
        <v/>
      </c>
      <c r="CC35" s="34">
        <f>IF(AND(CC$4&lt;=T_Delivery,in_fin_interest_capitalized),MIN(CC32,MAX(F_MezzCommit-CC31,0)),0)</f>
        <v/>
      </c>
      <c r="CD35" s="34">
        <f>IF(AND(CD$4&lt;=T_Delivery,in_fin_interest_capitalized),MIN(CD32,MAX(F_MezzCommit-CD31,0)),0)</f>
        <v/>
      </c>
      <c r="CE35" s="34">
        <f>IF(AND(CE$4&lt;=T_Delivery,in_fin_interest_capitalized),MIN(CE32,MAX(F_MezzCommit-CE31,0)),0)</f>
        <v/>
      </c>
      <c r="CF35" s="34">
        <f>IF(AND(CF$4&lt;=T_Delivery,in_fin_interest_capitalized),MIN(CF32,MAX(F_MezzCommit-CF31,0)),0)</f>
        <v/>
      </c>
      <c r="CG35" s="34">
        <f>IF(AND(CG$4&lt;=T_Delivery,in_fin_interest_capitalized),MIN(CG32,MAX(F_MezzCommit-CG31,0)),0)</f>
        <v/>
      </c>
      <c r="CH35" s="34">
        <f>IF(AND(CH$4&lt;=T_Delivery,in_fin_interest_capitalized),MIN(CH32,MAX(F_MezzCommit-CH31,0)),0)</f>
        <v/>
      </c>
      <c r="CI35" s="34">
        <f>IF(AND(CI$4&lt;=T_Delivery,in_fin_interest_capitalized),MIN(CI32,MAX(F_MezzCommit-CI31,0)),0)</f>
        <v/>
      </c>
      <c r="CJ35" s="34">
        <f>IF(AND(CJ$4&lt;=T_Delivery,in_fin_interest_capitalized),MIN(CJ32,MAX(F_MezzCommit-CJ31,0)),0)</f>
        <v/>
      </c>
      <c r="CK35" s="34">
        <f>IF(AND(CK$4&lt;=T_Delivery,in_fin_interest_capitalized),MIN(CK32,MAX(F_MezzCommit-CK31,0)),0)</f>
        <v/>
      </c>
      <c r="CL35" s="34">
        <f>IF(AND(CL$4&lt;=T_Delivery,in_fin_interest_capitalized),MIN(CL32,MAX(F_MezzCommit-CL31,0)),0)</f>
        <v/>
      </c>
      <c r="CM35" s="34">
        <f>IF(AND(CM$4&lt;=T_Delivery,in_fin_interest_capitalized),MIN(CM32,MAX(F_MezzCommit-CM31,0)),0)</f>
        <v/>
      </c>
      <c r="CN35" s="34">
        <f>IF(AND(CN$4&lt;=T_Delivery,in_fin_interest_capitalized),MIN(CN32,MAX(F_MezzCommit-CN31,0)),0)</f>
        <v/>
      </c>
      <c r="CO35" s="34">
        <f>IF(AND(CO$4&lt;=T_Delivery,in_fin_interest_capitalized),MIN(CO32,MAX(F_MezzCommit-CO31,0)),0)</f>
        <v/>
      </c>
      <c r="CP35" s="34">
        <f>IF(AND(CP$4&lt;=T_Delivery,in_fin_interest_capitalized),MIN(CP32,MAX(F_MezzCommit-CP31,0)),0)</f>
        <v/>
      </c>
      <c r="CQ35" s="34">
        <f>IF(AND(CQ$4&lt;=T_Delivery,in_fin_interest_capitalized),MIN(CQ32,MAX(F_MezzCommit-CQ31,0)),0)</f>
        <v/>
      </c>
      <c r="CR35" s="34">
        <f>IF(AND(CR$4&lt;=T_Delivery,in_fin_interest_capitalized),MIN(CR32,MAX(F_MezzCommit-CR31,0)),0)</f>
        <v/>
      </c>
      <c r="CS35" s="34">
        <f>IF(AND(CS$4&lt;=T_Delivery,in_fin_interest_capitalized),MIN(CS32,MAX(F_MezzCommit-CS31,0)),0)</f>
        <v/>
      </c>
      <c r="CT35" s="34">
        <f>IF(AND(CT$4&lt;=T_Delivery,in_fin_interest_capitalized),MIN(CT32,MAX(F_MezzCommit-CT31,0)),0)</f>
        <v/>
      </c>
      <c r="CU35" s="34">
        <f>IF(AND(CU$4&lt;=T_Delivery,in_fin_interest_capitalized),MIN(CU32,MAX(F_MezzCommit-CU31,0)),0)</f>
        <v/>
      </c>
    </row>
    <row r="36">
      <c r="A36" s="7" t="inlineStr">
        <is>
          <t>Interest paid in cash</t>
        </is>
      </c>
      <c r="B36" s="21">
        <f>SUM(D36:CU36)</f>
        <v/>
      </c>
      <c r="C36" s="11" t="inlineStr"/>
      <c r="D36" s="34">
        <f>D30+D32-D34-D35</f>
        <v/>
      </c>
      <c r="E36" s="34">
        <f>E30+E32-E34-E35</f>
        <v/>
      </c>
      <c r="F36" s="34">
        <f>F30+F32-F34-F35</f>
        <v/>
      </c>
      <c r="G36" s="34">
        <f>G30+G32-G34-G35</f>
        <v/>
      </c>
      <c r="H36" s="34">
        <f>H30+H32-H34-H35</f>
        <v/>
      </c>
      <c r="I36" s="34">
        <f>I30+I32-I34-I35</f>
        <v/>
      </c>
      <c r="J36" s="34">
        <f>J30+J32-J34-J35</f>
        <v/>
      </c>
      <c r="K36" s="34">
        <f>K30+K32-K34-K35</f>
        <v/>
      </c>
      <c r="L36" s="34">
        <f>L30+L32-L34-L35</f>
        <v/>
      </c>
      <c r="M36" s="34">
        <f>M30+M32-M34-M35</f>
        <v/>
      </c>
      <c r="N36" s="34">
        <f>N30+N32-N34-N35</f>
        <v/>
      </c>
      <c r="O36" s="34">
        <f>O30+O32-O34-O35</f>
        <v/>
      </c>
      <c r="P36" s="34">
        <f>P30+P32-P34-P35</f>
        <v/>
      </c>
      <c r="Q36" s="34">
        <f>Q30+Q32-Q34-Q35</f>
        <v/>
      </c>
      <c r="R36" s="34">
        <f>R30+R32-R34-R35</f>
        <v/>
      </c>
      <c r="S36" s="34">
        <f>S30+S32-S34-S35</f>
        <v/>
      </c>
      <c r="T36" s="34">
        <f>T30+T32-T34-T35</f>
        <v/>
      </c>
      <c r="U36" s="34">
        <f>U30+U32-U34-U35</f>
        <v/>
      </c>
      <c r="V36" s="34">
        <f>V30+V32-V34-V35</f>
        <v/>
      </c>
      <c r="W36" s="34">
        <f>W30+W32-W34-W35</f>
        <v/>
      </c>
      <c r="X36" s="34">
        <f>X30+X32-X34-X35</f>
        <v/>
      </c>
      <c r="Y36" s="34">
        <f>Y30+Y32-Y34-Y35</f>
        <v/>
      </c>
      <c r="Z36" s="34">
        <f>Z30+Z32-Z34-Z35</f>
        <v/>
      </c>
      <c r="AA36" s="34">
        <f>AA30+AA32-AA34-AA35</f>
        <v/>
      </c>
      <c r="AB36" s="34">
        <f>AB30+AB32-AB34-AB35</f>
        <v/>
      </c>
      <c r="AC36" s="34">
        <f>AC30+AC32-AC34-AC35</f>
        <v/>
      </c>
      <c r="AD36" s="34">
        <f>AD30+AD32-AD34-AD35</f>
        <v/>
      </c>
      <c r="AE36" s="34">
        <f>AE30+AE32-AE34-AE35</f>
        <v/>
      </c>
      <c r="AF36" s="34">
        <f>AF30+AF32-AF34-AF35</f>
        <v/>
      </c>
      <c r="AG36" s="34">
        <f>AG30+AG32-AG34-AG35</f>
        <v/>
      </c>
      <c r="AH36" s="34">
        <f>AH30+AH32-AH34-AH35</f>
        <v/>
      </c>
      <c r="AI36" s="34">
        <f>AI30+AI32-AI34-AI35</f>
        <v/>
      </c>
      <c r="AJ36" s="34">
        <f>AJ30+AJ32-AJ34-AJ35</f>
        <v/>
      </c>
      <c r="AK36" s="34">
        <f>AK30+AK32-AK34-AK35</f>
        <v/>
      </c>
      <c r="AL36" s="34">
        <f>AL30+AL32-AL34-AL35</f>
        <v/>
      </c>
      <c r="AM36" s="34">
        <f>AM30+AM32-AM34-AM35</f>
        <v/>
      </c>
      <c r="AN36" s="34">
        <f>AN30+AN32-AN34-AN35</f>
        <v/>
      </c>
      <c r="AO36" s="34">
        <f>AO30+AO32-AO34-AO35</f>
        <v/>
      </c>
      <c r="AP36" s="34">
        <f>AP30+AP32-AP34-AP35</f>
        <v/>
      </c>
      <c r="AQ36" s="34">
        <f>AQ30+AQ32-AQ34-AQ35</f>
        <v/>
      </c>
      <c r="AR36" s="34">
        <f>AR30+AR32-AR34-AR35</f>
        <v/>
      </c>
      <c r="AS36" s="34">
        <f>AS30+AS32-AS34-AS35</f>
        <v/>
      </c>
      <c r="AT36" s="34">
        <f>AT30+AT32-AT34-AT35</f>
        <v/>
      </c>
      <c r="AU36" s="34">
        <f>AU30+AU32-AU34-AU35</f>
        <v/>
      </c>
      <c r="AV36" s="34">
        <f>AV30+AV32-AV34-AV35</f>
        <v/>
      </c>
      <c r="AW36" s="34">
        <f>AW30+AW32-AW34-AW35</f>
        <v/>
      </c>
      <c r="AX36" s="34">
        <f>AX30+AX32-AX34-AX35</f>
        <v/>
      </c>
      <c r="AY36" s="34">
        <f>AY30+AY32-AY34-AY35</f>
        <v/>
      </c>
      <c r="AZ36" s="34">
        <f>AZ30+AZ32-AZ34-AZ35</f>
        <v/>
      </c>
      <c r="BA36" s="34">
        <f>BA30+BA32-BA34-BA35</f>
        <v/>
      </c>
      <c r="BB36" s="34">
        <f>BB30+BB32-BB34-BB35</f>
        <v/>
      </c>
      <c r="BC36" s="34">
        <f>BC30+BC32-BC34-BC35</f>
        <v/>
      </c>
      <c r="BD36" s="34">
        <f>BD30+BD32-BD34-BD35</f>
        <v/>
      </c>
      <c r="BE36" s="34">
        <f>BE30+BE32-BE34-BE35</f>
        <v/>
      </c>
      <c r="BF36" s="34">
        <f>BF30+BF32-BF34-BF35</f>
        <v/>
      </c>
      <c r="BG36" s="34">
        <f>BG30+BG32-BG34-BG35</f>
        <v/>
      </c>
      <c r="BH36" s="34">
        <f>BH30+BH32-BH34-BH35</f>
        <v/>
      </c>
      <c r="BI36" s="34">
        <f>BI30+BI32-BI34-BI35</f>
        <v/>
      </c>
      <c r="BJ36" s="34">
        <f>BJ30+BJ32-BJ34-BJ35</f>
        <v/>
      </c>
      <c r="BK36" s="34">
        <f>BK30+BK32-BK34-BK35</f>
        <v/>
      </c>
      <c r="BL36" s="34">
        <f>BL30+BL32-BL34-BL35</f>
        <v/>
      </c>
      <c r="BM36" s="34">
        <f>BM30+BM32-BM34-BM35</f>
        <v/>
      </c>
      <c r="BN36" s="34">
        <f>BN30+BN32-BN34-BN35</f>
        <v/>
      </c>
      <c r="BO36" s="34">
        <f>BO30+BO32-BO34-BO35</f>
        <v/>
      </c>
      <c r="BP36" s="34">
        <f>BP30+BP32-BP34-BP35</f>
        <v/>
      </c>
      <c r="BQ36" s="34">
        <f>BQ30+BQ32-BQ34-BQ35</f>
        <v/>
      </c>
      <c r="BR36" s="34">
        <f>BR30+BR32-BR34-BR35</f>
        <v/>
      </c>
      <c r="BS36" s="34">
        <f>BS30+BS32-BS34-BS35</f>
        <v/>
      </c>
      <c r="BT36" s="34">
        <f>BT30+BT32-BT34-BT35</f>
        <v/>
      </c>
      <c r="BU36" s="34">
        <f>BU30+BU32-BU34-BU35</f>
        <v/>
      </c>
      <c r="BV36" s="34">
        <f>BV30+BV32-BV34-BV35</f>
        <v/>
      </c>
      <c r="BW36" s="34">
        <f>BW30+BW32-BW34-BW35</f>
        <v/>
      </c>
      <c r="BX36" s="34">
        <f>BX30+BX32-BX34-BX35</f>
        <v/>
      </c>
      <c r="BY36" s="34">
        <f>BY30+BY32-BY34-BY35</f>
        <v/>
      </c>
      <c r="BZ36" s="34">
        <f>BZ30+BZ32-BZ34-BZ35</f>
        <v/>
      </c>
      <c r="CA36" s="34">
        <f>CA30+CA32-CA34-CA35</f>
        <v/>
      </c>
      <c r="CB36" s="34">
        <f>CB30+CB32-CB34-CB35</f>
        <v/>
      </c>
      <c r="CC36" s="34">
        <f>CC30+CC32-CC34-CC35</f>
        <v/>
      </c>
      <c r="CD36" s="34">
        <f>CD30+CD32-CD34-CD35</f>
        <v/>
      </c>
      <c r="CE36" s="34">
        <f>CE30+CE32-CE34-CE35</f>
        <v/>
      </c>
      <c r="CF36" s="34">
        <f>CF30+CF32-CF34-CF35</f>
        <v/>
      </c>
      <c r="CG36" s="34">
        <f>CG30+CG32-CG34-CG35</f>
        <v/>
      </c>
      <c r="CH36" s="34">
        <f>CH30+CH32-CH34-CH35</f>
        <v/>
      </c>
      <c r="CI36" s="34">
        <f>CI30+CI32-CI34-CI35</f>
        <v/>
      </c>
      <c r="CJ36" s="34">
        <f>CJ30+CJ32-CJ34-CJ35</f>
        <v/>
      </c>
      <c r="CK36" s="34">
        <f>CK30+CK32-CK34-CK35</f>
        <v/>
      </c>
      <c r="CL36" s="34">
        <f>CL30+CL32-CL34-CL35</f>
        <v/>
      </c>
      <c r="CM36" s="34">
        <f>CM30+CM32-CM34-CM35</f>
        <v/>
      </c>
      <c r="CN36" s="34">
        <f>CN30+CN32-CN34-CN35</f>
        <v/>
      </c>
      <c r="CO36" s="34">
        <f>CO30+CO32-CO34-CO35</f>
        <v/>
      </c>
      <c r="CP36" s="34">
        <f>CP30+CP32-CP34-CP35</f>
        <v/>
      </c>
      <c r="CQ36" s="34">
        <f>CQ30+CQ32-CQ34-CQ35</f>
        <v/>
      </c>
      <c r="CR36" s="34">
        <f>CR30+CR32-CR34-CR35</f>
        <v/>
      </c>
      <c r="CS36" s="34">
        <f>CS30+CS32-CS34-CS35</f>
        <v/>
      </c>
      <c r="CT36" s="34">
        <f>CT30+CT32-CT34-CT35</f>
        <v/>
      </c>
      <c r="CU36" s="34">
        <f>CU30+CU32-CU34-CU35</f>
        <v/>
      </c>
    </row>
    <row r="37">
      <c r="A37" s="7" t="inlineStr">
        <is>
          <t>Scheduled principal (rentals after delivery)</t>
        </is>
      </c>
      <c r="B37" s="21">
        <f>SUM(D37:CU37)</f>
        <v/>
      </c>
      <c r="C37" s="11" t="inlineStr"/>
      <c r="D37" s="34">
        <f>IF(AND(in_mode_sale=0,D$4&gt;T_Delivery,D29&gt;0,N(in_fin_amortization_years)&gt;0),MIN(F_AmortPrincipal,D29),0)</f>
        <v/>
      </c>
      <c r="E37" s="34">
        <f>IF(AND(in_mode_sale=0,E$4&gt;T_Delivery,E29&gt;0,N(in_fin_amortization_years)&gt;0),MIN(F_AmortPrincipal,E29),0)</f>
        <v/>
      </c>
      <c r="F37" s="34">
        <f>IF(AND(in_mode_sale=0,F$4&gt;T_Delivery,F29&gt;0,N(in_fin_amortization_years)&gt;0),MIN(F_AmortPrincipal,F29),0)</f>
        <v/>
      </c>
      <c r="G37" s="34">
        <f>IF(AND(in_mode_sale=0,G$4&gt;T_Delivery,G29&gt;0,N(in_fin_amortization_years)&gt;0),MIN(F_AmortPrincipal,G29),0)</f>
        <v/>
      </c>
      <c r="H37" s="34">
        <f>IF(AND(in_mode_sale=0,H$4&gt;T_Delivery,H29&gt;0,N(in_fin_amortization_years)&gt;0),MIN(F_AmortPrincipal,H29),0)</f>
        <v/>
      </c>
      <c r="I37" s="34">
        <f>IF(AND(in_mode_sale=0,I$4&gt;T_Delivery,I29&gt;0,N(in_fin_amortization_years)&gt;0),MIN(F_AmortPrincipal,I29),0)</f>
        <v/>
      </c>
      <c r="J37" s="34">
        <f>IF(AND(in_mode_sale=0,J$4&gt;T_Delivery,J29&gt;0,N(in_fin_amortization_years)&gt;0),MIN(F_AmortPrincipal,J29),0)</f>
        <v/>
      </c>
      <c r="K37" s="34">
        <f>IF(AND(in_mode_sale=0,K$4&gt;T_Delivery,K29&gt;0,N(in_fin_amortization_years)&gt;0),MIN(F_AmortPrincipal,K29),0)</f>
        <v/>
      </c>
      <c r="L37" s="34">
        <f>IF(AND(in_mode_sale=0,L$4&gt;T_Delivery,L29&gt;0,N(in_fin_amortization_years)&gt;0),MIN(F_AmortPrincipal,L29),0)</f>
        <v/>
      </c>
      <c r="M37" s="34">
        <f>IF(AND(in_mode_sale=0,M$4&gt;T_Delivery,M29&gt;0,N(in_fin_amortization_years)&gt;0),MIN(F_AmortPrincipal,M29),0)</f>
        <v/>
      </c>
      <c r="N37" s="34">
        <f>IF(AND(in_mode_sale=0,N$4&gt;T_Delivery,N29&gt;0,N(in_fin_amortization_years)&gt;0),MIN(F_AmortPrincipal,N29),0)</f>
        <v/>
      </c>
      <c r="O37" s="34">
        <f>IF(AND(in_mode_sale=0,O$4&gt;T_Delivery,O29&gt;0,N(in_fin_amortization_years)&gt;0),MIN(F_AmortPrincipal,O29),0)</f>
        <v/>
      </c>
      <c r="P37" s="34">
        <f>IF(AND(in_mode_sale=0,P$4&gt;T_Delivery,P29&gt;0,N(in_fin_amortization_years)&gt;0),MIN(F_AmortPrincipal,P29),0)</f>
        <v/>
      </c>
      <c r="Q37" s="34">
        <f>IF(AND(in_mode_sale=0,Q$4&gt;T_Delivery,Q29&gt;0,N(in_fin_amortization_years)&gt;0),MIN(F_AmortPrincipal,Q29),0)</f>
        <v/>
      </c>
      <c r="R37" s="34">
        <f>IF(AND(in_mode_sale=0,R$4&gt;T_Delivery,R29&gt;0,N(in_fin_amortization_years)&gt;0),MIN(F_AmortPrincipal,R29),0)</f>
        <v/>
      </c>
      <c r="S37" s="34">
        <f>IF(AND(in_mode_sale=0,S$4&gt;T_Delivery,S29&gt;0,N(in_fin_amortization_years)&gt;0),MIN(F_AmortPrincipal,S29),0)</f>
        <v/>
      </c>
      <c r="T37" s="34">
        <f>IF(AND(in_mode_sale=0,T$4&gt;T_Delivery,T29&gt;0,N(in_fin_amortization_years)&gt;0),MIN(F_AmortPrincipal,T29),0)</f>
        <v/>
      </c>
      <c r="U37" s="34">
        <f>IF(AND(in_mode_sale=0,U$4&gt;T_Delivery,U29&gt;0,N(in_fin_amortization_years)&gt;0),MIN(F_AmortPrincipal,U29),0)</f>
        <v/>
      </c>
      <c r="V37" s="34">
        <f>IF(AND(in_mode_sale=0,V$4&gt;T_Delivery,V29&gt;0,N(in_fin_amortization_years)&gt;0),MIN(F_AmortPrincipal,V29),0)</f>
        <v/>
      </c>
      <c r="W37" s="34">
        <f>IF(AND(in_mode_sale=0,W$4&gt;T_Delivery,W29&gt;0,N(in_fin_amortization_years)&gt;0),MIN(F_AmortPrincipal,W29),0)</f>
        <v/>
      </c>
      <c r="X37" s="34">
        <f>IF(AND(in_mode_sale=0,X$4&gt;T_Delivery,X29&gt;0,N(in_fin_amortization_years)&gt;0),MIN(F_AmortPrincipal,X29),0)</f>
        <v/>
      </c>
      <c r="Y37" s="34">
        <f>IF(AND(in_mode_sale=0,Y$4&gt;T_Delivery,Y29&gt;0,N(in_fin_amortization_years)&gt;0),MIN(F_AmortPrincipal,Y29),0)</f>
        <v/>
      </c>
      <c r="Z37" s="34">
        <f>IF(AND(in_mode_sale=0,Z$4&gt;T_Delivery,Z29&gt;0,N(in_fin_amortization_years)&gt;0),MIN(F_AmortPrincipal,Z29),0)</f>
        <v/>
      </c>
      <c r="AA37" s="34">
        <f>IF(AND(in_mode_sale=0,AA$4&gt;T_Delivery,AA29&gt;0,N(in_fin_amortization_years)&gt;0),MIN(F_AmortPrincipal,AA29),0)</f>
        <v/>
      </c>
      <c r="AB37" s="34">
        <f>IF(AND(in_mode_sale=0,AB$4&gt;T_Delivery,AB29&gt;0,N(in_fin_amortization_years)&gt;0),MIN(F_AmortPrincipal,AB29),0)</f>
        <v/>
      </c>
      <c r="AC37" s="34">
        <f>IF(AND(in_mode_sale=0,AC$4&gt;T_Delivery,AC29&gt;0,N(in_fin_amortization_years)&gt;0),MIN(F_AmortPrincipal,AC29),0)</f>
        <v/>
      </c>
      <c r="AD37" s="34">
        <f>IF(AND(in_mode_sale=0,AD$4&gt;T_Delivery,AD29&gt;0,N(in_fin_amortization_years)&gt;0),MIN(F_AmortPrincipal,AD29),0)</f>
        <v/>
      </c>
      <c r="AE37" s="34">
        <f>IF(AND(in_mode_sale=0,AE$4&gt;T_Delivery,AE29&gt;0,N(in_fin_amortization_years)&gt;0),MIN(F_AmortPrincipal,AE29),0)</f>
        <v/>
      </c>
      <c r="AF37" s="34">
        <f>IF(AND(in_mode_sale=0,AF$4&gt;T_Delivery,AF29&gt;0,N(in_fin_amortization_years)&gt;0),MIN(F_AmortPrincipal,AF29),0)</f>
        <v/>
      </c>
      <c r="AG37" s="34">
        <f>IF(AND(in_mode_sale=0,AG$4&gt;T_Delivery,AG29&gt;0,N(in_fin_amortization_years)&gt;0),MIN(F_AmortPrincipal,AG29),0)</f>
        <v/>
      </c>
      <c r="AH37" s="34">
        <f>IF(AND(in_mode_sale=0,AH$4&gt;T_Delivery,AH29&gt;0,N(in_fin_amortization_years)&gt;0),MIN(F_AmortPrincipal,AH29),0)</f>
        <v/>
      </c>
      <c r="AI37" s="34">
        <f>IF(AND(in_mode_sale=0,AI$4&gt;T_Delivery,AI29&gt;0,N(in_fin_amortization_years)&gt;0),MIN(F_AmortPrincipal,AI29),0)</f>
        <v/>
      </c>
      <c r="AJ37" s="34">
        <f>IF(AND(in_mode_sale=0,AJ$4&gt;T_Delivery,AJ29&gt;0,N(in_fin_amortization_years)&gt;0),MIN(F_AmortPrincipal,AJ29),0)</f>
        <v/>
      </c>
      <c r="AK37" s="34">
        <f>IF(AND(in_mode_sale=0,AK$4&gt;T_Delivery,AK29&gt;0,N(in_fin_amortization_years)&gt;0),MIN(F_AmortPrincipal,AK29),0)</f>
        <v/>
      </c>
      <c r="AL37" s="34">
        <f>IF(AND(in_mode_sale=0,AL$4&gt;T_Delivery,AL29&gt;0,N(in_fin_amortization_years)&gt;0),MIN(F_AmortPrincipal,AL29),0)</f>
        <v/>
      </c>
      <c r="AM37" s="34">
        <f>IF(AND(in_mode_sale=0,AM$4&gt;T_Delivery,AM29&gt;0,N(in_fin_amortization_years)&gt;0),MIN(F_AmortPrincipal,AM29),0)</f>
        <v/>
      </c>
      <c r="AN37" s="34">
        <f>IF(AND(in_mode_sale=0,AN$4&gt;T_Delivery,AN29&gt;0,N(in_fin_amortization_years)&gt;0),MIN(F_AmortPrincipal,AN29),0)</f>
        <v/>
      </c>
      <c r="AO37" s="34">
        <f>IF(AND(in_mode_sale=0,AO$4&gt;T_Delivery,AO29&gt;0,N(in_fin_amortization_years)&gt;0),MIN(F_AmortPrincipal,AO29),0)</f>
        <v/>
      </c>
      <c r="AP37" s="34">
        <f>IF(AND(in_mode_sale=0,AP$4&gt;T_Delivery,AP29&gt;0,N(in_fin_amortization_years)&gt;0),MIN(F_AmortPrincipal,AP29),0)</f>
        <v/>
      </c>
      <c r="AQ37" s="34">
        <f>IF(AND(in_mode_sale=0,AQ$4&gt;T_Delivery,AQ29&gt;0,N(in_fin_amortization_years)&gt;0),MIN(F_AmortPrincipal,AQ29),0)</f>
        <v/>
      </c>
      <c r="AR37" s="34">
        <f>IF(AND(in_mode_sale=0,AR$4&gt;T_Delivery,AR29&gt;0,N(in_fin_amortization_years)&gt;0),MIN(F_AmortPrincipal,AR29),0)</f>
        <v/>
      </c>
      <c r="AS37" s="34">
        <f>IF(AND(in_mode_sale=0,AS$4&gt;T_Delivery,AS29&gt;0,N(in_fin_amortization_years)&gt;0),MIN(F_AmortPrincipal,AS29),0)</f>
        <v/>
      </c>
      <c r="AT37" s="34">
        <f>IF(AND(in_mode_sale=0,AT$4&gt;T_Delivery,AT29&gt;0,N(in_fin_amortization_years)&gt;0),MIN(F_AmortPrincipal,AT29),0)</f>
        <v/>
      </c>
      <c r="AU37" s="34">
        <f>IF(AND(in_mode_sale=0,AU$4&gt;T_Delivery,AU29&gt;0,N(in_fin_amortization_years)&gt;0),MIN(F_AmortPrincipal,AU29),0)</f>
        <v/>
      </c>
      <c r="AV37" s="34">
        <f>IF(AND(in_mode_sale=0,AV$4&gt;T_Delivery,AV29&gt;0,N(in_fin_amortization_years)&gt;0),MIN(F_AmortPrincipal,AV29),0)</f>
        <v/>
      </c>
      <c r="AW37" s="34">
        <f>IF(AND(in_mode_sale=0,AW$4&gt;T_Delivery,AW29&gt;0,N(in_fin_amortization_years)&gt;0),MIN(F_AmortPrincipal,AW29),0)</f>
        <v/>
      </c>
      <c r="AX37" s="34">
        <f>IF(AND(in_mode_sale=0,AX$4&gt;T_Delivery,AX29&gt;0,N(in_fin_amortization_years)&gt;0),MIN(F_AmortPrincipal,AX29),0)</f>
        <v/>
      </c>
      <c r="AY37" s="34">
        <f>IF(AND(in_mode_sale=0,AY$4&gt;T_Delivery,AY29&gt;0,N(in_fin_amortization_years)&gt;0),MIN(F_AmortPrincipal,AY29),0)</f>
        <v/>
      </c>
      <c r="AZ37" s="34">
        <f>IF(AND(in_mode_sale=0,AZ$4&gt;T_Delivery,AZ29&gt;0,N(in_fin_amortization_years)&gt;0),MIN(F_AmortPrincipal,AZ29),0)</f>
        <v/>
      </c>
      <c r="BA37" s="34">
        <f>IF(AND(in_mode_sale=0,BA$4&gt;T_Delivery,BA29&gt;0,N(in_fin_amortization_years)&gt;0),MIN(F_AmortPrincipal,BA29),0)</f>
        <v/>
      </c>
      <c r="BB37" s="34">
        <f>IF(AND(in_mode_sale=0,BB$4&gt;T_Delivery,BB29&gt;0,N(in_fin_amortization_years)&gt;0),MIN(F_AmortPrincipal,BB29),0)</f>
        <v/>
      </c>
      <c r="BC37" s="34">
        <f>IF(AND(in_mode_sale=0,BC$4&gt;T_Delivery,BC29&gt;0,N(in_fin_amortization_years)&gt;0),MIN(F_AmortPrincipal,BC29),0)</f>
        <v/>
      </c>
      <c r="BD37" s="34">
        <f>IF(AND(in_mode_sale=0,BD$4&gt;T_Delivery,BD29&gt;0,N(in_fin_amortization_years)&gt;0),MIN(F_AmortPrincipal,BD29),0)</f>
        <v/>
      </c>
      <c r="BE37" s="34">
        <f>IF(AND(in_mode_sale=0,BE$4&gt;T_Delivery,BE29&gt;0,N(in_fin_amortization_years)&gt;0),MIN(F_AmortPrincipal,BE29),0)</f>
        <v/>
      </c>
      <c r="BF37" s="34">
        <f>IF(AND(in_mode_sale=0,BF$4&gt;T_Delivery,BF29&gt;0,N(in_fin_amortization_years)&gt;0),MIN(F_AmortPrincipal,BF29),0)</f>
        <v/>
      </c>
      <c r="BG37" s="34">
        <f>IF(AND(in_mode_sale=0,BG$4&gt;T_Delivery,BG29&gt;0,N(in_fin_amortization_years)&gt;0),MIN(F_AmortPrincipal,BG29),0)</f>
        <v/>
      </c>
      <c r="BH37" s="34">
        <f>IF(AND(in_mode_sale=0,BH$4&gt;T_Delivery,BH29&gt;0,N(in_fin_amortization_years)&gt;0),MIN(F_AmortPrincipal,BH29),0)</f>
        <v/>
      </c>
      <c r="BI37" s="34">
        <f>IF(AND(in_mode_sale=0,BI$4&gt;T_Delivery,BI29&gt;0,N(in_fin_amortization_years)&gt;0),MIN(F_AmortPrincipal,BI29),0)</f>
        <v/>
      </c>
      <c r="BJ37" s="34">
        <f>IF(AND(in_mode_sale=0,BJ$4&gt;T_Delivery,BJ29&gt;0,N(in_fin_amortization_years)&gt;0),MIN(F_AmortPrincipal,BJ29),0)</f>
        <v/>
      </c>
      <c r="BK37" s="34">
        <f>IF(AND(in_mode_sale=0,BK$4&gt;T_Delivery,BK29&gt;0,N(in_fin_amortization_years)&gt;0),MIN(F_AmortPrincipal,BK29),0)</f>
        <v/>
      </c>
      <c r="BL37" s="34">
        <f>IF(AND(in_mode_sale=0,BL$4&gt;T_Delivery,BL29&gt;0,N(in_fin_amortization_years)&gt;0),MIN(F_AmortPrincipal,BL29),0)</f>
        <v/>
      </c>
      <c r="BM37" s="34">
        <f>IF(AND(in_mode_sale=0,BM$4&gt;T_Delivery,BM29&gt;0,N(in_fin_amortization_years)&gt;0),MIN(F_AmortPrincipal,BM29),0)</f>
        <v/>
      </c>
      <c r="BN37" s="34">
        <f>IF(AND(in_mode_sale=0,BN$4&gt;T_Delivery,BN29&gt;0,N(in_fin_amortization_years)&gt;0),MIN(F_AmortPrincipal,BN29),0)</f>
        <v/>
      </c>
      <c r="BO37" s="34">
        <f>IF(AND(in_mode_sale=0,BO$4&gt;T_Delivery,BO29&gt;0,N(in_fin_amortization_years)&gt;0),MIN(F_AmortPrincipal,BO29),0)</f>
        <v/>
      </c>
      <c r="BP37" s="34">
        <f>IF(AND(in_mode_sale=0,BP$4&gt;T_Delivery,BP29&gt;0,N(in_fin_amortization_years)&gt;0),MIN(F_AmortPrincipal,BP29),0)</f>
        <v/>
      </c>
      <c r="BQ37" s="34">
        <f>IF(AND(in_mode_sale=0,BQ$4&gt;T_Delivery,BQ29&gt;0,N(in_fin_amortization_years)&gt;0),MIN(F_AmortPrincipal,BQ29),0)</f>
        <v/>
      </c>
      <c r="BR37" s="34">
        <f>IF(AND(in_mode_sale=0,BR$4&gt;T_Delivery,BR29&gt;0,N(in_fin_amortization_years)&gt;0),MIN(F_AmortPrincipal,BR29),0)</f>
        <v/>
      </c>
      <c r="BS37" s="34">
        <f>IF(AND(in_mode_sale=0,BS$4&gt;T_Delivery,BS29&gt;0,N(in_fin_amortization_years)&gt;0),MIN(F_AmortPrincipal,BS29),0)</f>
        <v/>
      </c>
      <c r="BT37" s="34">
        <f>IF(AND(in_mode_sale=0,BT$4&gt;T_Delivery,BT29&gt;0,N(in_fin_amortization_years)&gt;0),MIN(F_AmortPrincipal,BT29),0)</f>
        <v/>
      </c>
      <c r="BU37" s="34">
        <f>IF(AND(in_mode_sale=0,BU$4&gt;T_Delivery,BU29&gt;0,N(in_fin_amortization_years)&gt;0),MIN(F_AmortPrincipal,BU29),0)</f>
        <v/>
      </c>
      <c r="BV37" s="34">
        <f>IF(AND(in_mode_sale=0,BV$4&gt;T_Delivery,BV29&gt;0,N(in_fin_amortization_years)&gt;0),MIN(F_AmortPrincipal,BV29),0)</f>
        <v/>
      </c>
      <c r="BW37" s="34">
        <f>IF(AND(in_mode_sale=0,BW$4&gt;T_Delivery,BW29&gt;0,N(in_fin_amortization_years)&gt;0),MIN(F_AmortPrincipal,BW29),0)</f>
        <v/>
      </c>
      <c r="BX37" s="34">
        <f>IF(AND(in_mode_sale=0,BX$4&gt;T_Delivery,BX29&gt;0,N(in_fin_amortization_years)&gt;0),MIN(F_AmortPrincipal,BX29),0)</f>
        <v/>
      </c>
      <c r="BY37" s="34">
        <f>IF(AND(in_mode_sale=0,BY$4&gt;T_Delivery,BY29&gt;0,N(in_fin_amortization_years)&gt;0),MIN(F_AmortPrincipal,BY29),0)</f>
        <v/>
      </c>
      <c r="BZ37" s="34">
        <f>IF(AND(in_mode_sale=0,BZ$4&gt;T_Delivery,BZ29&gt;0,N(in_fin_amortization_years)&gt;0),MIN(F_AmortPrincipal,BZ29),0)</f>
        <v/>
      </c>
      <c r="CA37" s="34">
        <f>IF(AND(in_mode_sale=0,CA$4&gt;T_Delivery,CA29&gt;0,N(in_fin_amortization_years)&gt;0),MIN(F_AmortPrincipal,CA29),0)</f>
        <v/>
      </c>
      <c r="CB37" s="34">
        <f>IF(AND(in_mode_sale=0,CB$4&gt;T_Delivery,CB29&gt;0,N(in_fin_amortization_years)&gt;0),MIN(F_AmortPrincipal,CB29),0)</f>
        <v/>
      </c>
      <c r="CC37" s="34">
        <f>IF(AND(in_mode_sale=0,CC$4&gt;T_Delivery,CC29&gt;0,N(in_fin_amortization_years)&gt;0),MIN(F_AmortPrincipal,CC29),0)</f>
        <v/>
      </c>
      <c r="CD37" s="34">
        <f>IF(AND(in_mode_sale=0,CD$4&gt;T_Delivery,CD29&gt;0,N(in_fin_amortization_years)&gt;0),MIN(F_AmortPrincipal,CD29),0)</f>
        <v/>
      </c>
      <c r="CE37" s="34">
        <f>IF(AND(in_mode_sale=0,CE$4&gt;T_Delivery,CE29&gt;0,N(in_fin_amortization_years)&gt;0),MIN(F_AmortPrincipal,CE29),0)</f>
        <v/>
      </c>
      <c r="CF37" s="34">
        <f>IF(AND(in_mode_sale=0,CF$4&gt;T_Delivery,CF29&gt;0,N(in_fin_amortization_years)&gt;0),MIN(F_AmortPrincipal,CF29),0)</f>
        <v/>
      </c>
      <c r="CG37" s="34">
        <f>IF(AND(in_mode_sale=0,CG$4&gt;T_Delivery,CG29&gt;0,N(in_fin_amortization_years)&gt;0),MIN(F_AmortPrincipal,CG29),0)</f>
        <v/>
      </c>
      <c r="CH37" s="34">
        <f>IF(AND(in_mode_sale=0,CH$4&gt;T_Delivery,CH29&gt;0,N(in_fin_amortization_years)&gt;0),MIN(F_AmortPrincipal,CH29),0)</f>
        <v/>
      </c>
      <c r="CI37" s="34">
        <f>IF(AND(in_mode_sale=0,CI$4&gt;T_Delivery,CI29&gt;0,N(in_fin_amortization_years)&gt;0),MIN(F_AmortPrincipal,CI29),0)</f>
        <v/>
      </c>
      <c r="CJ37" s="34">
        <f>IF(AND(in_mode_sale=0,CJ$4&gt;T_Delivery,CJ29&gt;0,N(in_fin_amortization_years)&gt;0),MIN(F_AmortPrincipal,CJ29),0)</f>
        <v/>
      </c>
      <c r="CK37" s="34">
        <f>IF(AND(in_mode_sale=0,CK$4&gt;T_Delivery,CK29&gt;0,N(in_fin_amortization_years)&gt;0),MIN(F_AmortPrincipal,CK29),0)</f>
        <v/>
      </c>
      <c r="CL37" s="34">
        <f>IF(AND(in_mode_sale=0,CL$4&gt;T_Delivery,CL29&gt;0,N(in_fin_amortization_years)&gt;0),MIN(F_AmortPrincipal,CL29),0)</f>
        <v/>
      </c>
      <c r="CM37" s="34">
        <f>IF(AND(in_mode_sale=0,CM$4&gt;T_Delivery,CM29&gt;0,N(in_fin_amortization_years)&gt;0),MIN(F_AmortPrincipal,CM29),0)</f>
        <v/>
      </c>
      <c r="CN37" s="34">
        <f>IF(AND(in_mode_sale=0,CN$4&gt;T_Delivery,CN29&gt;0,N(in_fin_amortization_years)&gt;0),MIN(F_AmortPrincipal,CN29),0)</f>
        <v/>
      </c>
      <c r="CO37" s="34">
        <f>IF(AND(in_mode_sale=0,CO$4&gt;T_Delivery,CO29&gt;0,N(in_fin_amortization_years)&gt;0),MIN(F_AmortPrincipal,CO29),0)</f>
        <v/>
      </c>
      <c r="CP37" s="34">
        <f>IF(AND(in_mode_sale=0,CP$4&gt;T_Delivery,CP29&gt;0,N(in_fin_amortization_years)&gt;0),MIN(F_AmortPrincipal,CP29),0)</f>
        <v/>
      </c>
      <c r="CQ37" s="34">
        <f>IF(AND(in_mode_sale=0,CQ$4&gt;T_Delivery,CQ29&gt;0,N(in_fin_amortization_years)&gt;0),MIN(F_AmortPrincipal,CQ29),0)</f>
        <v/>
      </c>
      <c r="CR37" s="34">
        <f>IF(AND(in_mode_sale=0,CR$4&gt;T_Delivery,CR29&gt;0,N(in_fin_amortization_years)&gt;0),MIN(F_AmortPrincipal,CR29),0)</f>
        <v/>
      </c>
      <c r="CS37" s="34">
        <f>IF(AND(in_mode_sale=0,CS$4&gt;T_Delivery,CS29&gt;0,N(in_fin_amortization_years)&gt;0),MIN(F_AmortPrincipal,CS29),0)</f>
        <v/>
      </c>
      <c r="CT37" s="34">
        <f>IF(AND(in_mode_sale=0,CT$4&gt;T_Delivery,CT29&gt;0,N(in_fin_amortization_years)&gt;0),MIN(F_AmortPrincipal,CT29),0)</f>
        <v/>
      </c>
      <c r="CU37" s="34">
        <f>IF(AND(in_mode_sale=0,CU$4&gt;T_Delivery,CU29&gt;0,N(in_fin_amortization_years)&gt;0),MIN(F_AmortPrincipal,CU29),0)</f>
        <v/>
      </c>
    </row>
    <row r="38">
      <c r="A38" s="7" t="inlineStr">
        <is>
          <t>Funding need (+) / surplus (−)</t>
        </is>
      </c>
      <c r="B38" s="1" t="n"/>
      <c r="C38" s="11" t="inlineStr"/>
      <c r="D38" s="34">
        <f>D22-D25+D33+D36+D37</f>
        <v/>
      </c>
      <c r="E38" s="34">
        <f>E22-E25+E33+E36+E37</f>
        <v/>
      </c>
      <c r="F38" s="34">
        <f>F22-F25+F33+F36+F37</f>
        <v/>
      </c>
      <c r="G38" s="34">
        <f>G22-G25+G33+G36+G37</f>
        <v/>
      </c>
      <c r="H38" s="34">
        <f>H22-H25+H33+H36+H37</f>
        <v/>
      </c>
      <c r="I38" s="34">
        <f>I22-I25+I33+I36+I37</f>
        <v/>
      </c>
      <c r="J38" s="34">
        <f>J22-J25+J33+J36+J37</f>
        <v/>
      </c>
      <c r="K38" s="34">
        <f>K22-K25+K33+K36+K37</f>
        <v/>
      </c>
      <c r="L38" s="34">
        <f>L22-L25+L33+L36+L37</f>
        <v/>
      </c>
      <c r="M38" s="34">
        <f>M22-M25+M33+M36+M37</f>
        <v/>
      </c>
      <c r="N38" s="34">
        <f>N22-N25+N33+N36+N37</f>
        <v/>
      </c>
      <c r="O38" s="34">
        <f>O22-O25+O33+O36+O37</f>
        <v/>
      </c>
      <c r="P38" s="34">
        <f>P22-P25+P33+P36+P37</f>
        <v/>
      </c>
      <c r="Q38" s="34">
        <f>Q22-Q25+Q33+Q36+Q37</f>
        <v/>
      </c>
      <c r="R38" s="34">
        <f>R22-R25+R33+R36+R37</f>
        <v/>
      </c>
      <c r="S38" s="34">
        <f>S22-S25+S33+S36+S37</f>
        <v/>
      </c>
      <c r="T38" s="34">
        <f>T22-T25+T33+T36+T37</f>
        <v/>
      </c>
      <c r="U38" s="34">
        <f>U22-U25+U33+U36+U37</f>
        <v/>
      </c>
      <c r="V38" s="34">
        <f>V22-V25+V33+V36+V37</f>
        <v/>
      </c>
      <c r="W38" s="34">
        <f>W22-W25+W33+W36+W37</f>
        <v/>
      </c>
      <c r="X38" s="34">
        <f>X22-X25+X33+X36+X37</f>
        <v/>
      </c>
      <c r="Y38" s="34">
        <f>Y22-Y25+Y33+Y36+Y37</f>
        <v/>
      </c>
      <c r="Z38" s="34">
        <f>Z22-Z25+Z33+Z36+Z37</f>
        <v/>
      </c>
      <c r="AA38" s="34">
        <f>AA22-AA25+AA33+AA36+AA37</f>
        <v/>
      </c>
      <c r="AB38" s="34">
        <f>AB22-AB25+AB33+AB36+AB37</f>
        <v/>
      </c>
      <c r="AC38" s="34">
        <f>AC22-AC25+AC33+AC36+AC37</f>
        <v/>
      </c>
      <c r="AD38" s="34">
        <f>AD22-AD25+AD33+AD36+AD37</f>
        <v/>
      </c>
      <c r="AE38" s="34">
        <f>AE22-AE25+AE33+AE36+AE37</f>
        <v/>
      </c>
      <c r="AF38" s="34">
        <f>AF22-AF25+AF33+AF36+AF37</f>
        <v/>
      </c>
      <c r="AG38" s="34">
        <f>AG22-AG25+AG33+AG36+AG37</f>
        <v/>
      </c>
      <c r="AH38" s="34">
        <f>AH22-AH25+AH33+AH36+AH37</f>
        <v/>
      </c>
      <c r="AI38" s="34">
        <f>AI22-AI25+AI33+AI36+AI37</f>
        <v/>
      </c>
      <c r="AJ38" s="34">
        <f>AJ22-AJ25+AJ33+AJ36+AJ37</f>
        <v/>
      </c>
      <c r="AK38" s="34">
        <f>AK22-AK25+AK33+AK36+AK37</f>
        <v/>
      </c>
      <c r="AL38" s="34">
        <f>AL22-AL25+AL33+AL36+AL37</f>
        <v/>
      </c>
      <c r="AM38" s="34">
        <f>AM22-AM25+AM33+AM36+AM37</f>
        <v/>
      </c>
      <c r="AN38" s="34">
        <f>AN22-AN25+AN33+AN36+AN37</f>
        <v/>
      </c>
      <c r="AO38" s="34">
        <f>AO22-AO25+AO33+AO36+AO37</f>
        <v/>
      </c>
      <c r="AP38" s="34">
        <f>AP22-AP25+AP33+AP36+AP37</f>
        <v/>
      </c>
      <c r="AQ38" s="34">
        <f>AQ22-AQ25+AQ33+AQ36+AQ37</f>
        <v/>
      </c>
      <c r="AR38" s="34">
        <f>AR22-AR25+AR33+AR36+AR37</f>
        <v/>
      </c>
      <c r="AS38" s="34">
        <f>AS22-AS25+AS33+AS36+AS37</f>
        <v/>
      </c>
      <c r="AT38" s="34">
        <f>AT22-AT25+AT33+AT36+AT37</f>
        <v/>
      </c>
      <c r="AU38" s="34">
        <f>AU22-AU25+AU33+AU36+AU37</f>
        <v/>
      </c>
      <c r="AV38" s="34">
        <f>AV22-AV25+AV33+AV36+AV37</f>
        <v/>
      </c>
      <c r="AW38" s="34">
        <f>AW22-AW25+AW33+AW36+AW37</f>
        <v/>
      </c>
      <c r="AX38" s="34">
        <f>AX22-AX25+AX33+AX36+AX37</f>
        <v/>
      </c>
      <c r="AY38" s="34">
        <f>AY22-AY25+AY33+AY36+AY37</f>
        <v/>
      </c>
      <c r="AZ38" s="34">
        <f>AZ22-AZ25+AZ33+AZ36+AZ37</f>
        <v/>
      </c>
      <c r="BA38" s="34">
        <f>BA22-BA25+BA33+BA36+BA37</f>
        <v/>
      </c>
      <c r="BB38" s="34">
        <f>BB22-BB25+BB33+BB36+BB37</f>
        <v/>
      </c>
      <c r="BC38" s="34">
        <f>BC22-BC25+BC33+BC36+BC37</f>
        <v/>
      </c>
      <c r="BD38" s="34">
        <f>BD22-BD25+BD33+BD36+BD37</f>
        <v/>
      </c>
      <c r="BE38" s="34">
        <f>BE22-BE25+BE33+BE36+BE37</f>
        <v/>
      </c>
      <c r="BF38" s="34">
        <f>BF22-BF25+BF33+BF36+BF37</f>
        <v/>
      </c>
      <c r="BG38" s="34">
        <f>BG22-BG25+BG33+BG36+BG37</f>
        <v/>
      </c>
      <c r="BH38" s="34">
        <f>BH22-BH25+BH33+BH36+BH37</f>
        <v/>
      </c>
      <c r="BI38" s="34">
        <f>BI22-BI25+BI33+BI36+BI37</f>
        <v/>
      </c>
      <c r="BJ38" s="34">
        <f>BJ22-BJ25+BJ33+BJ36+BJ37</f>
        <v/>
      </c>
      <c r="BK38" s="34">
        <f>BK22-BK25+BK33+BK36+BK37</f>
        <v/>
      </c>
      <c r="BL38" s="34">
        <f>BL22-BL25+BL33+BL36+BL37</f>
        <v/>
      </c>
      <c r="BM38" s="34">
        <f>BM22-BM25+BM33+BM36+BM37</f>
        <v/>
      </c>
      <c r="BN38" s="34">
        <f>BN22-BN25+BN33+BN36+BN37</f>
        <v/>
      </c>
      <c r="BO38" s="34">
        <f>BO22-BO25+BO33+BO36+BO37</f>
        <v/>
      </c>
      <c r="BP38" s="34">
        <f>BP22-BP25+BP33+BP36+BP37</f>
        <v/>
      </c>
      <c r="BQ38" s="34">
        <f>BQ22-BQ25+BQ33+BQ36+BQ37</f>
        <v/>
      </c>
      <c r="BR38" s="34">
        <f>BR22-BR25+BR33+BR36+BR37</f>
        <v/>
      </c>
      <c r="BS38" s="34">
        <f>BS22-BS25+BS33+BS36+BS37</f>
        <v/>
      </c>
      <c r="BT38" s="34">
        <f>BT22-BT25+BT33+BT36+BT37</f>
        <v/>
      </c>
      <c r="BU38" s="34">
        <f>BU22-BU25+BU33+BU36+BU37</f>
        <v/>
      </c>
      <c r="BV38" s="34">
        <f>BV22-BV25+BV33+BV36+BV37</f>
        <v/>
      </c>
      <c r="BW38" s="34">
        <f>BW22-BW25+BW33+BW36+BW37</f>
        <v/>
      </c>
      <c r="BX38" s="34">
        <f>BX22-BX25+BX33+BX36+BX37</f>
        <v/>
      </c>
      <c r="BY38" s="34">
        <f>BY22-BY25+BY33+BY36+BY37</f>
        <v/>
      </c>
      <c r="BZ38" s="34">
        <f>BZ22-BZ25+BZ33+BZ36+BZ37</f>
        <v/>
      </c>
      <c r="CA38" s="34">
        <f>CA22-CA25+CA33+CA36+CA37</f>
        <v/>
      </c>
      <c r="CB38" s="34">
        <f>CB22-CB25+CB33+CB36+CB37</f>
        <v/>
      </c>
      <c r="CC38" s="34">
        <f>CC22-CC25+CC33+CC36+CC37</f>
        <v/>
      </c>
      <c r="CD38" s="34">
        <f>CD22-CD25+CD33+CD36+CD37</f>
        <v/>
      </c>
      <c r="CE38" s="34">
        <f>CE22-CE25+CE33+CE36+CE37</f>
        <v/>
      </c>
      <c r="CF38" s="34">
        <f>CF22-CF25+CF33+CF36+CF37</f>
        <v/>
      </c>
      <c r="CG38" s="34">
        <f>CG22-CG25+CG33+CG36+CG37</f>
        <v/>
      </c>
      <c r="CH38" s="34">
        <f>CH22-CH25+CH33+CH36+CH37</f>
        <v/>
      </c>
      <c r="CI38" s="34">
        <f>CI22-CI25+CI33+CI36+CI37</f>
        <v/>
      </c>
      <c r="CJ38" s="34">
        <f>CJ22-CJ25+CJ33+CJ36+CJ37</f>
        <v/>
      </c>
      <c r="CK38" s="34">
        <f>CK22-CK25+CK33+CK36+CK37</f>
        <v/>
      </c>
      <c r="CL38" s="34">
        <f>CL22-CL25+CL33+CL36+CL37</f>
        <v/>
      </c>
      <c r="CM38" s="34">
        <f>CM22-CM25+CM33+CM36+CM37</f>
        <v/>
      </c>
      <c r="CN38" s="34">
        <f>CN22-CN25+CN33+CN36+CN37</f>
        <v/>
      </c>
      <c r="CO38" s="34">
        <f>CO22-CO25+CO33+CO36+CO37</f>
        <v/>
      </c>
      <c r="CP38" s="34">
        <f>CP22-CP25+CP33+CP36+CP37</f>
        <v/>
      </c>
      <c r="CQ38" s="34">
        <f>CQ22-CQ25+CQ33+CQ36+CQ37</f>
        <v/>
      </c>
      <c r="CR38" s="34">
        <f>CR22-CR25+CR33+CR36+CR37</f>
        <v/>
      </c>
      <c r="CS38" s="34">
        <f>CS22-CS25+CS33+CS36+CS37</f>
        <v/>
      </c>
      <c r="CT38" s="34">
        <f>CT22-CT25+CT33+CT36+CT37</f>
        <v/>
      </c>
      <c r="CU38" s="34">
        <f>CU22-CU25+CU33+CU36+CU37</f>
        <v/>
      </c>
    </row>
    <row r="39">
      <c r="A39" s="7" t="inlineStr">
        <is>
          <t>Project cash reserve: opening</t>
        </is>
      </c>
      <c r="B39" s="1" t="n"/>
      <c r="C39" s="11" t="inlineStr"/>
      <c r="D39" s="34">
        <f>0</f>
        <v/>
      </c>
      <c r="E39" s="34">
        <f>D55</f>
        <v/>
      </c>
      <c r="F39" s="34">
        <f>E55</f>
        <v/>
      </c>
      <c r="G39" s="34">
        <f>F55</f>
        <v/>
      </c>
      <c r="H39" s="34">
        <f>G55</f>
        <v/>
      </c>
      <c r="I39" s="34">
        <f>H55</f>
        <v/>
      </c>
      <c r="J39" s="34">
        <f>I55</f>
        <v/>
      </c>
      <c r="K39" s="34">
        <f>J55</f>
        <v/>
      </c>
      <c r="L39" s="34">
        <f>K55</f>
        <v/>
      </c>
      <c r="M39" s="34">
        <f>L55</f>
        <v/>
      </c>
      <c r="N39" s="34">
        <f>M55</f>
        <v/>
      </c>
      <c r="O39" s="34">
        <f>N55</f>
        <v/>
      </c>
      <c r="P39" s="34">
        <f>O55</f>
        <v/>
      </c>
      <c r="Q39" s="34">
        <f>P55</f>
        <v/>
      </c>
      <c r="R39" s="34">
        <f>Q55</f>
        <v/>
      </c>
      <c r="S39" s="34">
        <f>R55</f>
        <v/>
      </c>
      <c r="T39" s="34">
        <f>S55</f>
        <v/>
      </c>
      <c r="U39" s="34">
        <f>T55</f>
        <v/>
      </c>
      <c r="V39" s="34">
        <f>U55</f>
        <v/>
      </c>
      <c r="W39" s="34">
        <f>V55</f>
        <v/>
      </c>
      <c r="X39" s="34">
        <f>W55</f>
        <v/>
      </c>
      <c r="Y39" s="34">
        <f>X55</f>
        <v/>
      </c>
      <c r="Z39" s="34">
        <f>Y55</f>
        <v/>
      </c>
      <c r="AA39" s="34">
        <f>Z55</f>
        <v/>
      </c>
      <c r="AB39" s="34">
        <f>AA55</f>
        <v/>
      </c>
      <c r="AC39" s="34">
        <f>AB55</f>
        <v/>
      </c>
      <c r="AD39" s="34">
        <f>AC55</f>
        <v/>
      </c>
      <c r="AE39" s="34">
        <f>AD55</f>
        <v/>
      </c>
      <c r="AF39" s="34">
        <f>AE55</f>
        <v/>
      </c>
      <c r="AG39" s="34">
        <f>AF55</f>
        <v/>
      </c>
      <c r="AH39" s="34">
        <f>AG55</f>
        <v/>
      </c>
      <c r="AI39" s="34">
        <f>AH55</f>
        <v/>
      </c>
      <c r="AJ39" s="34">
        <f>AI55</f>
        <v/>
      </c>
      <c r="AK39" s="34">
        <f>AJ55</f>
        <v/>
      </c>
      <c r="AL39" s="34">
        <f>AK55</f>
        <v/>
      </c>
      <c r="AM39" s="34">
        <f>AL55</f>
        <v/>
      </c>
      <c r="AN39" s="34">
        <f>AM55</f>
        <v/>
      </c>
      <c r="AO39" s="34">
        <f>AN55</f>
        <v/>
      </c>
      <c r="AP39" s="34">
        <f>AO55</f>
        <v/>
      </c>
      <c r="AQ39" s="34">
        <f>AP55</f>
        <v/>
      </c>
      <c r="AR39" s="34">
        <f>AQ55</f>
        <v/>
      </c>
      <c r="AS39" s="34">
        <f>AR55</f>
        <v/>
      </c>
      <c r="AT39" s="34">
        <f>AS55</f>
        <v/>
      </c>
      <c r="AU39" s="34">
        <f>AT55</f>
        <v/>
      </c>
      <c r="AV39" s="34">
        <f>AU55</f>
        <v/>
      </c>
      <c r="AW39" s="34">
        <f>AV55</f>
        <v/>
      </c>
      <c r="AX39" s="34">
        <f>AW55</f>
        <v/>
      </c>
      <c r="AY39" s="34">
        <f>AX55</f>
        <v/>
      </c>
      <c r="AZ39" s="34">
        <f>AY55</f>
        <v/>
      </c>
      <c r="BA39" s="34">
        <f>AZ55</f>
        <v/>
      </c>
      <c r="BB39" s="34">
        <f>BA55</f>
        <v/>
      </c>
      <c r="BC39" s="34">
        <f>BB55</f>
        <v/>
      </c>
      <c r="BD39" s="34">
        <f>BC55</f>
        <v/>
      </c>
      <c r="BE39" s="34">
        <f>BD55</f>
        <v/>
      </c>
      <c r="BF39" s="34">
        <f>BE55</f>
        <v/>
      </c>
      <c r="BG39" s="34">
        <f>BF55</f>
        <v/>
      </c>
      <c r="BH39" s="34">
        <f>BG55</f>
        <v/>
      </c>
      <c r="BI39" s="34">
        <f>BH55</f>
        <v/>
      </c>
      <c r="BJ39" s="34">
        <f>BI55</f>
        <v/>
      </c>
      <c r="BK39" s="34">
        <f>BJ55</f>
        <v/>
      </c>
      <c r="BL39" s="34">
        <f>BK55</f>
        <v/>
      </c>
      <c r="BM39" s="34">
        <f>BL55</f>
        <v/>
      </c>
      <c r="BN39" s="34">
        <f>BM55</f>
        <v/>
      </c>
      <c r="BO39" s="34">
        <f>BN55</f>
        <v/>
      </c>
      <c r="BP39" s="34">
        <f>BO55</f>
        <v/>
      </c>
      <c r="BQ39" s="34">
        <f>BP55</f>
        <v/>
      </c>
      <c r="BR39" s="34">
        <f>BQ55</f>
        <v/>
      </c>
      <c r="BS39" s="34">
        <f>BR55</f>
        <v/>
      </c>
      <c r="BT39" s="34">
        <f>BS55</f>
        <v/>
      </c>
      <c r="BU39" s="34">
        <f>BT55</f>
        <v/>
      </c>
      <c r="BV39" s="34">
        <f>BU55</f>
        <v/>
      </c>
      <c r="BW39" s="34">
        <f>BV55</f>
        <v/>
      </c>
      <c r="BX39" s="34">
        <f>BW55</f>
        <v/>
      </c>
      <c r="BY39" s="34">
        <f>BX55</f>
        <v/>
      </c>
      <c r="BZ39" s="34">
        <f>BY55</f>
        <v/>
      </c>
      <c r="CA39" s="34">
        <f>BZ55</f>
        <v/>
      </c>
      <c r="CB39" s="34">
        <f>CA55</f>
        <v/>
      </c>
      <c r="CC39" s="34">
        <f>CB55</f>
        <v/>
      </c>
      <c r="CD39" s="34">
        <f>CC55</f>
        <v/>
      </c>
      <c r="CE39" s="34">
        <f>CD55</f>
        <v/>
      </c>
      <c r="CF39" s="34">
        <f>CE55</f>
        <v/>
      </c>
      <c r="CG39" s="34">
        <f>CF55</f>
        <v/>
      </c>
      <c r="CH39" s="34">
        <f>CG55</f>
        <v/>
      </c>
      <c r="CI39" s="34">
        <f>CH55</f>
        <v/>
      </c>
      <c r="CJ39" s="34">
        <f>CI55</f>
        <v/>
      </c>
      <c r="CK39" s="34">
        <f>CJ55</f>
        <v/>
      </c>
      <c r="CL39" s="34">
        <f>CK55</f>
        <v/>
      </c>
      <c r="CM39" s="34">
        <f>CL55</f>
        <v/>
      </c>
      <c r="CN39" s="34">
        <f>CM55</f>
        <v/>
      </c>
      <c r="CO39" s="34">
        <f>CN55</f>
        <v/>
      </c>
      <c r="CP39" s="34">
        <f>CO55</f>
        <v/>
      </c>
      <c r="CQ39" s="34">
        <f>CP55</f>
        <v/>
      </c>
      <c r="CR39" s="34">
        <f>CQ55</f>
        <v/>
      </c>
      <c r="CS39" s="34">
        <f>CR55</f>
        <v/>
      </c>
      <c r="CT39" s="34">
        <f>CS55</f>
        <v/>
      </c>
      <c r="CU39" s="34">
        <f>CT55</f>
        <v/>
      </c>
    </row>
    <row r="40">
      <c r="A40" s="7" t="inlineStr">
        <is>
          <t>Deficit paid from reserve</t>
        </is>
      </c>
      <c r="B40" s="21">
        <f>SUM(D40:CU40)</f>
        <v/>
      </c>
      <c r="C40" s="11" t="inlineStr"/>
      <c r="D40" s="34">
        <f>MIN(D39,MAX(D38,0))</f>
        <v/>
      </c>
      <c r="E40" s="34">
        <f>MIN(E39,MAX(E38,0))</f>
        <v/>
      </c>
      <c r="F40" s="34">
        <f>MIN(F39,MAX(F38,0))</f>
        <v/>
      </c>
      <c r="G40" s="34">
        <f>MIN(G39,MAX(G38,0))</f>
        <v/>
      </c>
      <c r="H40" s="34">
        <f>MIN(H39,MAX(H38,0))</f>
        <v/>
      </c>
      <c r="I40" s="34">
        <f>MIN(I39,MAX(I38,0))</f>
        <v/>
      </c>
      <c r="J40" s="34">
        <f>MIN(J39,MAX(J38,0))</f>
        <v/>
      </c>
      <c r="K40" s="34">
        <f>MIN(K39,MAX(K38,0))</f>
        <v/>
      </c>
      <c r="L40" s="34">
        <f>MIN(L39,MAX(L38,0))</f>
        <v/>
      </c>
      <c r="M40" s="34">
        <f>MIN(M39,MAX(M38,0))</f>
        <v/>
      </c>
      <c r="N40" s="34">
        <f>MIN(N39,MAX(N38,0))</f>
        <v/>
      </c>
      <c r="O40" s="34">
        <f>MIN(O39,MAX(O38,0))</f>
        <v/>
      </c>
      <c r="P40" s="34">
        <f>MIN(P39,MAX(P38,0))</f>
        <v/>
      </c>
      <c r="Q40" s="34">
        <f>MIN(Q39,MAX(Q38,0))</f>
        <v/>
      </c>
      <c r="R40" s="34">
        <f>MIN(R39,MAX(R38,0))</f>
        <v/>
      </c>
      <c r="S40" s="34">
        <f>MIN(S39,MAX(S38,0))</f>
        <v/>
      </c>
      <c r="T40" s="34">
        <f>MIN(T39,MAX(T38,0))</f>
        <v/>
      </c>
      <c r="U40" s="34">
        <f>MIN(U39,MAX(U38,0))</f>
        <v/>
      </c>
      <c r="V40" s="34">
        <f>MIN(V39,MAX(V38,0))</f>
        <v/>
      </c>
      <c r="W40" s="34">
        <f>MIN(W39,MAX(W38,0))</f>
        <v/>
      </c>
      <c r="X40" s="34">
        <f>MIN(X39,MAX(X38,0))</f>
        <v/>
      </c>
      <c r="Y40" s="34">
        <f>MIN(Y39,MAX(Y38,0))</f>
        <v/>
      </c>
      <c r="Z40" s="34">
        <f>MIN(Z39,MAX(Z38,0))</f>
        <v/>
      </c>
      <c r="AA40" s="34">
        <f>MIN(AA39,MAX(AA38,0))</f>
        <v/>
      </c>
      <c r="AB40" s="34">
        <f>MIN(AB39,MAX(AB38,0))</f>
        <v/>
      </c>
      <c r="AC40" s="34">
        <f>MIN(AC39,MAX(AC38,0))</f>
        <v/>
      </c>
      <c r="AD40" s="34">
        <f>MIN(AD39,MAX(AD38,0))</f>
        <v/>
      </c>
      <c r="AE40" s="34">
        <f>MIN(AE39,MAX(AE38,0))</f>
        <v/>
      </c>
      <c r="AF40" s="34">
        <f>MIN(AF39,MAX(AF38,0))</f>
        <v/>
      </c>
      <c r="AG40" s="34">
        <f>MIN(AG39,MAX(AG38,0))</f>
        <v/>
      </c>
      <c r="AH40" s="34">
        <f>MIN(AH39,MAX(AH38,0))</f>
        <v/>
      </c>
      <c r="AI40" s="34">
        <f>MIN(AI39,MAX(AI38,0))</f>
        <v/>
      </c>
      <c r="AJ40" s="34">
        <f>MIN(AJ39,MAX(AJ38,0))</f>
        <v/>
      </c>
      <c r="AK40" s="34">
        <f>MIN(AK39,MAX(AK38,0))</f>
        <v/>
      </c>
      <c r="AL40" s="34">
        <f>MIN(AL39,MAX(AL38,0))</f>
        <v/>
      </c>
      <c r="AM40" s="34">
        <f>MIN(AM39,MAX(AM38,0))</f>
        <v/>
      </c>
      <c r="AN40" s="34">
        <f>MIN(AN39,MAX(AN38,0))</f>
        <v/>
      </c>
      <c r="AO40" s="34">
        <f>MIN(AO39,MAX(AO38,0))</f>
        <v/>
      </c>
      <c r="AP40" s="34">
        <f>MIN(AP39,MAX(AP38,0))</f>
        <v/>
      </c>
      <c r="AQ40" s="34">
        <f>MIN(AQ39,MAX(AQ38,0))</f>
        <v/>
      </c>
      <c r="AR40" s="34">
        <f>MIN(AR39,MAX(AR38,0))</f>
        <v/>
      </c>
      <c r="AS40" s="34">
        <f>MIN(AS39,MAX(AS38,0))</f>
        <v/>
      </c>
      <c r="AT40" s="34">
        <f>MIN(AT39,MAX(AT38,0))</f>
        <v/>
      </c>
      <c r="AU40" s="34">
        <f>MIN(AU39,MAX(AU38,0))</f>
        <v/>
      </c>
      <c r="AV40" s="34">
        <f>MIN(AV39,MAX(AV38,0))</f>
        <v/>
      </c>
      <c r="AW40" s="34">
        <f>MIN(AW39,MAX(AW38,0))</f>
        <v/>
      </c>
      <c r="AX40" s="34">
        <f>MIN(AX39,MAX(AX38,0))</f>
        <v/>
      </c>
      <c r="AY40" s="34">
        <f>MIN(AY39,MAX(AY38,0))</f>
        <v/>
      </c>
      <c r="AZ40" s="34">
        <f>MIN(AZ39,MAX(AZ38,0))</f>
        <v/>
      </c>
      <c r="BA40" s="34">
        <f>MIN(BA39,MAX(BA38,0))</f>
        <v/>
      </c>
      <c r="BB40" s="34">
        <f>MIN(BB39,MAX(BB38,0))</f>
        <v/>
      </c>
      <c r="BC40" s="34">
        <f>MIN(BC39,MAX(BC38,0))</f>
        <v/>
      </c>
      <c r="BD40" s="34">
        <f>MIN(BD39,MAX(BD38,0))</f>
        <v/>
      </c>
      <c r="BE40" s="34">
        <f>MIN(BE39,MAX(BE38,0))</f>
        <v/>
      </c>
      <c r="BF40" s="34">
        <f>MIN(BF39,MAX(BF38,0))</f>
        <v/>
      </c>
      <c r="BG40" s="34">
        <f>MIN(BG39,MAX(BG38,0))</f>
        <v/>
      </c>
      <c r="BH40" s="34">
        <f>MIN(BH39,MAX(BH38,0))</f>
        <v/>
      </c>
      <c r="BI40" s="34">
        <f>MIN(BI39,MAX(BI38,0))</f>
        <v/>
      </c>
      <c r="BJ40" s="34">
        <f>MIN(BJ39,MAX(BJ38,0))</f>
        <v/>
      </c>
      <c r="BK40" s="34">
        <f>MIN(BK39,MAX(BK38,0))</f>
        <v/>
      </c>
      <c r="BL40" s="34">
        <f>MIN(BL39,MAX(BL38,0))</f>
        <v/>
      </c>
      <c r="BM40" s="34">
        <f>MIN(BM39,MAX(BM38,0))</f>
        <v/>
      </c>
      <c r="BN40" s="34">
        <f>MIN(BN39,MAX(BN38,0))</f>
        <v/>
      </c>
      <c r="BO40" s="34">
        <f>MIN(BO39,MAX(BO38,0))</f>
        <v/>
      </c>
      <c r="BP40" s="34">
        <f>MIN(BP39,MAX(BP38,0))</f>
        <v/>
      </c>
      <c r="BQ40" s="34">
        <f>MIN(BQ39,MAX(BQ38,0))</f>
        <v/>
      </c>
      <c r="BR40" s="34">
        <f>MIN(BR39,MAX(BR38,0))</f>
        <v/>
      </c>
      <c r="BS40" s="34">
        <f>MIN(BS39,MAX(BS38,0))</f>
        <v/>
      </c>
      <c r="BT40" s="34">
        <f>MIN(BT39,MAX(BT38,0))</f>
        <v/>
      </c>
      <c r="BU40" s="34">
        <f>MIN(BU39,MAX(BU38,0))</f>
        <v/>
      </c>
      <c r="BV40" s="34">
        <f>MIN(BV39,MAX(BV38,0))</f>
        <v/>
      </c>
      <c r="BW40" s="34">
        <f>MIN(BW39,MAX(BW38,0))</f>
        <v/>
      </c>
      <c r="BX40" s="34">
        <f>MIN(BX39,MAX(BX38,0))</f>
        <v/>
      </c>
      <c r="BY40" s="34">
        <f>MIN(BY39,MAX(BY38,0))</f>
        <v/>
      </c>
      <c r="BZ40" s="34">
        <f>MIN(BZ39,MAX(BZ38,0))</f>
        <v/>
      </c>
      <c r="CA40" s="34">
        <f>MIN(CA39,MAX(CA38,0))</f>
        <v/>
      </c>
      <c r="CB40" s="34">
        <f>MIN(CB39,MAX(CB38,0))</f>
        <v/>
      </c>
      <c r="CC40" s="34">
        <f>MIN(CC39,MAX(CC38,0))</f>
        <v/>
      </c>
      <c r="CD40" s="34">
        <f>MIN(CD39,MAX(CD38,0))</f>
        <v/>
      </c>
      <c r="CE40" s="34">
        <f>MIN(CE39,MAX(CE38,0))</f>
        <v/>
      </c>
      <c r="CF40" s="34">
        <f>MIN(CF39,MAX(CF38,0))</f>
        <v/>
      </c>
      <c r="CG40" s="34">
        <f>MIN(CG39,MAX(CG38,0))</f>
        <v/>
      </c>
      <c r="CH40" s="34">
        <f>MIN(CH39,MAX(CH38,0))</f>
        <v/>
      </c>
      <c r="CI40" s="34">
        <f>MIN(CI39,MAX(CI38,0))</f>
        <v/>
      </c>
      <c r="CJ40" s="34">
        <f>MIN(CJ39,MAX(CJ38,0))</f>
        <v/>
      </c>
      <c r="CK40" s="34">
        <f>MIN(CK39,MAX(CK38,0))</f>
        <v/>
      </c>
      <c r="CL40" s="34">
        <f>MIN(CL39,MAX(CL38,0))</f>
        <v/>
      </c>
      <c r="CM40" s="34">
        <f>MIN(CM39,MAX(CM38,0))</f>
        <v/>
      </c>
      <c r="CN40" s="34">
        <f>MIN(CN39,MAX(CN38,0))</f>
        <v/>
      </c>
      <c r="CO40" s="34">
        <f>MIN(CO39,MAX(CO38,0))</f>
        <v/>
      </c>
      <c r="CP40" s="34">
        <f>MIN(CP39,MAX(CP38,0))</f>
        <v/>
      </c>
      <c r="CQ40" s="34">
        <f>MIN(CQ39,MAX(CQ38,0))</f>
        <v/>
      </c>
      <c r="CR40" s="34">
        <f>MIN(CR39,MAX(CR38,0))</f>
        <v/>
      </c>
      <c r="CS40" s="34">
        <f>MIN(CS39,MAX(CS38,0))</f>
        <v/>
      </c>
      <c r="CT40" s="34">
        <f>MIN(CT39,MAX(CT38,0))</f>
        <v/>
      </c>
      <c r="CU40" s="34">
        <f>MIN(CU39,MAX(CU38,0))</f>
        <v/>
      </c>
    </row>
    <row r="41">
      <c r="A41" s="7" t="inlineStr">
        <is>
          <t>Planned equity drawn</t>
        </is>
      </c>
      <c r="B41" s="21">
        <f>SUM(D41:CU41)</f>
        <v/>
      </c>
      <c r="C41" s="11" t="inlineStr"/>
      <c r="D41" s="34">
        <f>MIN(MAX(D38,0)-D40,MAX(F_EquityCap-0,0))</f>
        <v/>
      </c>
      <c r="E41" s="34">
        <f>MIN(MAX(E38,0)-E40,MAX(F_EquityCap-D42,0))</f>
        <v/>
      </c>
      <c r="F41" s="34">
        <f>MIN(MAX(F38,0)-F40,MAX(F_EquityCap-E42,0))</f>
        <v/>
      </c>
      <c r="G41" s="34">
        <f>MIN(MAX(G38,0)-G40,MAX(F_EquityCap-F42,0))</f>
        <v/>
      </c>
      <c r="H41" s="34">
        <f>MIN(MAX(H38,0)-H40,MAX(F_EquityCap-G42,0))</f>
        <v/>
      </c>
      <c r="I41" s="34">
        <f>MIN(MAX(I38,0)-I40,MAX(F_EquityCap-H42,0))</f>
        <v/>
      </c>
      <c r="J41" s="34">
        <f>MIN(MAX(J38,0)-J40,MAX(F_EquityCap-I42,0))</f>
        <v/>
      </c>
      <c r="K41" s="34">
        <f>MIN(MAX(K38,0)-K40,MAX(F_EquityCap-J42,0))</f>
        <v/>
      </c>
      <c r="L41" s="34">
        <f>MIN(MAX(L38,0)-L40,MAX(F_EquityCap-K42,0))</f>
        <v/>
      </c>
      <c r="M41" s="34">
        <f>MIN(MAX(M38,0)-M40,MAX(F_EquityCap-L42,0))</f>
        <v/>
      </c>
      <c r="N41" s="34">
        <f>MIN(MAX(N38,0)-N40,MAX(F_EquityCap-M42,0))</f>
        <v/>
      </c>
      <c r="O41" s="34">
        <f>MIN(MAX(O38,0)-O40,MAX(F_EquityCap-N42,0))</f>
        <v/>
      </c>
      <c r="P41" s="34">
        <f>MIN(MAX(P38,0)-P40,MAX(F_EquityCap-O42,0))</f>
        <v/>
      </c>
      <c r="Q41" s="34">
        <f>MIN(MAX(Q38,0)-Q40,MAX(F_EquityCap-P42,0))</f>
        <v/>
      </c>
      <c r="R41" s="34">
        <f>MIN(MAX(R38,0)-R40,MAX(F_EquityCap-Q42,0))</f>
        <v/>
      </c>
      <c r="S41" s="34">
        <f>MIN(MAX(S38,0)-S40,MAX(F_EquityCap-R42,0))</f>
        <v/>
      </c>
      <c r="T41" s="34">
        <f>MIN(MAX(T38,0)-T40,MAX(F_EquityCap-S42,0))</f>
        <v/>
      </c>
      <c r="U41" s="34">
        <f>MIN(MAX(U38,0)-U40,MAX(F_EquityCap-T42,0))</f>
        <v/>
      </c>
      <c r="V41" s="34">
        <f>MIN(MAX(V38,0)-V40,MAX(F_EquityCap-U42,0))</f>
        <v/>
      </c>
      <c r="W41" s="34">
        <f>MIN(MAX(W38,0)-W40,MAX(F_EquityCap-V42,0))</f>
        <v/>
      </c>
      <c r="X41" s="34">
        <f>MIN(MAX(X38,0)-X40,MAX(F_EquityCap-W42,0))</f>
        <v/>
      </c>
      <c r="Y41" s="34">
        <f>MIN(MAX(Y38,0)-Y40,MAX(F_EquityCap-X42,0))</f>
        <v/>
      </c>
      <c r="Z41" s="34">
        <f>MIN(MAX(Z38,0)-Z40,MAX(F_EquityCap-Y42,0))</f>
        <v/>
      </c>
      <c r="AA41" s="34">
        <f>MIN(MAX(AA38,0)-AA40,MAX(F_EquityCap-Z42,0))</f>
        <v/>
      </c>
      <c r="AB41" s="34">
        <f>MIN(MAX(AB38,0)-AB40,MAX(F_EquityCap-AA42,0))</f>
        <v/>
      </c>
      <c r="AC41" s="34">
        <f>MIN(MAX(AC38,0)-AC40,MAX(F_EquityCap-AB42,0))</f>
        <v/>
      </c>
      <c r="AD41" s="34">
        <f>MIN(MAX(AD38,0)-AD40,MAX(F_EquityCap-AC42,0))</f>
        <v/>
      </c>
      <c r="AE41" s="34">
        <f>MIN(MAX(AE38,0)-AE40,MAX(F_EquityCap-AD42,0))</f>
        <v/>
      </c>
      <c r="AF41" s="34">
        <f>MIN(MAX(AF38,0)-AF40,MAX(F_EquityCap-AE42,0))</f>
        <v/>
      </c>
      <c r="AG41" s="34">
        <f>MIN(MAX(AG38,0)-AG40,MAX(F_EquityCap-AF42,0))</f>
        <v/>
      </c>
      <c r="AH41" s="34">
        <f>MIN(MAX(AH38,0)-AH40,MAX(F_EquityCap-AG42,0))</f>
        <v/>
      </c>
      <c r="AI41" s="34">
        <f>MIN(MAX(AI38,0)-AI40,MAX(F_EquityCap-AH42,0))</f>
        <v/>
      </c>
      <c r="AJ41" s="34">
        <f>MIN(MAX(AJ38,0)-AJ40,MAX(F_EquityCap-AI42,0))</f>
        <v/>
      </c>
      <c r="AK41" s="34">
        <f>MIN(MAX(AK38,0)-AK40,MAX(F_EquityCap-AJ42,0))</f>
        <v/>
      </c>
      <c r="AL41" s="34">
        <f>MIN(MAX(AL38,0)-AL40,MAX(F_EquityCap-AK42,0))</f>
        <v/>
      </c>
      <c r="AM41" s="34">
        <f>MIN(MAX(AM38,0)-AM40,MAX(F_EquityCap-AL42,0))</f>
        <v/>
      </c>
      <c r="AN41" s="34">
        <f>MIN(MAX(AN38,0)-AN40,MAX(F_EquityCap-AM42,0))</f>
        <v/>
      </c>
      <c r="AO41" s="34">
        <f>MIN(MAX(AO38,0)-AO40,MAX(F_EquityCap-AN42,0))</f>
        <v/>
      </c>
      <c r="AP41" s="34">
        <f>MIN(MAX(AP38,0)-AP40,MAX(F_EquityCap-AO42,0))</f>
        <v/>
      </c>
      <c r="AQ41" s="34">
        <f>MIN(MAX(AQ38,0)-AQ40,MAX(F_EquityCap-AP42,0))</f>
        <v/>
      </c>
      <c r="AR41" s="34">
        <f>MIN(MAX(AR38,0)-AR40,MAX(F_EquityCap-AQ42,0))</f>
        <v/>
      </c>
      <c r="AS41" s="34">
        <f>MIN(MAX(AS38,0)-AS40,MAX(F_EquityCap-AR42,0))</f>
        <v/>
      </c>
      <c r="AT41" s="34">
        <f>MIN(MAX(AT38,0)-AT40,MAX(F_EquityCap-AS42,0))</f>
        <v/>
      </c>
      <c r="AU41" s="34">
        <f>MIN(MAX(AU38,0)-AU40,MAX(F_EquityCap-AT42,0))</f>
        <v/>
      </c>
      <c r="AV41" s="34">
        <f>MIN(MAX(AV38,0)-AV40,MAX(F_EquityCap-AU42,0))</f>
        <v/>
      </c>
      <c r="AW41" s="34">
        <f>MIN(MAX(AW38,0)-AW40,MAX(F_EquityCap-AV42,0))</f>
        <v/>
      </c>
      <c r="AX41" s="34">
        <f>MIN(MAX(AX38,0)-AX40,MAX(F_EquityCap-AW42,0))</f>
        <v/>
      </c>
      <c r="AY41" s="34">
        <f>MIN(MAX(AY38,0)-AY40,MAX(F_EquityCap-AX42,0))</f>
        <v/>
      </c>
      <c r="AZ41" s="34">
        <f>MIN(MAX(AZ38,0)-AZ40,MAX(F_EquityCap-AY42,0))</f>
        <v/>
      </c>
      <c r="BA41" s="34">
        <f>MIN(MAX(BA38,0)-BA40,MAX(F_EquityCap-AZ42,0))</f>
        <v/>
      </c>
      <c r="BB41" s="34">
        <f>MIN(MAX(BB38,0)-BB40,MAX(F_EquityCap-BA42,0))</f>
        <v/>
      </c>
      <c r="BC41" s="34">
        <f>MIN(MAX(BC38,0)-BC40,MAX(F_EquityCap-BB42,0))</f>
        <v/>
      </c>
      <c r="BD41" s="34">
        <f>MIN(MAX(BD38,0)-BD40,MAX(F_EquityCap-BC42,0))</f>
        <v/>
      </c>
      <c r="BE41" s="34">
        <f>MIN(MAX(BE38,0)-BE40,MAX(F_EquityCap-BD42,0))</f>
        <v/>
      </c>
      <c r="BF41" s="34">
        <f>MIN(MAX(BF38,0)-BF40,MAX(F_EquityCap-BE42,0))</f>
        <v/>
      </c>
      <c r="BG41" s="34">
        <f>MIN(MAX(BG38,0)-BG40,MAX(F_EquityCap-BF42,0))</f>
        <v/>
      </c>
      <c r="BH41" s="34">
        <f>MIN(MAX(BH38,0)-BH40,MAX(F_EquityCap-BG42,0))</f>
        <v/>
      </c>
      <c r="BI41" s="34">
        <f>MIN(MAX(BI38,0)-BI40,MAX(F_EquityCap-BH42,0))</f>
        <v/>
      </c>
      <c r="BJ41" s="34">
        <f>MIN(MAX(BJ38,0)-BJ40,MAX(F_EquityCap-BI42,0))</f>
        <v/>
      </c>
      <c r="BK41" s="34">
        <f>MIN(MAX(BK38,0)-BK40,MAX(F_EquityCap-BJ42,0))</f>
        <v/>
      </c>
      <c r="BL41" s="34">
        <f>MIN(MAX(BL38,0)-BL40,MAX(F_EquityCap-BK42,0))</f>
        <v/>
      </c>
      <c r="BM41" s="34">
        <f>MIN(MAX(BM38,0)-BM40,MAX(F_EquityCap-BL42,0))</f>
        <v/>
      </c>
      <c r="BN41" s="34">
        <f>MIN(MAX(BN38,0)-BN40,MAX(F_EquityCap-BM42,0))</f>
        <v/>
      </c>
      <c r="BO41" s="34">
        <f>MIN(MAX(BO38,0)-BO40,MAX(F_EquityCap-BN42,0))</f>
        <v/>
      </c>
      <c r="BP41" s="34">
        <f>MIN(MAX(BP38,0)-BP40,MAX(F_EquityCap-BO42,0))</f>
        <v/>
      </c>
      <c r="BQ41" s="34">
        <f>MIN(MAX(BQ38,0)-BQ40,MAX(F_EquityCap-BP42,0))</f>
        <v/>
      </c>
      <c r="BR41" s="34">
        <f>MIN(MAX(BR38,0)-BR40,MAX(F_EquityCap-BQ42,0))</f>
        <v/>
      </c>
      <c r="BS41" s="34">
        <f>MIN(MAX(BS38,0)-BS40,MAX(F_EquityCap-BR42,0))</f>
        <v/>
      </c>
      <c r="BT41" s="34">
        <f>MIN(MAX(BT38,0)-BT40,MAX(F_EquityCap-BS42,0))</f>
        <v/>
      </c>
      <c r="BU41" s="34">
        <f>MIN(MAX(BU38,0)-BU40,MAX(F_EquityCap-BT42,0))</f>
        <v/>
      </c>
      <c r="BV41" s="34">
        <f>MIN(MAX(BV38,0)-BV40,MAX(F_EquityCap-BU42,0))</f>
        <v/>
      </c>
      <c r="BW41" s="34">
        <f>MIN(MAX(BW38,0)-BW40,MAX(F_EquityCap-BV42,0))</f>
        <v/>
      </c>
      <c r="BX41" s="34">
        <f>MIN(MAX(BX38,0)-BX40,MAX(F_EquityCap-BW42,0))</f>
        <v/>
      </c>
      <c r="BY41" s="34">
        <f>MIN(MAX(BY38,0)-BY40,MAX(F_EquityCap-BX42,0))</f>
        <v/>
      </c>
      <c r="BZ41" s="34">
        <f>MIN(MAX(BZ38,0)-BZ40,MAX(F_EquityCap-BY42,0))</f>
        <v/>
      </c>
      <c r="CA41" s="34">
        <f>MIN(MAX(CA38,0)-CA40,MAX(F_EquityCap-BZ42,0))</f>
        <v/>
      </c>
      <c r="CB41" s="34">
        <f>MIN(MAX(CB38,0)-CB40,MAX(F_EquityCap-CA42,0))</f>
        <v/>
      </c>
      <c r="CC41" s="34">
        <f>MIN(MAX(CC38,0)-CC40,MAX(F_EquityCap-CB42,0))</f>
        <v/>
      </c>
      <c r="CD41" s="34">
        <f>MIN(MAX(CD38,0)-CD40,MAX(F_EquityCap-CC42,0))</f>
        <v/>
      </c>
      <c r="CE41" s="34">
        <f>MIN(MAX(CE38,0)-CE40,MAX(F_EquityCap-CD42,0))</f>
        <v/>
      </c>
      <c r="CF41" s="34">
        <f>MIN(MAX(CF38,0)-CF40,MAX(F_EquityCap-CE42,0))</f>
        <v/>
      </c>
      <c r="CG41" s="34">
        <f>MIN(MAX(CG38,0)-CG40,MAX(F_EquityCap-CF42,0))</f>
        <v/>
      </c>
      <c r="CH41" s="34">
        <f>MIN(MAX(CH38,0)-CH40,MAX(F_EquityCap-CG42,0))</f>
        <v/>
      </c>
      <c r="CI41" s="34">
        <f>MIN(MAX(CI38,0)-CI40,MAX(F_EquityCap-CH42,0))</f>
        <v/>
      </c>
      <c r="CJ41" s="34">
        <f>MIN(MAX(CJ38,0)-CJ40,MAX(F_EquityCap-CI42,0))</f>
        <v/>
      </c>
      <c r="CK41" s="34">
        <f>MIN(MAX(CK38,0)-CK40,MAX(F_EquityCap-CJ42,0))</f>
        <v/>
      </c>
      <c r="CL41" s="34">
        <f>MIN(MAX(CL38,0)-CL40,MAX(F_EquityCap-CK42,0))</f>
        <v/>
      </c>
      <c r="CM41" s="34">
        <f>MIN(MAX(CM38,0)-CM40,MAX(F_EquityCap-CL42,0))</f>
        <v/>
      </c>
      <c r="CN41" s="34">
        <f>MIN(MAX(CN38,0)-CN40,MAX(F_EquityCap-CM42,0))</f>
        <v/>
      </c>
      <c r="CO41" s="34">
        <f>MIN(MAX(CO38,0)-CO40,MAX(F_EquityCap-CN42,0))</f>
        <v/>
      </c>
      <c r="CP41" s="34">
        <f>MIN(MAX(CP38,0)-CP40,MAX(F_EquityCap-CO42,0))</f>
        <v/>
      </c>
      <c r="CQ41" s="34">
        <f>MIN(MAX(CQ38,0)-CQ40,MAX(F_EquityCap-CP42,0))</f>
        <v/>
      </c>
      <c r="CR41" s="34">
        <f>MIN(MAX(CR38,0)-CR40,MAX(F_EquityCap-CQ42,0))</f>
        <v/>
      </c>
      <c r="CS41" s="34">
        <f>MIN(MAX(CS38,0)-CS40,MAX(F_EquityCap-CR42,0))</f>
        <v/>
      </c>
      <c r="CT41" s="34">
        <f>MIN(MAX(CT38,0)-CT40,MAX(F_EquityCap-CS42,0))</f>
        <v/>
      </c>
      <c r="CU41" s="34">
        <f>MIN(MAX(CU38,0)-CU40,MAX(F_EquityCap-CT42,0))</f>
        <v/>
      </c>
    </row>
    <row r="42">
      <c r="A42" s="7" t="inlineStr">
        <is>
          <t>Cumulative planned equity</t>
        </is>
      </c>
      <c r="B42" s="1" t="n"/>
      <c r="C42" s="11" t="inlineStr"/>
      <c r="D42" s="34">
        <f>D41</f>
        <v/>
      </c>
      <c r="E42" s="34">
        <f>E41+D42</f>
        <v/>
      </c>
      <c r="F42" s="34">
        <f>F41+E42</f>
        <v/>
      </c>
      <c r="G42" s="34">
        <f>G41+F42</f>
        <v/>
      </c>
      <c r="H42" s="34">
        <f>H41+G42</f>
        <v/>
      </c>
      <c r="I42" s="34">
        <f>I41+H42</f>
        <v/>
      </c>
      <c r="J42" s="34">
        <f>J41+I42</f>
        <v/>
      </c>
      <c r="K42" s="34">
        <f>K41+J42</f>
        <v/>
      </c>
      <c r="L42" s="34">
        <f>L41+K42</f>
        <v/>
      </c>
      <c r="M42" s="34">
        <f>M41+L42</f>
        <v/>
      </c>
      <c r="N42" s="34">
        <f>N41+M42</f>
        <v/>
      </c>
      <c r="O42" s="34">
        <f>O41+N42</f>
        <v/>
      </c>
      <c r="P42" s="34">
        <f>P41+O42</f>
        <v/>
      </c>
      <c r="Q42" s="34">
        <f>Q41+P42</f>
        <v/>
      </c>
      <c r="R42" s="34">
        <f>R41+Q42</f>
        <v/>
      </c>
      <c r="S42" s="34">
        <f>S41+R42</f>
        <v/>
      </c>
      <c r="T42" s="34">
        <f>T41+S42</f>
        <v/>
      </c>
      <c r="U42" s="34">
        <f>U41+T42</f>
        <v/>
      </c>
      <c r="V42" s="34">
        <f>V41+U42</f>
        <v/>
      </c>
      <c r="W42" s="34">
        <f>W41+V42</f>
        <v/>
      </c>
      <c r="X42" s="34">
        <f>X41+W42</f>
        <v/>
      </c>
      <c r="Y42" s="34">
        <f>Y41+X42</f>
        <v/>
      </c>
      <c r="Z42" s="34">
        <f>Z41+Y42</f>
        <v/>
      </c>
      <c r="AA42" s="34">
        <f>AA41+Z42</f>
        <v/>
      </c>
      <c r="AB42" s="34">
        <f>AB41+AA42</f>
        <v/>
      </c>
      <c r="AC42" s="34">
        <f>AC41+AB42</f>
        <v/>
      </c>
      <c r="AD42" s="34">
        <f>AD41+AC42</f>
        <v/>
      </c>
      <c r="AE42" s="34">
        <f>AE41+AD42</f>
        <v/>
      </c>
      <c r="AF42" s="34">
        <f>AF41+AE42</f>
        <v/>
      </c>
      <c r="AG42" s="34">
        <f>AG41+AF42</f>
        <v/>
      </c>
      <c r="AH42" s="34">
        <f>AH41+AG42</f>
        <v/>
      </c>
      <c r="AI42" s="34">
        <f>AI41+AH42</f>
        <v/>
      </c>
      <c r="AJ42" s="34">
        <f>AJ41+AI42</f>
        <v/>
      </c>
      <c r="AK42" s="34">
        <f>AK41+AJ42</f>
        <v/>
      </c>
      <c r="AL42" s="34">
        <f>AL41+AK42</f>
        <v/>
      </c>
      <c r="AM42" s="34">
        <f>AM41+AL42</f>
        <v/>
      </c>
      <c r="AN42" s="34">
        <f>AN41+AM42</f>
        <v/>
      </c>
      <c r="AO42" s="34">
        <f>AO41+AN42</f>
        <v/>
      </c>
      <c r="AP42" s="34">
        <f>AP41+AO42</f>
        <v/>
      </c>
      <c r="AQ42" s="34">
        <f>AQ41+AP42</f>
        <v/>
      </c>
      <c r="AR42" s="34">
        <f>AR41+AQ42</f>
        <v/>
      </c>
      <c r="AS42" s="34">
        <f>AS41+AR42</f>
        <v/>
      </c>
      <c r="AT42" s="34">
        <f>AT41+AS42</f>
        <v/>
      </c>
      <c r="AU42" s="34">
        <f>AU41+AT42</f>
        <v/>
      </c>
      <c r="AV42" s="34">
        <f>AV41+AU42</f>
        <v/>
      </c>
      <c r="AW42" s="34">
        <f>AW41+AV42</f>
        <v/>
      </c>
      <c r="AX42" s="34">
        <f>AX41+AW42</f>
        <v/>
      </c>
      <c r="AY42" s="34">
        <f>AY41+AX42</f>
        <v/>
      </c>
      <c r="AZ42" s="34">
        <f>AZ41+AY42</f>
        <v/>
      </c>
      <c r="BA42" s="34">
        <f>BA41+AZ42</f>
        <v/>
      </c>
      <c r="BB42" s="34">
        <f>BB41+BA42</f>
        <v/>
      </c>
      <c r="BC42" s="34">
        <f>BC41+BB42</f>
        <v/>
      </c>
      <c r="BD42" s="34">
        <f>BD41+BC42</f>
        <v/>
      </c>
      <c r="BE42" s="34">
        <f>BE41+BD42</f>
        <v/>
      </c>
      <c r="BF42" s="34">
        <f>BF41+BE42</f>
        <v/>
      </c>
      <c r="BG42" s="34">
        <f>BG41+BF42</f>
        <v/>
      </c>
      <c r="BH42" s="34">
        <f>BH41+BG42</f>
        <v/>
      </c>
      <c r="BI42" s="34">
        <f>BI41+BH42</f>
        <v/>
      </c>
      <c r="BJ42" s="34">
        <f>BJ41+BI42</f>
        <v/>
      </c>
      <c r="BK42" s="34">
        <f>BK41+BJ42</f>
        <v/>
      </c>
      <c r="BL42" s="34">
        <f>BL41+BK42</f>
        <v/>
      </c>
      <c r="BM42" s="34">
        <f>BM41+BL42</f>
        <v/>
      </c>
      <c r="BN42" s="34">
        <f>BN41+BM42</f>
        <v/>
      </c>
      <c r="BO42" s="34">
        <f>BO41+BN42</f>
        <v/>
      </c>
      <c r="BP42" s="34">
        <f>BP41+BO42</f>
        <v/>
      </c>
      <c r="BQ42" s="34">
        <f>BQ41+BP42</f>
        <v/>
      </c>
      <c r="BR42" s="34">
        <f>BR41+BQ42</f>
        <v/>
      </c>
      <c r="BS42" s="34">
        <f>BS41+BR42</f>
        <v/>
      </c>
      <c r="BT42" s="34">
        <f>BT41+BS42</f>
        <v/>
      </c>
      <c r="BU42" s="34">
        <f>BU41+BT42</f>
        <v/>
      </c>
      <c r="BV42" s="34">
        <f>BV41+BU42</f>
        <v/>
      </c>
      <c r="BW42" s="34">
        <f>BW41+BV42</f>
        <v/>
      </c>
      <c r="BX42" s="34">
        <f>BX41+BW42</f>
        <v/>
      </c>
      <c r="BY42" s="34">
        <f>BY41+BX42</f>
        <v/>
      </c>
      <c r="BZ42" s="34">
        <f>BZ41+BY42</f>
        <v/>
      </c>
      <c r="CA42" s="34">
        <f>CA41+BZ42</f>
        <v/>
      </c>
      <c r="CB42" s="34">
        <f>CB41+CA42</f>
        <v/>
      </c>
      <c r="CC42" s="34">
        <f>CC41+CB42</f>
        <v/>
      </c>
      <c r="CD42" s="34">
        <f>CD41+CC42</f>
        <v/>
      </c>
      <c r="CE42" s="34">
        <f>CE41+CD42</f>
        <v/>
      </c>
      <c r="CF42" s="34">
        <f>CF41+CE42</f>
        <v/>
      </c>
      <c r="CG42" s="34">
        <f>CG41+CF42</f>
        <v/>
      </c>
      <c r="CH42" s="34">
        <f>CH41+CG42</f>
        <v/>
      </c>
      <c r="CI42" s="34">
        <f>CI41+CH42</f>
        <v/>
      </c>
      <c r="CJ42" s="34">
        <f>CJ41+CI42</f>
        <v/>
      </c>
      <c r="CK42" s="34">
        <f>CK41+CJ42</f>
        <v/>
      </c>
      <c r="CL42" s="34">
        <f>CL41+CK42</f>
        <v/>
      </c>
      <c r="CM42" s="34">
        <f>CM41+CL42</f>
        <v/>
      </c>
      <c r="CN42" s="34">
        <f>CN41+CM42</f>
        <v/>
      </c>
      <c r="CO42" s="34">
        <f>CO41+CN42</f>
        <v/>
      </c>
      <c r="CP42" s="34">
        <f>CP41+CO42</f>
        <v/>
      </c>
      <c r="CQ42" s="34">
        <f>CQ41+CP42</f>
        <v/>
      </c>
      <c r="CR42" s="34">
        <f>CR41+CQ42</f>
        <v/>
      </c>
      <c r="CS42" s="34">
        <f>CS41+CR42</f>
        <v/>
      </c>
      <c r="CT42" s="34">
        <f>CT41+CS42</f>
        <v/>
      </c>
      <c r="CU42" s="34">
        <f>CU41+CT42</f>
        <v/>
      </c>
    </row>
    <row r="43">
      <c r="A43" s="7" t="inlineStr">
        <is>
          <t>Mezzanine drawn</t>
        </is>
      </c>
      <c r="B43" s="21">
        <f>SUM(D43:CU43)</f>
        <v/>
      </c>
      <c r="C43" s="11" t="inlineStr"/>
      <c r="D43" s="34">
        <f>MIN(MAX(D38,0)-D40-D41,MAX(F_MezzCommit-D31-D35,0))</f>
        <v/>
      </c>
      <c r="E43" s="34">
        <f>MIN(MAX(E38,0)-E40-E41,MAX(F_MezzCommit-E31-E35,0))</f>
        <v/>
      </c>
      <c r="F43" s="34">
        <f>MIN(MAX(F38,0)-F40-F41,MAX(F_MezzCommit-F31-F35,0))</f>
        <v/>
      </c>
      <c r="G43" s="34">
        <f>MIN(MAX(G38,0)-G40-G41,MAX(F_MezzCommit-G31-G35,0))</f>
        <v/>
      </c>
      <c r="H43" s="34">
        <f>MIN(MAX(H38,0)-H40-H41,MAX(F_MezzCommit-H31-H35,0))</f>
        <v/>
      </c>
      <c r="I43" s="34">
        <f>MIN(MAX(I38,0)-I40-I41,MAX(F_MezzCommit-I31-I35,0))</f>
        <v/>
      </c>
      <c r="J43" s="34">
        <f>MIN(MAX(J38,0)-J40-J41,MAX(F_MezzCommit-J31-J35,0))</f>
        <v/>
      </c>
      <c r="K43" s="34">
        <f>MIN(MAX(K38,0)-K40-K41,MAX(F_MezzCommit-K31-K35,0))</f>
        <v/>
      </c>
      <c r="L43" s="34">
        <f>MIN(MAX(L38,0)-L40-L41,MAX(F_MezzCommit-L31-L35,0))</f>
        <v/>
      </c>
      <c r="M43" s="34">
        <f>MIN(MAX(M38,0)-M40-M41,MAX(F_MezzCommit-M31-M35,0))</f>
        <v/>
      </c>
      <c r="N43" s="34">
        <f>MIN(MAX(N38,0)-N40-N41,MAX(F_MezzCommit-N31-N35,0))</f>
        <v/>
      </c>
      <c r="O43" s="34">
        <f>MIN(MAX(O38,0)-O40-O41,MAX(F_MezzCommit-O31-O35,0))</f>
        <v/>
      </c>
      <c r="P43" s="34">
        <f>MIN(MAX(P38,0)-P40-P41,MAX(F_MezzCommit-P31-P35,0))</f>
        <v/>
      </c>
      <c r="Q43" s="34">
        <f>MIN(MAX(Q38,0)-Q40-Q41,MAX(F_MezzCommit-Q31-Q35,0))</f>
        <v/>
      </c>
      <c r="R43" s="34">
        <f>MIN(MAX(R38,0)-R40-R41,MAX(F_MezzCommit-R31-R35,0))</f>
        <v/>
      </c>
      <c r="S43" s="34">
        <f>MIN(MAX(S38,0)-S40-S41,MAX(F_MezzCommit-S31-S35,0))</f>
        <v/>
      </c>
      <c r="T43" s="34">
        <f>MIN(MAX(T38,0)-T40-T41,MAX(F_MezzCommit-T31-T35,0))</f>
        <v/>
      </c>
      <c r="U43" s="34">
        <f>MIN(MAX(U38,0)-U40-U41,MAX(F_MezzCommit-U31-U35,0))</f>
        <v/>
      </c>
      <c r="V43" s="34">
        <f>MIN(MAX(V38,0)-V40-V41,MAX(F_MezzCommit-V31-V35,0))</f>
        <v/>
      </c>
      <c r="W43" s="34">
        <f>MIN(MAX(W38,0)-W40-W41,MAX(F_MezzCommit-W31-W35,0))</f>
        <v/>
      </c>
      <c r="X43" s="34">
        <f>MIN(MAX(X38,0)-X40-X41,MAX(F_MezzCommit-X31-X35,0))</f>
        <v/>
      </c>
      <c r="Y43" s="34">
        <f>MIN(MAX(Y38,0)-Y40-Y41,MAX(F_MezzCommit-Y31-Y35,0))</f>
        <v/>
      </c>
      <c r="Z43" s="34">
        <f>MIN(MAX(Z38,0)-Z40-Z41,MAX(F_MezzCommit-Z31-Z35,0))</f>
        <v/>
      </c>
      <c r="AA43" s="34">
        <f>MIN(MAX(AA38,0)-AA40-AA41,MAX(F_MezzCommit-AA31-AA35,0))</f>
        <v/>
      </c>
      <c r="AB43" s="34">
        <f>MIN(MAX(AB38,0)-AB40-AB41,MAX(F_MezzCommit-AB31-AB35,0))</f>
        <v/>
      </c>
      <c r="AC43" s="34">
        <f>MIN(MAX(AC38,0)-AC40-AC41,MAX(F_MezzCommit-AC31-AC35,0))</f>
        <v/>
      </c>
      <c r="AD43" s="34">
        <f>MIN(MAX(AD38,0)-AD40-AD41,MAX(F_MezzCommit-AD31-AD35,0))</f>
        <v/>
      </c>
      <c r="AE43" s="34">
        <f>MIN(MAX(AE38,0)-AE40-AE41,MAX(F_MezzCommit-AE31-AE35,0))</f>
        <v/>
      </c>
      <c r="AF43" s="34">
        <f>MIN(MAX(AF38,0)-AF40-AF41,MAX(F_MezzCommit-AF31-AF35,0))</f>
        <v/>
      </c>
      <c r="AG43" s="34">
        <f>MIN(MAX(AG38,0)-AG40-AG41,MAX(F_MezzCommit-AG31-AG35,0))</f>
        <v/>
      </c>
      <c r="AH43" s="34">
        <f>MIN(MAX(AH38,0)-AH40-AH41,MAX(F_MezzCommit-AH31-AH35,0))</f>
        <v/>
      </c>
      <c r="AI43" s="34">
        <f>MIN(MAX(AI38,0)-AI40-AI41,MAX(F_MezzCommit-AI31-AI35,0))</f>
        <v/>
      </c>
      <c r="AJ43" s="34">
        <f>MIN(MAX(AJ38,0)-AJ40-AJ41,MAX(F_MezzCommit-AJ31-AJ35,0))</f>
        <v/>
      </c>
      <c r="AK43" s="34">
        <f>MIN(MAX(AK38,0)-AK40-AK41,MAX(F_MezzCommit-AK31-AK35,0))</f>
        <v/>
      </c>
      <c r="AL43" s="34">
        <f>MIN(MAX(AL38,0)-AL40-AL41,MAX(F_MezzCommit-AL31-AL35,0))</f>
        <v/>
      </c>
      <c r="AM43" s="34">
        <f>MIN(MAX(AM38,0)-AM40-AM41,MAX(F_MezzCommit-AM31-AM35,0))</f>
        <v/>
      </c>
      <c r="AN43" s="34">
        <f>MIN(MAX(AN38,0)-AN40-AN41,MAX(F_MezzCommit-AN31-AN35,0))</f>
        <v/>
      </c>
      <c r="AO43" s="34">
        <f>MIN(MAX(AO38,0)-AO40-AO41,MAX(F_MezzCommit-AO31-AO35,0))</f>
        <v/>
      </c>
      <c r="AP43" s="34">
        <f>MIN(MAX(AP38,0)-AP40-AP41,MAX(F_MezzCommit-AP31-AP35,0))</f>
        <v/>
      </c>
      <c r="AQ43" s="34">
        <f>MIN(MAX(AQ38,0)-AQ40-AQ41,MAX(F_MezzCommit-AQ31-AQ35,0))</f>
        <v/>
      </c>
      <c r="AR43" s="34">
        <f>MIN(MAX(AR38,0)-AR40-AR41,MAX(F_MezzCommit-AR31-AR35,0))</f>
        <v/>
      </c>
      <c r="AS43" s="34">
        <f>MIN(MAX(AS38,0)-AS40-AS41,MAX(F_MezzCommit-AS31-AS35,0))</f>
        <v/>
      </c>
      <c r="AT43" s="34">
        <f>MIN(MAX(AT38,0)-AT40-AT41,MAX(F_MezzCommit-AT31-AT35,0))</f>
        <v/>
      </c>
      <c r="AU43" s="34">
        <f>MIN(MAX(AU38,0)-AU40-AU41,MAX(F_MezzCommit-AU31-AU35,0))</f>
        <v/>
      </c>
      <c r="AV43" s="34">
        <f>MIN(MAX(AV38,0)-AV40-AV41,MAX(F_MezzCommit-AV31-AV35,0))</f>
        <v/>
      </c>
      <c r="AW43" s="34">
        <f>MIN(MAX(AW38,0)-AW40-AW41,MAX(F_MezzCommit-AW31-AW35,0))</f>
        <v/>
      </c>
      <c r="AX43" s="34">
        <f>MIN(MAX(AX38,0)-AX40-AX41,MAX(F_MezzCommit-AX31-AX35,0))</f>
        <v/>
      </c>
      <c r="AY43" s="34">
        <f>MIN(MAX(AY38,0)-AY40-AY41,MAX(F_MezzCommit-AY31-AY35,0))</f>
        <v/>
      </c>
      <c r="AZ43" s="34">
        <f>MIN(MAX(AZ38,0)-AZ40-AZ41,MAX(F_MezzCommit-AZ31-AZ35,0))</f>
        <v/>
      </c>
      <c r="BA43" s="34">
        <f>MIN(MAX(BA38,0)-BA40-BA41,MAX(F_MezzCommit-BA31-BA35,0))</f>
        <v/>
      </c>
      <c r="BB43" s="34">
        <f>MIN(MAX(BB38,0)-BB40-BB41,MAX(F_MezzCommit-BB31-BB35,0))</f>
        <v/>
      </c>
      <c r="BC43" s="34">
        <f>MIN(MAX(BC38,0)-BC40-BC41,MAX(F_MezzCommit-BC31-BC35,0))</f>
        <v/>
      </c>
      <c r="BD43" s="34">
        <f>MIN(MAX(BD38,0)-BD40-BD41,MAX(F_MezzCommit-BD31-BD35,0))</f>
        <v/>
      </c>
      <c r="BE43" s="34">
        <f>MIN(MAX(BE38,0)-BE40-BE41,MAX(F_MezzCommit-BE31-BE35,0))</f>
        <v/>
      </c>
      <c r="BF43" s="34">
        <f>MIN(MAX(BF38,0)-BF40-BF41,MAX(F_MezzCommit-BF31-BF35,0))</f>
        <v/>
      </c>
      <c r="BG43" s="34">
        <f>MIN(MAX(BG38,0)-BG40-BG41,MAX(F_MezzCommit-BG31-BG35,0))</f>
        <v/>
      </c>
      <c r="BH43" s="34">
        <f>MIN(MAX(BH38,0)-BH40-BH41,MAX(F_MezzCommit-BH31-BH35,0))</f>
        <v/>
      </c>
      <c r="BI43" s="34">
        <f>MIN(MAX(BI38,0)-BI40-BI41,MAX(F_MezzCommit-BI31-BI35,0))</f>
        <v/>
      </c>
      <c r="BJ43" s="34">
        <f>MIN(MAX(BJ38,0)-BJ40-BJ41,MAX(F_MezzCommit-BJ31-BJ35,0))</f>
        <v/>
      </c>
      <c r="BK43" s="34">
        <f>MIN(MAX(BK38,0)-BK40-BK41,MAX(F_MezzCommit-BK31-BK35,0))</f>
        <v/>
      </c>
      <c r="BL43" s="34">
        <f>MIN(MAX(BL38,0)-BL40-BL41,MAX(F_MezzCommit-BL31-BL35,0))</f>
        <v/>
      </c>
      <c r="BM43" s="34">
        <f>MIN(MAX(BM38,0)-BM40-BM41,MAX(F_MezzCommit-BM31-BM35,0))</f>
        <v/>
      </c>
      <c r="BN43" s="34">
        <f>MIN(MAX(BN38,0)-BN40-BN41,MAX(F_MezzCommit-BN31-BN35,0))</f>
        <v/>
      </c>
      <c r="BO43" s="34">
        <f>MIN(MAX(BO38,0)-BO40-BO41,MAX(F_MezzCommit-BO31-BO35,0))</f>
        <v/>
      </c>
      <c r="BP43" s="34">
        <f>MIN(MAX(BP38,0)-BP40-BP41,MAX(F_MezzCommit-BP31-BP35,0))</f>
        <v/>
      </c>
      <c r="BQ43" s="34">
        <f>MIN(MAX(BQ38,0)-BQ40-BQ41,MAX(F_MezzCommit-BQ31-BQ35,0))</f>
        <v/>
      </c>
      <c r="BR43" s="34">
        <f>MIN(MAX(BR38,0)-BR40-BR41,MAX(F_MezzCommit-BR31-BR35,0))</f>
        <v/>
      </c>
      <c r="BS43" s="34">
        <f>MIN(MAX(BS38,0)-BS40-BS41,MAX(F_MezzCommit-BS31-BS35,0))</f>
        <v/>
      </c>
      <c r="BT43" s="34">
        <f>MIN(MAX(BT38,0)-BT40-BT41,MAX(F_MezzCommit-BT31-BT35,0))</f>
        <v/>
      </c>
      <c r="BU43" s="34">
        <f>MIN(MAX(BU38,0)-BU40-BU41,MAX(F_MezzCommit-BU31-BU35,0))</f>
        <v/>
      </c>
      <c r="BV43" s="34">
        <f>MIN(MAX(BV38,0)-BV40-BV41,MAX(F_MezzCommit-BV31-BV35,0))</f>
        <v/>
      </c>
      <c r="BW43" s="34">
        <f>MIN(MAX(BW38,0)-BW40-BW41,MAX(F_MezzCommit-BW31-BW35,0))</f>
        <v/>
      </c>
      <c r="BX43" s="34">
        <f>MIN(MAX(BX38,0)-BX40-BX41,MAX(F_MezzCommit-BX31-BX35,0))</f>
        <v/>
      </c>
      <c r="BY43" s="34">
        <f>MIN(MAX(BY38,0)-BY40-BY41,MAX(F_MezzCommit-BY31-BY35,0))</f>
        <v/>
      </c>
      <c r="BZ43" s="34">
        <f>MIN(MAX(BZ38,0)-BZ40-BZ41,MAX(F_MezzCommit-BZ31-BZ35,0))</f>
        <v/>
      </c>
      <c r="CA43" s="34">
        <f>MIN(MAX(CA38,0)-CA40-CA41,MAX(F_MezzCommit-CA31-CA35,0))</f>
        <v/>
      </c>
      <c r="CB43" s="34">
        <f>MIN(MAX(CB38,0)-CB40-CB41,MAX(F_MezzCommit-CB31-CB35,0))</f>
        <v/>
      </c>
      <c r="CC43" s="34">
        <f>MIN(MAX(CC38,0)-CC40-CC41,MAX(F_MezzCommit-CC31-CC35,0))</f>
        <v/>
      </c>
      <c r="CD43" s="34">
        <f>MIN(MAX(CD38,0)-CD40-CD41,MAX(F_MezzCommit-CD31-CD35,0))</f>
        <v/>
      </c>
      <c r="CE43" s="34">
        <f>MIN(MAX(CE38,0)-CE40-CE41,MAX(F_MezzCommit-CE31-CE35,0))</f>
        <v/>
      </c>
      <c r="CF43" s="34">
        <f>MIN(MAX(CF38,0)-CF40-CF41,MAX(F_MezzCommit-CF31-CF35,0))</f>
        <v/>
      </c>
      <c r="CG43" s="34">
        <f>MIN(MAX(CG38,0)-CG40-CG41,MAX(F_MezzCommit-CG31-CG35,0))</f>
        <v/>
      </c>
      <c r="CH43" s="34">
        <f>MIN(MAX(CH38,0)-CH40-CH41,MAX(F_MezzCommit-CH31-CH35,0))</f>
        <v/>
      </c>
      <c r="CI43" s="34">
        <f>MIN(MAX(CI38,0)-CI40-CI41,MAX(F_MezzCommit-CI31-CI35,0))</f>
        <v/>
      </c>
      <c r="CJ43" s="34">
        <f>MIN(MAX(CJ38,0)-CJ40-CJ41,MAX(F_MezzCommit-CJ31-CJ35,0))</f>
        <v/>
      </c>
      <c r="CK43" s="34">
        <f>MIN(MAX(CK38,0)-CK40-CK41,MAX(F_MezzCommit-CK31-CK35,0))</f>
        <v/>
      </c>
      <c r="CL43" s="34">
        <f>MIN(MAX(CL38,0)-CL40-CL41,MAX(F_MezzCommit-CL31-CL35,0))</f>
        <v/>
      </c>
      <c r="CM43" s="34">
        <f>MIN(MAX(CM38,0)-CM40-CM41,MAX(F_MezzCommit-CM31-CM35,0))</f>
        <v/>
      </c>
      <c r="CN43" s="34">
        <f>MIN(MAX(CN38,0)-CN40-CN41,MAX(F_MezzCommit-CN31-CN35,0))</f>
        <v/>
      </c>
      <c r="CO43" s="34">
        <f>MIN(MAX(CO38,0)-CO40-CO41,MAX(F_MezzCommit-CO31-CO35,0))</f>
        <v/>
      </c>
      <c r="CP43" s="34">
        <f>MIN(MAX(CP38,0)-CP40-CP41,MAX(F_MezzCommit-CP31-CP35,0))</f>
        <v/>
      </c>
      <c r="CQ43" s="34">
        <f>MIN(MAX(CQ38,0)-CQ40-CQ41,MAX(F_MezzCommit-CQ31-CQ35,0))</f>
        <v/>
      </c>
      <c r="CR43" s="34">
        <f>MIN(MAX(CR38,0)-CR40-CR41,MAX(F_MezzCommit-CR31-CR35,0))</f>
        <v/>
      </c>
      <c r="CS43" s="34">
        <f>MIN(MAX(CS38,0)-CS40-CS41,MAX(F_MezzCommit-CS31-CS35,0))</f>
        <v/>
      </c>
      <c r="CT43" s="34">
        <f>MIN(MAX(CT38,0)-CT40-CT41,MAX(F_MezzCommit-CT31-CT35,0))</f>
        <v/>
      </c>
      <c r="CU43" s="34">
        <f>MIN(MAX(CU38,0)-CU40-CU41,MAX(F_MezzCommit-CU31-CU35,0))</f>
        <v/>
      </c>
    </row>
    <row r="44">
      <c r="A44" s="7" t="inlineStr">
        <is>
          <t>Senior debt drawn</t>
        </is>
      </c>
      <c r="B44" s="21">
        <f>SUM(D44:CU44)</f>
        <v/>
      </c>
      <c r="C44" s="11" t="inlineStr"/>
      <c r="D44" s="34">
        <f>MIN(MAX(D38,0)-D40-D41-D43,MAX(F_SeniorCommit-D29-D34,0))</f>
        <v/>
      </c>
      <c r="E44" s="34">
        <f>MIN(MAX(E38,0)-E40-E41-E43,MAX(F_SeniorCommit-E29-E34,0))</f>
        <v/>
      </c>
      <c r="F44" s="34">
        <f>MIN(MAX(F38,0)-F40-F41-F43,MAX(F_SeniorCommit-F29-F34,0))</f>
        <v/>
      </c>
      <c r="G44" s="34">
        <f>MIN(MAX(G38,0)-G40-G41-G43,MAX(F_SeniorCommit-G29-G34,0))</f>
        <v/>
      </c>
      <c r="H44" s="34">
        <f>MIN(MAX(H38,0)-H40-H41-H43,MAX(F_SeniorCommit-H29-H34,0))</f>
        <v/>
      </c>
      <c r="I44" s="34">
        <f>MIN(MAX(I38,0)-I40-I41-I43,MAX(F_SeniorCommit-I29-I34,0))</f>
        <v/>
      </c>
      <c r="J44" s="34">
        <f>MIN(MAX(J38,0)-J40-J41-J43,MAX(F_SeniorCommit-J29-J34,0))</f>
        <v/>
      </c>
      <c r="K44" s="34">
        <f>MIN(MAX(K38,0)-K40-K41-K43,MAX(F_SeniorCommit-K29-K34,0))</f>
        <v/>
      </c>
      <c r="L44" s="34">
        <f>MIN(MAX(L38,0)-L40-L41-L43,MAX(F_SeniorCommit-L29-L34,0))</f>
        <v/>
      </c>
      <c r="M44" s="34">
        <f>MIN(MAX(M38,0)-M40-M41-M43,MAX(F_SeniorCommit-M29-M34,0))</f>
        <v/>
      </c>
      <c r="N44" s="34">
        <f>MIN(MAX(N38,0)-N40-N41-N43,MAX(F_SeniorCommit-N29-N34,0))</f>
        <v/>
      </c>
      <c r="O44" s="34">
        <f>MIN(MAX(O38,0)-O40-O41-O43,MAX(F_SeniorCommit-O29-O34,0))</f>
        <v/>
      </c>
      <c r="P44" s="34">
        <f>MIN(MAX(P38,0)-P40-P41-P43,MAX(F_SeniorCommit-P29-P34,0))</f>
        <v/>
      </c>
      <c r="Q44" s="34">
        <f>MIN(MAX(Q38,0)-Q40-Q41-Q43,MAX(F_SeniorCommit-Q29-Q34,0))</f>
        <v/>
      </c>
      <c r="R44" s="34">
        <f>MIN(MAX(R38,0)-R40-R41-R43,MAX(F_SeniorCommit-R29-R34,0))</f>
        <v/>
      </c>
      <c r="S44" s="34">
        <f>MIN(MAX(S38,0)-S40-S41-S43,MAX(F_SeniorCommit-S29-S34,0))</f>
        <v/>
      </c>
      <c r="T44" s="34">
        <f>MIN(MAX(T38,0)-T40-T41-T43,MAX(F_SeniorCommit-T29-T34,0))</f>
        <v/>
      </c>
      <c r="U44" s="34">
        <f>MIN(MAX(U38,0)-U40-U41-U43,MAX(F_SeniorCommit-U29-U34,0))</f>
        <v/>
      </c>
      <c r="V44" s="34">
        <f>MIN(MAX(V38,0)-V40-V41-V43,MAX(F_SeniorCommit-V29-V34,0))</f>
        <v/>
      </c>
      <c r="W44" s="34">
        <f>MIN(MAX(W38,0)-W40-W41-W43,MAX(F_SeniorCommit-W29-W34,0))</f>
        <v/>
      </c>
      <c r="X44" s="34">
        <f>MIN(MAX(X38,0)-X40-X41-X43,MAX(F_SeniorCommit-X29-X34,0))</f>
        <v/>
      </c>
      <c r="Y44" s="34">
        <f>MIN(MAX(Y38,0)-Y40-Y41-Y43,MAX(F_SeniorCommit-Y29-Y34,0))</f>
        <v/>
      </c>
      <c r="Z44" s="34">
        <f>MIN(MAX(Z38,0)-Z40-Z41-Z43,MAX(F_SeniorCommit-Z29-Z34,0))</f>
        <v/>
      </c>
      <c r="AA44" s="34">
        <f>MIN(MAX(AA38,0)-AA40-AA41-AA43,MAX(F_SeniorCommit-AA29-AA34,0))</f>
        <v/>
      </c>
      <c r="AB44" s="34">
        <f>MIN(MAX(AB38,0)-AB40-AB41-AB43,MAX(F_SeniorCommit-AB29-AB34,0))</f>
        <v/>
      </c>
      <c r="AC44" s="34">
        <f>MIN(MAX(AC38,0)-AC40-AC41-AC43,MAX(F_SeniorCommit-AC29-AC34,0))</f>
        <v/>
      </c>
      <c r="AD44" s="34">
        <f>MIN(MAX(AD38,0)-AD40-AD41-AD43,MAX(F_SeniorCommit-AD29-AD34,0))</f>
        <v/>
      </c>
      <c r="AE44" s="34">
        <f>MIN(MAX(AE38,0)-AE40-AE41-AE43,MAX(F_SeniorCommit-AE29-AE34,0))</f>
        <v/>
      </c>
      <c r="AF44" s="34">
        <f>MIN(MAX(AF38,0)-AF40-AF41-AF43,MAX(F_SeniorCommit-AF29-AF34,0))</f>
        <v/>
      </c>
      <c r="AG44" s="34">
        <f>MIN(MAX(AG38,0)-AG40-AG41-AG43,MAX(F_SeniorCommit-AG29-AG34,0))</f>
        <v/>
      </c>
      <c r="AH44" s="34">
        <f>MIN(MAX(AH38,0)-AH40-AH41-AH43,MAX(F_SeniorCommit-AH29-AH34,0))</f>
        <v/>
      </c>
      <c r="AI44" s="34">
        <f>MIN(MAX(AI38,0)-AI40-AI41-AI43,MAX(F_SeniorCommit-AI29-AI34,0))</f>
        <v/>
      </c>
      <c r="AJ44" s="34">
        <f>MIN(MAX(AJ38,0)-AJ40-AJ41-AJ43,MAX(F_SeniorCommit-AJ29-AJ34,0))</f>
        <v/>
      </c>
      <c r="AK44" s="34">
        <f>MIN(MAX(AK38,0)-AK40-AK41-AK43,MAX(F_SeniorCommit-AK29-AK34,0))</f>
        <v/>
      </c>
      <c r="AL44" s="34">
        <f>MIN(MAX(AL38,0)-AL40-AL41-AL43,MAX(F_SeniorCommit-AL29-AL34,0))</f>
        <v/>
      </c>
      <c r="AM44" s="34">
        <f>MIN(MAX(AM38,0)-AM40-AM41-AM43,MAX(F_SeniorCommit-AM29-AM34,0))</f>
        <v/>
      </c>
      <c r="AN44" s="34">
        <f>MIN(MAX(AN38,0)-AN40-AN41-AN43,MAX(F_SeniorCommit-AN29-AN34,0))</f>
        <v/>
      </c>
      <c r="AO44" s="34">
        <f>MIN(MAX(AO38,0)-AO40-AO41-AO43,MAX(F_SeniorCommit-AO29-AO34,0))</f>
        <v/>
      </c>
      <c r="AP44" s="34">
        <f>MIN(MAX(AP38,0)-AP40-AP41-AP43,MAX(F_SeniorCommit-AP29-AP34,0))</f>
        <v/>
      </c>
      <c r="AQ44" s="34">
        <f>MIN(MAX(AQ38,0)-AQ40-AQ41-AQ43,MAX(F_SeniorCommit-AQ29-AQ34,0))</f>
        <v/>
      </c>
      <c r="AR44" s="34">
        <f>MIN(MAX(AR38,0)-AR40-AR41-AR43,MAX(F_SeniorCommit-AR29-AR34,0))</f>
        <v/>
      </c>
      <c r="AS44" s="34">
        <f>MIN(MAX(AS38,0)-AS40-AS41-AS43,MAX(F_SeniorCommit-AS29-AS34,0))</f>
        <v/>
      </c>
      <c r="AT44" s="34">
        <f>MIN(MAX(AT38,0)-AT40-AT41-AT43,MAX(F_SeniorCommit-AT29-AT34,0))</f>
        <v/>
      </c>
      <c r="AU44" s="34">
        <f>MIN(MAX(AU38,0)-AU40-AU41-AU43,MAX(F_SeniorCommit-AU29-AU34,0))</f>
        <v/>
      </c>
      <c r="AV44" s="34">
        <f>MIN(MAX(AV38,0)-AV40-AV41-AV43,MAX(F_SeniorCommit-AV29-AV34,0))</f>
        <v/>
      </c>
      <c r="AW44" s="34">
        <f>MIN(MAX(AW38,0)-AW40-AW41-AW43,MAX(F_SeniorCommit-AW29-AW34,0))</f>
        <v/>
      </c>
      <c r="AX44" s="34">
        <f>MIN(MAX(AX38,0)-AX40-AX41-AX43,MAX(F_SeniorCommit-AX29-AX34,0))</f>
        <v/>
      </c>
      <c r="AY44" s="34">
        <f>MIN(MAX(AY38,0)-AY40-AY41-AY43,MAX(F_SeniorCommit-AY29-AY34,0))</f>
        <v/>
      </c>
      <c r="AZ44" s="34">
        <f>MIN(MAX(AZ38,0)-AZ40-AZ41-AZ43,MAX(F_SeniorCommit-AZ29-AZ34,0))</f>
        <v/>
      </c>
      <c r="BA44" s="34">
        <f>MIN(MAX(BA38,0)-BA40-BA41-BA43,MAX(F_SeniorCommit-BA29-BA34,0))</f>
        <v/>
      </c>
      <c r="BB44" s="34">
        <f>MIN(MAX(BB38,0)-BB40-BB41-BB43,MAX(F_SeniorCommit-BB29-BB34,0))</f>
        <v/>
      </c>
      <c r="BC44" s="34">
        <f>MIN(MAX(BC38,0)-BC40-BC41-BC43,MAX(F_SeniorCommit-BC29-BC34,0))</f>
        <v/>
      </c>
      <c r="BD44" s="34">
        <f>MIN(MAX(BD38,0)-BD40-BD41-BD43,MAX(F_SeniorCommit-BD29-BD34,0))</f>
        <v/>
      </c>
      <c r="BE44" s="34">
        <f>MIN(MAX(BE38,0)-BE40-BE41-BE43,MAX(F_SeniorCommit-BE29-BE34,0))</f>
        <v/>
      </c>
      <c r="BF44" s="34">
        <f>MIN(MAX(BF38,0)-BF40-BF41-BF43,MAX(F_SeniorCommit-BF29-BF34,0))</f>
        <v/>
      </c>
      <c r="BG44" s="34">
        <f>MIN(MAX(BG38,0)-BG40-BG41-BG43,MAX(F_SeniorCommit-BG29-BG34,0))</f>
        <v/>
      </c>
      <c r="BH44" s="34">
        <f>MIN(MAX(BH38,0)-BH40-BH41-BH43,MAX(F_SeniorCommit-BH29-BH34,0))</f>
        <v/>
      </c>
      <c r="BI44" s="34">
        <f>MIN(MAX(BI38,0)-BI40-BI41-BI43,MAX(F_SeniorCommit-BI29-BI34,0))</f>
        <v/>
      </c>
      <c r="BJ44" s="34">
        <f>MIN(MAX(BJ38,0)-BJ40-BJ41-BJ43,MAX(F_SeniorCommit-BJ29-BJ34,0))</f>
        <v/>
      </c>
      <c r="BK44" s="34">
        <f>MIN(MAX(BK38,0)-BK40-BK41-BK43,MAX(F_SeniorCommit-BK29-BK34,0))</f>
        <v/>
      </c>
      <c r="BL44" s="34">
        <f>MIN(MAX(BL38,0)-BL40-BL41-BL43,MAX(F_SeniorCommit-BL29-BL34,0))</f>
        <v/>
      </c>
      <c r="BM44" s="34">
        <f>MIN(MAX(BM38,0)-BM40-BM41-BM43,MAX(F_SeniorCommit-BM29-BM34,0))</f>
        <v/>
      </c>
      <c r="BN44" s="34">
        <f>MIN(MAX(BN38,0)-BN40-BN41-BN43,MAX(F_SeniorCommit-BN29-BN34,0))</f>
        <v/>
      </c>
      <c r="BO44" s="34">
        <f>MIN(MAX(BO38,0)-BO40-BO41-BO43,MAX(F_SeniorCommit-BO29-BO34,0))</f>
        <v/>
      </c>
      <c r="BP44" s="34">
        <f>MIN(MAX(BP38,0)-BP40-BP41-BP43,MAX(F_SeniorCommit-BP29-BP34,0))</f>
        <v/>
      </c>
      <c r="BQ44" s="34">
        <f>MIN(MAX(BQ38,0)-BQ40-BQ41-BQ43,MAX(F_SeniorCommit-BQ29-BQ34,0))</f>
        <v/>
      </c>
      <c r="BR44" s="34">
        <f>MIN(MAX(BR38,0)-BR40-BR41-BR43,MAX(F_SeniorCommit-BR29-BR34,0))</f>
        <v/>
      </c>
      <c r="BS44" s="34">
        <f>MIN(MAX(BS38,0)-BS40-BS41-BS43,MAX(F_SeniorCommit-BS29-BS34,0))</f>
        <v/>
      </c>
      <c r="BT44" s="34">
        <f>MIN(MAX(BT38,0)-BT40-BT41-BT43,MAX(F_SeniorCommit-BT29-BT34,0))</f>
        <v/>
      </c>
      <c r="BU44" s="34">
        <f>MIN(MAX(BU38,0)-BU40-BU41-BU43,MAX(F_SeniorCommit-BU29-BU34,0))</f>
        <v/>
      </c>
      <c r="BV44" s="34">
        <f>MIN(MAX(BV38,0)-BV40-BV41-BV43,MAX(F_SeniorCommit-BV29-BV34,0))</f>
        <v/>
      </c>
      <c r="BW44" s="34">
        <f>MIN(MAX(BW38,0)-BW40-BW41-BW43,MAX(F_SeniorCommit-BW29-BW34,0))</f>
        <v/>
      </c>
      <c r="BX44" s="34">
        <f>MIN(MAX(BX38,0)-BX40-BX41-BX43,MAX(F_SeniorCommit-BX29-BX34,0))</f>
        <v/>
      </c>
      <c r="BY44" s="34">
        <f>MIN(MAX(BY38,0)-BY40-BY41-BY43,MAX(F_SeniorCommit-BY29-BY34,0))</f>
        <v/>
      </c>
      <c r="BZ44" s="34">
        <f>MIN(MAX(BZ38,0)-BZ40-BZ41-BZ43,MAX(F_SeniorCommit-BZ29-BZ34,0))</f>
        <v/>
      </c>
      <c r="CA44" s="34">
        <f>MIN(MAX(CA38,0)-CA40-CA41-CA43,MAX(F_SeniorCommit-CA29-CA34,0))</f>
        <v/>
      </c>
      <c r="CB44" s="34">
        <f>MIN(MAX(CB38,0)-CB40-CB41-CB43,MAX(F_SeniorCommit-CB29-CB34,0))</f>
        <v/>
      </c>
      <c r="CC44" s="34">
        <f>MIN(MAX(CC38,0)-CC40-CC41-CC43,MAX(F_SeniorCommit-CC29-CC34,0))</f>
        <v/>
      </c>
      <c r="CD44" s="34">
        <f>MIN(MAX(CD38,0)-CD40-CD41-CD43,MAX(F_SeniorCommit-CD29-CD34,0))</f>
        <v/>
      </c>
      <c r="CE44" s="34">
        <f>MIN(MAX(CE38,0)-CE40-CE41-CE43,MAX(F_SeniorCommit-CE29-CE34,0))</f>
        <v/>
      </c>
      <c r="CF44" s="34">
        <f>MIN(MAX(CF38,0)-CF40-CF41-CF43,MAX(F_SeniorCommit-CF29-CF34,0))</f>
        <v/>
      </c>
      <c r="CG44" s="34">
        <f>MIN(MAX(CG38,0)-CG40-CG41-CG43,MAX(F_SeniorCommit-CG29-CG34,0))</f>
        <v/>
      </c>
      <c r="CH44" s="34">
        <f>MIN(MAX(CH38,0)-CH40-CH41-CH43,MAX(F_SeniorCommit-CH29-CH34,0))</f>
        <v/>
      </c>
      <c r="CI44" s="34">
        <f>MIN(MAX(CI38,0)-CI40-CI41-CI43,MAX(F_SeniorCommit-CI29-CI34,0))</f>
        <v/>
      </c>
      <c r="CJ44" s="34">
        <f>MIN(MAX(CJ38,0)-CJ40-CJ41-CJ43,MAX(F_SeniorCommit-CJ29-CJ34,0))</f>
        <v/>
      </c>
      <c r="CK44" s="34">
        <f>MIN(MAX(CK38,0)-CK40-CK41-CK43,MAX(F_SeniorCommit-CK29-CK34,0))</f>
        <v/>
      </c>
      <c r="CL44" s="34">
        <f>MIN(MAX(CL38,0)-CL40-CL41-CL43,MAX(F_SeniorCommit-CL29-CL34,0))</f>
        <v/>
      </c>
      <c r="CM44" s="34">
        <f>MIN(MAX(CM38,0)-CM40-CM41-CM43,MAX(F_SeniorCommit-CM29-CM34,0))</f>
        <v/>
      </c>
      <c r="CN44" s="34">
        <f>MIN(MAX(CN38,0)-CN40-CN41-CN43,MAX(F_SeniorCommit-CN29-CN34,0))</f>
        <v/>
      </c>
      <c r="CO44" s="34">
        <f>MIN(MAX(CO38,0)-CO40-CO41-CO43,MAX(F_SeniorCommit-CO29-CO34,0))</f>
        <v/>
      </c>
      <c r="CP44" s="34">
        <f>MIN(MAX(CP38,0)-CP40-CP41-CP43,MAX(F_SeniorCommit-CP29-CP34,0))</f>
        <v/>
      </c>
      <c r="CQ44" s="34">
        <f>MIN(MAX(CQ38,0)-CQ40-CQ41-CQ43,MAX(F_SeniorCommit-CQ29-CQ34,0))</f>
        <v/>
      </c>
      <c r="CR44" s="34">
        <f>MIN(MAX(CR38,0)-CR40-CR41-CR43,MAX(F_SeniorCommit-CR29-CR34,0))</f>
        <v/>
      </c>
      <c r="CS44" s="34">
        <f>MIN(MAX(CS38,0)-CS40-CS41-CS43,MAX(F_SeniorCommit-CS29-CS34,0))</f>
        <v/>
      </c>
      <c r="CT44" s="34">
        <f>MIN(MAX(CT38,0)-CT40-CT41-CT43,MAX(F_SeniorCommit-CT29-CT34,0))</f>
        <v/>
      </c>
      <c r="CU44" s="34">
        <f>MIN(MAX(CU38,0)-CU40-CU41-CU43,MAX(F_SeniorCommit-CU29-CU34,0))</f>
        <v/>
      </c>
    </row>
    <row r="45">
      <c r="A45" s="7" t="inlineStr">
        <is>
          <t>Funding gap (additional equity required)</t>
        </is>
      </c>
      <c r="B45" s="21">
        <f>SUM(D45:CU45)</f>
        <v/>
      </c>
      <c r="C45" s="11" t="inlineStr"/>
      <c r="D45" s="34">
        <f>MAX(MAX(D38,0)-D40-D41-D43-D44,0)</f>
        <v/>
      </c>
      <c r="E45" s="34">
        <f>MAX(MAX(E38,0)-E40-E41-E43-E44,0)</f>
        <v/>
      </c>
      <c r="F45" s="34">
        <f>MAX(MAX(F38,0)-F40-F41-F43-F44,0)</f>
        <v/>
      </c>
      <c r="G45" s="34">
        <f>MAX(MAX(G38,0)-G40-G41-G43-G44,0)</f>
        <v/>
      </c>
      <c r="H45" s="34">
        <f>MAX(MAX(H38,0)-H40-H41-H43-H44,0)</f>
        <v/>
      </c>
      <c r="I45" s="34">
        <f>MAX(MAX(I38,0)-I40-I41-I43-I44,0)</f>
        <v/>
      </c>
      <c r="J45" s="34">
        <f>MAX(MAX(J38,0)-J40-J41-J43-J44,0)</f>
        <v/>
      </c>
      <c r="K45" s="34">
        <f>MAX(MAX(K38,0)-K40-K41-K43-K44,0)</f>
        <v/>
      </c>
      <c r="L45" s="34">
        <f>MAX(MAX(L38,0)-L40-L41-L43-L44,0)</f>
        <v/>
      </c>
      <c r="M45" s="34">
        <f>MAX(MAX(M38,0)-M40-M41-M43-M44,0)</f>
        <v/>
      </c>
      <c r="N45" s="34">
        <f>MAX(MAX(N38,0)-N40-N41-N43-N44,0)</f>
        <v/>
      </c>
      <c r="O45" s="34">
        <f>MAX(MAX(O38,0)-O40-O41-O43-O44,0)</f>
        <v/>
      </c>
      <c r="P45" s="34">
        <f>MAX(MAX(P38,0)-P40-P41-P43-P44,0)</f>
        <v/>
      </c>
      <c r="Q45" s="34">
        <f>MAX(MAX(Q38,0)-Q40-Q41-Q43-Q44,0)</f>
        <v/>
      </c>
      <c r="R45" s="34">
        <f>MAX(MAX(R38,0)-R40-R41-R43-R44,0)</f>
        <v/>
      </c>
      <c r="S45" s="34">
        <f>MAX(MAX(S38,0)-S40-S41-S43-S44,0)</f>
        <v/>
      </c>
      <c r="T45" s="34">
        <f>MAX(MAX(T38,0)-T40-T41-T43-T44,0)</f>
        <v/>
      </c>
      <c r="U45" s="34">
        <f>MAX(MAX(U38,0)-U40-U41-U43-U44,0)</f>
        <v/>
      </c>
      <c r="V45" s="34">
        <f>MAX(MAX(V38,0)-V40-V41-V43-V44,0)</f>
        <v/>
      </c>
      <c r="W45" s="34">
        <f>MAX(MAX(W38,0)-W40-W41-W43-W44,0)</f>
        <v/>
      </c>
      <c r="X45" s="34">
        <f>MAX(MAX(X38,0)-X40-X41-X43-X44,0)</f>
        <v/>
      </c>
      <c r="Y45" s="34">
        <f>MAX(MAX(Y38,0)-Y40-Y41-Y43-Y44,0)</f>
        <v/>
      </c>
      <c r="Z45" s="34">
        <f>MAX(MAX(Z38,0)-Z40-Z41-Z43-Z44,0)</f>
        <v/>
      </c>
      <c r="AA45" s="34">
        <f>MAX(MAX(AA38,0)-AA40-AA41-AA43-AA44,0)</f>
        <v/>
      </c>
      <c r="AB45" s="34">
        <f>MAX(MAX(AB38,0)-AB40-AB41-AB43-AB44,0)</f>
        <v/>
      </c>
      <c r="AC45" s="34">
        <f>MAX(MAX(AC38,0)-AC40-AC41-AC43-AC44,0)</f>
        <v/>
      </c>
      <c r="AD45" s="34">
        <f>MAX(MAX(AD38,0)-AD40-AD41-AD43-AD44,0)</f>
        <v/>
      </c>
      <c r="AE45" s="34">
        <f>MAX(MAX(AE38,0)-AE40-AE41-AE43-AE44,0)</f>
        <v/>
      </c>
      <c r="AF45" s="34">
        <f>MAX(MAX(AF38,0)-AF40-AF41-AF43-AF44,0)</f>
        <v/>
      </c>
      <c r="AG45" s="34">
        <f>MAX(MAX(AG38,0)-AG40-AG41-AG43-AG44,0)</f>
        <v/>
      </c>
      <c r="AH45" s="34">
        <f>MAX(MAX(AH38,0)-AH40-AH41-AH43-AH44,0)</f>
        <v/>
      </c>
      <c r="AI45" s="34">
        <f>MAX(MAX(AI38,0)-AI40-AI41-AI43-AI44,0)</f>
        <v/>
      </c>
      <c r="AJ45" s="34">
        <f>MAX(MAX(AJ38,0)-AJ40-AJ41-AJ43-AJ44,0)</f>
        <v/>
      </c>
      <c r="AK45" s="34">
        <f>MAX(MAX(AK38,0)-AK40-AK41-AK43-AK44,0)</f>
        <v/>
      </c>
      <c r="AL45" s="34">
        <f>MAX(MAX(AL38,0)-AL40-AL41-AL43-AL44,0)</f>
        <v/>
      </c>
      <c r="AM45" s="34">
        <f>MAX(MAX(AM38,0)-AM40-AM41-AM43-AM44,0)</f>
        <v/>
      </c>
      <c r="AN45" s="34">
        <f>MAX(MAX(AN38,0)-AN40-AN41-AN43-AN44,0)</f>
        <v/>
      </c>
      <c r="AO45" s="34">
        <f>MAX(MAX(AO38,0)-AO40-AO41-AO43-AO44,0)</f>
        <v/>
      </c>
      <c r="AP45" s="34">
        <f>MAX(MAX(AP38,0)-AP40-AP41-AP43-AP44,0)</f>
        <v/>
      </c>
      <c r="AQ45" s="34">
        <f>MAX(MAX(AQ38,0)-AQ40-AQ41-AQ43-AQ44,0)</f>
        <v/>
      </c>
      <c r="AR45" s="34">
        <f>MAX(MAX(AR38,0)-AR40-AR41-AR43-AR44,0)</f>
        <v/>
      </c>
      <c r="AS45" s="34">
        <f>MAX(MAX(AS38,0)-AS40-AS41-AS43-AS44,0)</f>
        <v/>
      </c>
      <c r="AT45" s="34">
        <f>MAX(MAX(AT38,0)-AT40-AT41-AT43-AT44,0)</f>
        <v/>
      </c>
      <c r="AU45" s="34">
        <f>MAX(MAX(AU38,0)-AU40-AU41-AU43-AU44,0)</f>
        <v/>
      </c>
      <c r="AV45" s="34">
        <f>MAX(MAX(AV38,0)-AV40-AV41-AV43-AV44,0)</f>
        <v/>
      </c>
      <c r="AW45" s="34">
        <f>MAX(MAX(AW38,0)-AW40-AW41-AW43-AW44,0)</f>
        <v/>
      </c>
      <c r="AX45" s="34">
        <f>MAX(MAX(AX38,0)-AX40-AX41-AX43-AX44,0)</f>
        <v/>
      </c>
      <c r="AY45" s="34">
        <f>MAX(MAX(AY38,0)-AY40-AY41-AY43-AY44,0)</f>
        <v/>
      </c>
      <c r="AZ45" s="34">
        <f>MAX(MAX(AZ38,0)-AZ40-AZ41-AZ43-AZ44,0)</f>
        <v/>
      </c>
      <c r="BA45" s="34">
        <f>MAX(MAX(BA38,0)-BA40-BA41-BA43-BA44,0)</f>
        <v/>
      </c>
      <c r="BB45" s="34">
        <f>MAX(MAX(BB38,0)-BB40-BB41-BB43-BB44,0)</f>
        <v/>
      </c>
      <c r="BC45" s="34">
        <f>MAX(MAX(BC38,0)-BC40-BC41-BC43-BC44,0)</f>
        <v/>
      </c>
      <c r="BD45" s="34">
        <f>MAX(MAX(BD38,0)-BD40-BD41-BD43-BD44,0)</f>
        <v/>
      </c>
      <c r="BE45" s="34">
        <f>MAX(MAX(BE38,0)-BE40-BE41-BE43-BE44,0)</f>
        <v/>
      </c>
      <c r="BF45" s="34">
        <f>MAX(MAX(BF38,0)-BF40-BF41-BF43-BF44,0)</f>
        <v/>
      </c>
      <c r="BG45" s="34">
        <f>MAX(MAX(BG38,0)-BG40-BG41-BG43-BG44,0)</f>
        <v/>
      </c>
      <c r="BH45" s="34">
        <f>MAX(MAX(BH38,0)-BH40-BH41-BH43-BH44,0)</f>
        <v/>
      </c>
      <c r="BI45" s="34">
        <f>MAX(MAX(BI38,0)-BI40-BI41-BI43-BI44,0)</f>
        <v/>
      </c>
      <c r="BJ45" s="34">
        <f>MAX(MAX(BJ38,0)-BJ40-BJ41-BJ43-BJ44,0)</f>
        <v/>
      </c>
      <c r="BK45" s="34">
        <f>MAX(MAX(BK38,0)-BK40-BK41-BK43-BK44,0)</f>
        <v/>
      </c>
      <c r="BL45" s="34">
        <f>MAX(MAX(BL38,0)-BL40-BL41-BL43-BL44,0)</f>
        <v/>
      </c>
      <c r="BM45" s="34">
        <f>MAX(MAX(BM38,0)-BM40-BM41-BM43-BM44,0)</f>
        <v/>
      </c>
      <c r="BN45" s="34">
        <f>MAX(MAX(BN38,0)-BN40-BN41-BN43-BN44,0)</f>
        <v/>
      </c>
      <c r="BO45" s="34">
        <f>MAX(MAX(BO38,0)-BO40-BO41-BO43-BO44,0)</f>
        <v/>
      </c>
      <c r="BP45" s="34">
        <f>MAX(MAX(BP38,0)-BP40-BP41-BP43-BP44,0)</f>
        <v/>
      </c>
      <c r="BQ45" s="34">
        <f>MAX(MAX(BQ38,0)-BQ40-BQ41-BQ43-BQ44,0)</f>
        <v/>
      </c>
      <c r="BR45" s="34">
        <f>MAX(MAX(BR38,0)-BR40-BR41-BR43-BR44,0)</f>
        <v/>
      </c>
      <c r="BS45" s="34">
        <f>MAX(MAX(BS38,0)-BS40-BS41-BS43-BS44,0)</f>
        <v/>
      </c>
      <c r="BT45" s="34">
        <f>MAX(MAX(BT38,0)-BT40-BT41-BT43-BT44,0)</f>
        <v/>
      </c>
      <c r="BU45" s="34">
        <f>MAX(MAX(BU38,0)-BU40-BU41-BU43-BU44,0)</f>
        <v/>
      </c>
      <c r="BV45" s="34">
        <f>MAX(MAX(BV38,0)-BV40-BV41-BV43-BV44,0)</f>
        <v/>
      </c>
      <c r="BW45" s="34">
        <f>MAX(MAX(BW38,0)-BW40-BW41-BW43-BW44,0)</f>
        <v/>
      </c>
      <c r="BX45" s="34">
        <f>MAX(MAX(BX38,0)-BX40-BX41-BX43-BX44,0)</f>
        <v/>
      </c>
      <c r="BY45" s="34">
        <f>MAX(MAX(BY38,0)-BY40-BY41-BY43-BY44,0)</f>
        <v/>
      </c>
      <c r="BZ45" s="34">
        <f>MAX(MAX(BZ38,0)-BZ40-BZ41-BZ43-BZ44,0)</f>
        <v/>
      </c>
      <c r="CA45" s="34">
        <f>MAX(MAX(CA38,0)-CA40-CA41-CA43-CA44,0)</f>
        <v/>
      </c>
      <c r="CB45" s="34">
        <f>MAX(MAX(CB38,0)-CB40-CB41-CB43-CB44,0)</f>
        <v/>
      </c>
      <c r="CC45" s="34">
        <f>MAX(MAX(CC38,0)-CC40-CC41-CC43-CC44,0)</f>
        <v/>
      </c>
      <c r="CD45" s="34">
        <f>MAX(MAX(CD38,0)-CD40-CD41-CD43-CD44,0)</f>
        <v/>
      </c>
      <c r="CE45" s="34">
        <f>MAX(MAX(CE38,0)-CE40-CE41-CE43-CE44,0)</f>
        <v/>
      </c>
      <c r="CF45" s="34">
        <f>MAX(MAX(CF38,0)-CF40-CF41-CF43-CF44,0)</f>
        <v/>
      </c>
      <c r="CG45" s="34">
        <f>MAX(MAX(CG38,0)-CG40-CG41-CG43-CG44,0)</f>
        <v/>
      </c>
      <c r="CH45" s="34">
        <f>MAX(MAX(CH38,0)-CH40-CH41-CH43-CH44,0)</f>
        <v/>
      </c>
      <c r="CI45" s="34">
        <f>MAX(MAX(CI38,0)-CI40-CI41-CI43-CI44,0)</f>
        <v/>
      </c>
      <c r="CJ45" s="34">
        <f>MAX(MAX(CJ38,0)-CJ40-CJ41-CJ43-CJ44,0)</f>
        <v/>
      </c>
      <c r="CK45" s="34">
        <f>MAX(MAX(CK38,0)-CK40-CK41-CK43-CK44,0)</f>
        <v/>
      </c>
      <c r="CL45" s="34">
        <f>MAX(MAX(CL38,0)-CL40-CL41-CL43-CL44,0)</f>
        <v/>
      </c>
      <c r="CM45" s="34">
        <f>MAX(MAX(CM38,0)-CM40-CM41-CM43-CM44,0)</f>
        <v/>
      </c>
      <c r="CN45" s="34">
        <f>MAX(MAX(CN38,0)-CN40-CN41-CN43-CN44,0)</f>
        <v/>
      </c>
      <c r="CO45" s="34">
        <f>MAX(MAX(CO38,0)-CO40-CO41-CO43-CO44,0)</f>
        <v/>
      </c>
      <c r="CP45" s="34">
        <f>MAX(MAX(CP38,0)-CP40-CP41-CP43-CP44,0)</f>
        <v/>
      </c>
      <c r="CQ45" s="34">
        <f>MAX(MAX(CQ38,0)-CQ40-CQ41-CQ43-CQ44,0)</f>
        <v/>
      </c>
      <c r="CR45" s="34">
        <f>MAX(MAX(CR38,0)-CR40-CR41-CR43-CR44,0)</f>
        <v/>
      </c>
      <c r="CS45" s="34">
        <f>MAX(MAX(CS38,0)-CS40-CS41-CS43-CS44,0)</f>
        <v/>
      </c>
      <c r="CT45" s="34">
        <f>MAX(MAX(CT38,0)-CT40-CT41-CT43-CT44,0)</f>
        <v/>
      </c>
      <c r="CU45" s="34">
        <f>MAX(MAX(CU38,0)-CU40-CU41-CU43-CU44,0)</f>
        <v/>
      </c>
    </row>
    <row r="46">
      <c r="A46" s="7" t="inlineStr">
        <is>
          <t>Surplus cash</t>
        </is>
      </c>
      <c r="B46" s="1" t="n"/>
      <c r="C46" s="11" t="inlineStr"/>
      <c r="D46" s="34">
        <f>MAX(-D38,0)</f>
        <v/>
      </c>
      <c r="E46" s="34">
        <f>MAX(-E38,0)</f>
        <v/>
      </c>
      <c r="F46" s="34">
        <f>MAX(-F38,0)</f>
        <v/>
      </c>
      <c r="G46" s="34">
        <f>MAX(-G38,0)</f>
        <v/>
      </c>
      <c r="H46" s="34">
        <f>MAX(-H38,0)</f>
        <v/>
      </c>
      <c r="I46" s="34">
        <f>MAX(-I38,0)</f>
        <v/>
      </c>
      <c r="J46" s="34">
        <f>MAX(-J38,0)</f>
        <v/>
      </c>
      <c r="K46" s="34">
        <f>MAX(-K38,0)</f>
        <v/>
      </c>
      <c r="L46" s="34">
        <f>MAX(-L38,0)</f>
        <v/>
      </c>
      <c r="M46" s="34">
        <f>MAX(-M38,0)</f>
        <v/>
      </c>
      <c r="N46" s="34">
        <f>MAX(-N38,0)</f>
        <v/>
      </c>
      <c r="O46" s="34">
        <f>MAX(-O38,0)</f>
        <v/>
      </c>
      <c r="P46" s="34">
        <f>MAX(-P38,0)</f>
        <v/>
      </c>
      <c r="Q46" s="34">
        <f>MAX(-Q38,0)</f>
        <v/>
      </c>
      <c r="R46" s="34">
        <f>MAX(-R38,0)</f>
        <v/>
      </c>
      <c r="S46" s="34">
        <f>MAX(-S38,0)</f>
        <v/>
      </c>
      <c r="T46" s="34">
        <f>MAX(-T38,0)</f>
        <v/>
      </c>
      <c r="U46" s="34">
        <f>MAX(-U38,0)</f>
        <v/>
      </c>
      <c r="V46" s="34">
        <f>MAX(-V38,0)</f>
        <v/>
      </c>
      <c r="W46" s="34">
        <f>MAX(-W38,0)</f>
        <v/>
      </c>
      <c r="X46" s="34">
        <f>MAX(-X38,0)</f>
        <v/>
      </c>
      <c r="Y46" s="34">
        <f>MAX(-Y38,0)</f>
        <v/>
      </c>
      <c r="Z46" s="34">
        <f>MAX(-Z38,0)</f>
        <v/>
      </c>
      <c r="AA46" s="34">
        <f>MAX(-AA38,0)</f>
        <v/>
      </c>
      <c r="AB46" s="34">
        <f>MAX(-AB38,0)</f>
        <v/>
      </c>
      <c r="AC46" s="34">
        <f>MAX(-AC38,0)</f>
        <v/>
      </c>
      <c r="AD46" s="34">
        <f>MAX(-AD38,0)</f>
        <v/>
      </c>
      <c r="AE46" s="34">
        <f>MAX(-AE38,0)</f>
        <v/>
      </c>
      <c r="AF46" s="34">
        <f>MAX(-AF38,0)</f>
        <v/>
      </c>
      <c r="AG46" s="34">
        <f>MAX(-AG38,0)</f>
        <v/>
      </c>
      <c r="AH46" s="34">
        <f>MAX(-AH38,0)</f>
        <v/>
      </c>
      <c r="AI46" s="34">
        <f>MAX(-AI38,0)</f>
        <v/>
      </c>
      <c r="AJ46" s="34">
        <f>MAX(-AJ38,0)</f>
        <v/>
      </c>
      <c r="AK46" s="34">
        <f>MAX(-AK38,0)</f>
        <v/>
      </c>
      <c r="AL46" s="34">
        <f>MAX(-AL38,0)</f>
        <v/>
      </c>
      <c r="AM46" s="34">
        <f>MAX(-AM38,0)</f>
        <v/>
      </c>
      <c r="AN46" s="34">
        <f>MAX(-AN38,0)</f>
        <v/>
      </c>
      <c r="AO46" s="34">
        <f>MAX(-AO38,0)</f>
        <v/>
      </c>
      <c r="AP46" s="34">
        <f>MAX(-AP38,0)</f>
        <v/>
      </c>
      <c r="AQ46" s="34">
        <f>MAX(-AQ38,0)</f>
        <v/>
      </c>
      <c r="AR46" s="34">
        <f>MAX(-AR38,0)</f>
        <v/>
      </c>
      <c r="AS46" s="34">
        <f>MAX(-AS38,0)</f>
        <v/>
      </c>
      <c r="AT46" s="34">
        <f>MAX(-AT38,0)</f>
        <v/>
      </c>
      <c r="AU46" s="34">
        <f>MAX(-AU38,0)</f>
        <v/>
      </c>
      <c r="AV46" s="34">
        <f>MAX(-AV38,0)</f>
        <v/>
      </c>
      <c r="AW46" s="34">
        <f>MAX(-AW38,0)</f>
        <v/>
      </c>
      <c r="AX46" s="34">
        <f>MAX(-AX38,0)</f>
        <v/>
      </c>
      <c r="AY46" s="34">
        <f>MAX(-AY38,0)</f>
        <v/>
      </c>
      <c r="AZ46" s="34">
        <f>MAX(-AZ38,0)</f>
        <v/>
      </c>
      <c r="BA46" s="34">
        <f>MAX(-BA38,0)</f>
        <v/>
      </c>
      <c r="BB46" s="34">
        <f>MAX(-BB38,0)</f>
        <v/>
      </c>
      <c r="BC46" s="34">
        <f>MAX(-BC38,0)</f>
        <v/>
      </c>
      <c r="BD46" s="34">
        <f>MAX(-BD38,0)</f>
        <v/>
      </c>
      <c r="BE46" s="34">
        <f>MAX(-BE38,0)</f>
        <v/>
      </c>
      <c r="BF46" s="34">
        <f>MAX(-BF38,0)</f>
        <v/>
      </c>
      <c r="BG46" s="34">
        <f>MAX(-BG38,0)</f>
        <v/>
      </c>
      <c r="BH46" s="34">
        <f>MAX(-BH38,0)</f>
        <v/>
      </c>
      <c r="BI46" s="34">
        <f>MAX(-BI38,0)</f>
        <v/>
      </c>
      <c r="BJ46" s="34">
        <f>MAX(-BJ38,0)</f>
        <v/>
      </c>
      <c r="BK46" s="34">
        <f>MAX(-BK38,0)</f>
        <v/>
      </c>
      <c r="BL46" s="34">
        <f>MAX(-BL38,0)</f>
        <v/>
      </c>
      <c r="BM46" s="34">
        <f>MAX(-BM38,0)</f>
        <v/>
      </c>
      <c r="BN46" s="34">
        <f>MAX(-BN38,0)</f>
        <v/>
      </c>
      <c r="BO46" s="34">
        <f>MAX(-BO38,0)</f>
        <v/>
      </c>
      <c r="BP46" s="34">
        <f>MAX(-BP38,0)</f>
        <v/>
      </c>
      <c r="BQ46" s="34">
        <f>MAX(-BQ38,0)</f>
        <v/>
      </c>
      <c r="BR46" s="34">
        <f>MAX(-BR38,0)</f>
        <v/>
      </c>
      <c r="BS46" s="34">
        <f>MAX(-BS38,0)</f>
        <v/>
      </c>
      <c r="BT46" s="34">
        <f>MAX(-BT38,0)</f>
        <v/>
      </c>
      <c r="BU46" s="34">
        <f>MAX(-BU38,0)</f>
        <v/>
      </c>
      <c r="BV46" s="34">
        <f>MAX(-BV38,0)</f>
        <v/>
      </c>
      <c r="BW46" s="34">
        <f>MAX(-BW38,0)</f>
        <v/>
      </c>
      <c r="BX46" s="34">
        <f>MAX(-BX38,0)</f>
        <v/>
      </c>
      <c r="BY46" s="34">
        <f>MAX(-BY38,0)</f>
        <v/>
      </c>
      <c r="BZ46" s="34">
        <f>MAX(-BZ38,0)</f>
        <v/>
      </c>
      <c r="CA46" s="34">
        <f>MAX(-CA38,0)</f>
        <v/>
      </c>
      <c r="CB46" s="34">
        <f>MAX(-CB38,0)</f>
        <v/>
      </c>
      <c r="CC46" s="34">
        <f>MAX(-CC38,0)</f>
        <v/>
      </c>
      <c r="CD46" s="34">
        <f>MAX(-CD38,0)</f>
        <v/>
      </c>
      <c r="CE46" s="34">
        <f>MAX(-CE38,0)</f>
        <v/>
      </c>
      <c r="CF46" s="34">
        <f>MAX(-CF38,0)</f>
        <v/>
      </c>
      <c r="CG46" s="34">
        <f>MAX(-CG38,0)</f>
        <v/>
      </c>
      <c r="CH46" s="34">
        <f>MAX(-CH38,0)</f>
        <v/>
      </c>
      <c r="CI46" s="34">
        <f>MAX(-CI38,0)</f>
        <v/>
      </c>
      <c r="CJ46" s="34">
        <f>MAX(-CJ38,0)</f>
        <v/>
      </c>
      <c r="CK46" s="34">
        <f>MAX(-CK38,0)</f>
        <v/>
      </c>
      <c r="CL46" s="34">
        <f>MAX(-CL38,0)</f>
        <v/>
      </c>
      <c r="CM46" s="34">
        <f>MAX(-CM38,0)</f>
        <v/>
      </c>
      <c r="CN46" s="34">
        <f>MAX(-CN38,0)</f>
        <v/>
      </c>
      <c r="CO46" s="34">
        <f>MAX(-CO38,0)</f>
        <v/>
      </c>
      <c r="CP46" s="34">
        <f>MAX(-CP38,0)</f>
        <v/>
      </c>
      <c r="CQ46" s="34">
        <f>MAX(-CQ38,0)</f>
        <v/>
      </c>
      <c r="CR46" s="34">
        <f>MAX(-CR38,0)</f>
        <v/>
      </c>
      <c r="CS46" s="34">
        <f>MAX(-CS38,0)</f>
        <v/>
      </c>
      <c r="CT46" s="34">
        <f>MAX(-CT38,0)</f>
        <v/>
      </c>
      <c r="CU46" s="34">
        <f>MAX(-CU38,0)</f>
        <v/>
      </c>
    </row>
    <row r="47">
      <c r="A47" s="7" t="inlineStr">
        <is>
          <t>Cash swept to debt</t>
        </is>
      </c>
      <c r="B47" s="1" t="n"/>
      <c r="C47" s="11" t="inlineStr"/>
      <c r="D47" s="34">
        <f>IF(D18=1,IF(D17=1,D46,IF(in_mode_sale=0,0,D46*in_fin_sweep_pct)),0)</f>
        <v/>
      </c>
      <c r="E47" s="34">
        <f>IF(E18=1,IF(E17=1,E46,IF(in_mode_sale=0,0,E46*in_fin_sweep_pct)),0)</f>
        <v/>
      </c>
      <c r="F47" s="34">
        <f>IF(F18=1,IF(F17=1,F46,IF(in_mode_sale=0,0,F46*in_fin_sweep_pct)),0)</f>
        <v/>
      </c>
      <c r="G47" s="34">
        <f>IF(G18=1,IF(G17=1,G46,IF(in_mode_sale=0,0,G46*in_fin_sweep_pct)),0)</f>
        <v/>
      </c>
      <c r="H47" s="34">
        <f>IF(H18=1,IF(H17=1,H46,IF(in_mode_sale=0,0,H46*in_fin_sweep_pct)),0)</f>
        <v/>
      </c>
      <c r="I47" s="34">
        <f>IF(I18=1,IF(I17=1,I46,IF(in_mode_sale=0,0,I46*in_fin_sweep_pct)),0)</f>
        <v/>
      </c>
      <c r="J47" s="34">
        <f>IF(J18=1,IF(J17=1,J46,IF(in_mode_sale=0,0,J46*in_fin_sweep_pct)),0)</f>
        <v/>
      </c>
      <c r="K47" s="34">
        <f>IF(K18=1,IF(K17=1,K46,IF(in_mode_sale=0,0,K46*in_fin_sweep_pct)),0)</f>
        <v/>
      </c>
      <c r="L47" s="34">
        <f>IF(L18=1,IF(L17=1,L46,IF(in_mode_sale=0,0,L46*in_fin_sweep_pct)),0)</f>
        <v/>
      </c>
      <c r="M47" s="34">
        <f>IF(M18=1,IF(M17=1,M46,IF(in_mode_sale=0,0,M46*in_fin_sweep_pct)),0)</f>
        <v/>
      </c>
      <c r="N47" s="34">
        <f>IF(N18=1,IF(N17=1,N46,IF(in_mode_sale=0,0,N46*in_fin_sweep_pct)),0)</f>
        <v/>
      </c>
      <c r="O47" s="34">
        <f>IF(O18=1,IF(O17=1,O46,IF(in_mode_sale=0,0,O46*in_fin_sweep_pct)),0)</f>
        <v/>
      </c>
      <c r="P47" s="34">
        <f>IF(P18=1,IF(P17=1,P46,IF(in_mode_sale=0,0,P46*in_fin_sweep_pct)),0)</f>
        <v/>
      </c>
      <c r="Q47" s="34">
        <f>IF(Q18=1,IF(Q17=1,Q46,IF(in_mode_sale=0,0,Q46*in_fin_sweep_pct)),0)</f>
        <v/>
      </c>
      <c r="R47" s="34">
        <f>IF(R18=1,IF(R17=1,R46,IF(in_mode_sale=0,0,R46*in_fin_sweep_pct)),0)</f>
        <v/>
      </c>
      <c r="S47" s="34">
        <f>IF(S18=1,IF(S17=1,S46,IF(in_mode_sale=0,0,S46*in_fin_sweep_pct)),0)</f>
        <v/>
      </c>
      <c r="T47" s="34">
        <f>IF(T18=1,IF(T17=1,T46,IF(in_mode_sale=0,0,T46*in_fin_sweep_pct)),0)</f>
        <v/>
      </c>
      <c r="U47" s="34">
        <f>IF(U18=1,IF(U17=1,U46,IF(in_mode_sale=0,0,U46*in_fin_sweep_pct)),0)</f>
        <v/>
      </c>
      <c r="V47" s="34">
        <f>IF(V18=1,IF(V17=1,V46,IF(in_mode_sale=0,0,V46*in_fin_sweep_pct)),0)</f>
        <v/>
      </c>
      <c r="W47" s="34">
        <f>IF(W18=1,IF(W17=1,W46,IF(in_mode_sale=0,0,W46*in_fin_sweep_pct)),0)</f>
        <v/>
      </c>
      <c r="X47" s="34">
        <f>IF(X18=1,IF(X17=1,X46,IF(in_mode_sale=0,0,X46*in_fin_sweep_pct)),0)</f>
        <v/>
      </c>
      <c r="Y47" s="34">
        <f>IF(Y18=1,IF(Y17=1,Y46,IF(in_mode_sale=0,0,Y46*in_fin_sweep_pct)),0)</f>
        <v/>
      </c>
      <c r="Z47" s="34">
        <f>IF(Z18=1,IF(Z17=1,Z46,IF(in_mode_sale=0,0,Z46*in_fin_sweep_pct)),0)</f>
        <v/>
      </c>
      <c r="AA47" s="34">
        <f>IF(AA18=1,IF(AA17=1,AA46,IF(in_mode_sale=0,0,AA46*in_fin_sweep_pct)),0)</f>
        <v/>
      </c>
      <c r="AB47" s="34">
        <f>IF(AB18=1,IF(AB17=1,AB46,IF(in_mode_sale=0,0,AB46*in_fin_sweep_pct)),0)</f>
        <v/>
      </c>
      <c r="AC47" s="34">
        <f>IF(AC18=1,IF(AC17=1,AC46,IF(in_mode_sale=0,0,AC46*in_fin_sweep_pct)),0)</f>
        <v/>
      </c>
      <c r="AD47" s="34">
        <f>IF(AD18=1,IF(AD17=1,AD46,IF(in_mode_sale=0,0,AD46*in_fin_sweep_pct)),0)</f>
        <v/>
      </c>
      <c r="AE47" s="34">
        <f>IF(AE18=1,IF(AE17=1,AE46,IF(in_mode_sale=0,0,AE46*in_fin_sweep_pct)),0)</f>
        <v/>
      </c>
      <c r="AF47" s="34">
        <f>IF(AF18=1,IF(AF17=1,AF46,IF(in_mode_sale=0,0,AF46*in_fin_sweep_pct)),0)</f>
        <v/>
      </c>
      <c r="AG47" s="34">
        <f>IF(AG18=1,IF(AG17=1,AG46,IF(in_mode_sale=0,0,AG46*in_fin_sweep_pct)),0)</f>
        <v/>
      </c>
      <c r="AH47" s="34">
        <f>IF(AH18=1,IF(AH17=1,AH46,IF(in_mode_sale=0,0,AH46*in_fin_sweep_pct)),0)</f>
        <v/>
      </c>
      <c r="AI47" s="34">
        <f>IF(AI18=1,IF(AI17=1,AI46,IF(in_mode_sale=0,0,AI46*in_fin_sweep_pct)),0)</f>
        <v/>
      </c>
      <c r="AJ47" s="34">
        <f>IF(AJ18=1,IF(AJ17=1,AJ46,IF(in_mode_sale=0,0,AJ46*in_fin_sweep_pct)),0)</f>
        <v/>
      </c>
      <c r="AK47" s="34">
        <f>IF(AK18=1,IF(AK17=1,AK46,IF(in_mode_sale=0,0,AK46*in_fin_sweep_pct)),0)</f>
        <v/>
      </c>
      <c r="AL47" s="34">
        <f>IF(AL18=1,IF(AL17=1,AL46,IF(in_mode_sale=0,0,AL46*in_fin_sweep_pct)),0)</f>
        <v/>
      </c>
      <c r="AM47" s="34">
        <f>IF(AM18=1,IF(AM17=1,AM46,IF(in_mode_sale=0,0,AM46*in_fin_sweep_pct)),0)</f>
        <v/>
      </c>
      <c r="AN47" s="34">
        <f>IF(AN18=1,IF(AN17=1,AN46,IF(in_mode_sale=0,0,AN46*in_fin_sweep_pct)),0)</f>
        <v/>
      </c>
      <c r="AO47" s="34">
        <f>IF(AO18=1,IF(AO17=1,AO46,IF(in_mode_sale=0,0,AO46*in_fin_sweep_pct)),0)</f>
        <v/>
      </c>
      <c r="AP47" s="34">
        <f>IF(AP18=1,IF(AP17=1,AP46,IF(in_mode_sale=0,0,AP46*in_fin_sweep_pct)),0)</f>
        <v/>
      </c>
      <c r="AQ47" s="34">
        <f>IF(AQ18=1,IF(AQ17=1,AQ46,IF(in_mode_sale=0,0,AQ46*in_fin_sweep_pct)),0)</f>
        <v/>
      </c>
      <c r="AR47" s="34">
        <f>IF(AR18=1,IF(AR17=1,AR46,IF(in_mode_sale=0,0,AR46*in_fin_sweep_pct)),0)</f>
        <v/>
      </c>
      <c r="AS47" s="34">
        <f>IF(AS18=1,IF(AS17=1,AS46,IF(in_mode_sale=0,0,AS46*in_fin_sweep_pct)),0)</f>
        <v/>
      </c>
      <c r="AT47" s="34">
        <f>IF(AT18=1,IF(AT17=1,AT46,IF(in_mode_sale=0,0,AT46*in_fin_sweep_pct)),0)</f>
        <v/>
      </c>
      <c r="AU47" s="34">
        <f>IF(AU18=1,IF(AU17=1,AU46,IF(in_mode_sale=0,0,AU46*in_fin_sweep_pct)),0)</f>
        <v/>
      </c>
      <c r="AV47" s="34">
        <f>IF(AV18=1,IF(AV17=1,AV46,IF(in_mode_sale=0,0,AV46*in_fin_sweep_pct)),0)</f>
        <v/>
      </c>
      <c r="AW47" s="34">
        <f>IF(AW18=1,IF(AW17=1,AW46,IF(in_mode_sale=0,0,AW46*in_fin_sweep_pct)),0)</f>
        <v/>
      </c>
      <c r="AX47" s="34">
        <f>IF(AX18=1,IF(AX17=1,AX46,IF(in_mode_sale=0,0,AX46*in_fin_sweep_pct)),0)</f>
        <v/>
      </c>
      <c r="AY47" s="34">
        <f>IF(AY18=1,IF(AY17=1,AY46,IF(in_mode_sale=0,0,AY46*in_fin_sweep_pct)),0)</f>
        <v/>
      </c>
      <c r="AZ47" s="34">
        <f>IF(AZ18=1,IF(AZ17=1,AZ46,IF(in_mode_sale=0,0,AZ46*in_fin_sweep_pct)),0)</f>
        <v/>
      </c>
      <c r="BA47" s="34">
        <f>IF(BA18=1,IF(BA17=1,BA46,IF(in_mode_sale=0,0,BA46*in_fin_sweep_pct)),0)</f>
        <v/>
      </c>
      <c r="BB47" s="34">
        <f>IF(BB18=1,IF(BB17=1,BB46,IF(in_mode_sale=0,0,BB46*in_fin_sweep_pct)),0)</f>
        <v/>
      </c>
      <c r="BC47" s="34">
        <f>IF(BC18=1,IF(BC17=1,BC46,IF(in_mode_sale=0,0,BC46*in_fin_sweep_pct)),0)</f>
        <v/>
      </c>
      <c r="BD47" s="34">
        <f>IF(BD18=1,IF(BD17=1,BD46,IF(in_mode_sale=0,0,BD46*in_fin_sweep_pct)),0)</f>
        <v/>
      </c>
      <c r="BE47" s="34">
        <f>IF(BE18=1,IF(BE17=1,BE46,IF(in_mode_sale=0,0,BE46*in_fin_sweep_pct)),0)</f>
        <v/>
      </c>
      <c r="BF47" s="34">
        <f>IF(BF18=1,IF(BF17=1,BF46,IF(in_mode_sale=0,0,BF46*in_fin_sweep_pct)),0)</f>
        <v/>
      </c>
      <c r="BG47" s="34">
        <f>IF(BG18=1,IF(BG17=1,BG46,IF(in_mode_sale=0,0,BG46*in_fin_sweep_pct)),0)</f>
        <v/>
      </c>
      <c r="BH47" s="34">
        <f>IF(BH18=1,IF(BH17=1,BH46,IF(in_mode_sale=0,0,BH46*in_fin_sweep_pct)),0)</f>
        <v/>
      </c>
      <c r="BI47" s="34">
        <f>IF(BI18=1,IF(BI17=1,BI46,IF(in_mode_sale=0,0,BI46*in_fin_sweep_pct)),0)</f>
        <v/>
      </c>
      <c r="BJ47" s="34">
        <f>IF(BJ18=1,IF(BJ17=1,BJ46,IF(in_mode_sale=0,0,BJ46*in_fin_sweep_pct)),0)</f>
        <v/>
      </c>
      <c r="BK47" s="34">
        <f>IF(BK18=1,IF(BK17=1,BK46,IF(in_mode_sale=0,0,BK46*in_fin_sweep_pct)),0)</f>
        <v/>
      </c>
      <c r="BL47" s="34">
        <f>IF(BL18=1,IF(BL17=1,BL46,IF(in_mode_sale=0,0,BL46*in_fin_sweep_pct)),0)</f>
        <v/>
      </c>
      <c r="BM47" s="34">
        <f>IF(BM18=1,IF(BM17=1,BM46,IF(in_mode_sale=0,0,BM46*in_fin_sweep_pct)),0)</f>
        <v/>
      </c>
      <c r="BN47" s="34">
        <f>IF(BN18=1,IF(BN17=1,BN46,IF(in_mode_sale=0,0,BN46*in_fin_sweep_pct)),0)</f>
        <v/>
      </c>
      <c r="BO47" s="34">
        <f>IF(BO18=1,IF(BO17=1,BO46,IF(in_mode_sale=0,0,BO46*in_fin_sweep_pct)),0)</f>
        <v/>
      </c>
      <c r="BP47" s="34">
        <f>IF(BP18=1,IF(BP17=1,BP46,IF(in_mode_sale=0,0,BP46*in_fin_sweep_pct)),0)</f>
        <v/>
      </c>
      <c r="BQ47" s="34">
        <f>IF(BQ18=1,IF(BQ17=1,BQ46,IF(in_mode_sale=0,0,BQ46*in_fin_sweep_pct)),0)</f>
        <v/>
      </c>
      <c r="BR47" s="34">
        <f>IF(BR18=1,IF(BR17=1,BR46,IF(in_mode_sale=0,0,BR46*in_fin_sweep_pct)),0)</f>
        <v/>
      </c>
      <c r="BS47" s="34">
        <f>IF(BS18=1,IF(BS17=1,BS46,IF(in_mode_sale=0,0,BS46*in_fin_sweep_pct)),0)</f>
        <v/>
      </c>
      <c r="BT47" s="34">
        <f>IF(BT18=1,IF(BT17=1,BT46,IF(in_mode_sale=0,0,BT46*in_fin_sweep_pct)),0)</f>
        <v/>
      </c>
      <c r="BU47" s="34">
        <f>IF(BU18=1,IF(BU17=1,BU46,IF(in_mode_sale=0,0,BU46*in_fin_sweep_pct)),0)</f>
        <v/>
      </c>
      <c r="BV47" s="34">
        <f>IF(BV18=1,IF(BV17=1,BV46,IF(in_mode_sale=0,0,BV46*in_fin_sweep_pct)),0)</f>
        <v/>
      </c>
      <c r="BW47" s="34">
        <f>IF(BW18=1,IF(BW17=1,BW46,IF(in_mode_sale=0,0,BW46*in_fin_sweep_pct)),0)</f>
        <v/>
      </c>
      <c r="BX47" s="34">
        <f>IF(BX18=1,IF(BX17=1,BX46,IF(in_mode_sale=0,0,BX46*in_fin_sweep_pct)),0)</f>
        <v/>
      </c>
      <c r="BY47" s="34">
        <f>IF(BY18=1,IF(BY17=1,BY46,IF(in_mode_sale=0,0,BY46*in_fin_sweep_pct)),0)</f>
        <v/>
      </c>
      <c r="BZ47" s="34">
        <f>IF(BZ18=1,IF(BZ17=1,BZ46,IF(in_mode_sale=0,0,BZ46*in_fin_sweep_pct)),0)</f>
        <v/>
      </c>
      <c r="CA47" s="34">
        <f>IF(CA18=1,IF(CA17=1,CA46,IF(in_mode_sale=0,0,CA46*in_fin_sweep_pct)),0)</f>
        <v/>
      </c>
      <c r="CB47" s="34">
        <f>IF(CB18=1,IF(CB17=1,CB46,IF(in_mode_sale=0,0,CB46*in_fin_sweep_pct)),0)</f>
        <v/>
      </c>
      <c r="CC47" s="34">
        <f>IF(CC18=1,IF(CC17=1,CC46,IF(in_mode_sale=0,0,CC46*in_fin_sweep_pct)),0)</f>
        <v/>
      </c>
      <c r="CD47" s="34">
        <f>IF(CD18=1,IF(CD17=1,CD46,IF(in_mode_sale=0,0,CD46*in_fin_sweep_pct)),0)</f>
        <v/>
      </c>
      <c r="CE47" s="34">
        <f>IF(CE18=1,IF(CE17=1,CE46,IF(in_mode_sale=0,0,CE46*in_fin_sweep_pct)),0)</f>
        <v/>
      </c>
      <c r="CF47" s="34">
        <f>IF(CF18=1,IF(CF17=1,CF46,IF(in_mode_sale=0,0,CF46*in_fin_sweep_pct)),0)</f>
        <v/>
      </c>
      <c r="CG47" s="34">
        <f>IF(CG18=1,IF(CG17=1,CG46,IF(in_mode_sale=0,0,CG46*in_fin_sweep_pct)),0)</f>
        <v/>
      </c>
      <c r="CH47" s="34">
        <f>IF(CH18=1,IF(CH17=1,CH46,IF(in_mode_sale=0,0,CH46*in_fin_sweep_pct)),0)</f>
        <v/>
      </c>
      <c r="CI47" s="34">
        <f>IF(CI18=1,IF(CI17=1,CI46,IF(in_mode_sale=0,0,CI46*in_fin_sweep_pct)),0)</f>
        <v/>
      </c>
      <c r="CJ47" s="34">
        <f>IF(CJ18=1,IF(CJ17=1,CJ46,IF(in_mode_sale=0,0,CJ46*in_fin_sweep_pct)),0)</f>
        <v/>
      </c>
      <c r="CK47" s="34">
        <f>IF(CK18=1,IF(CK17=1,CK46,IF(in_mode_sale=0,0,CK46*in_fin_sweep_pct)),0)</f>
        <v/>
      </c>
      <c r="CL47" s="34">
        <f>IF(CL18=1,IF(CL17=1,CL46,IF(in_mode_sale=0,0,CL46*in_fin_sweep_pct)),0)</f>
        <v/>
      </c>
      <c r="CM47" s="34">
        <f>IF(CM18=1,IF(CM17=1,CM46,IF(in_mode_sale=0,0,CM46*in_fin_sweep_pct)),0)</f>
        <v/>
      </c>
      <c r="CN47" s="34">
        <f>IF(CN18=1,IF(CN17=1,CN46,IF(in_mode_sale=0,0,CN46*in_fin_sweep_pct)),0)</f>
        <v/>
      </c>
      <c r="CO47" s="34">
        <f>IF(CO18=1,IF(CO17=1,CO46,IF(in_mode_sale=0,0,CO46*in_fin_sweep_pct)),0)</f>
        <v/>
      </c>
      <c r="CP47" s="34">
        <f>IF(CP18=1,IF(CP17=1,CP46,IF(in_mode_sale=0,0,CP46*in_fin_sweep_pct)),0)</f>
        <v/>
      </c>
      <c r="CQ47" s="34">
        <f>IF(CQ18=1,IF(CQ17=1,CQ46,IF(in_mode_sale=0,0,CQ46*in_fin_sweep_pct)),0)</f>
        <v/>
      </c>
      <c r="CR47" s="34">
        <f>IF(CR18=1,IF(CR17=1,CR46,IF(in_mode_sale=0,0,CR46*in_fin_sweep_pct)),0)</f>
        <v/>
      </c>
      <c r="CS47" s="34">
        <f>IF(CS18=1,IF(CS17=1,CS46,IF(in_mode_sale=0,0,CS46*in_fin_sweep_pct)),0)</f>
        <v/>
      </c>
      <c r="CT47" s="34">
        <f>IF(CT18=1,IF(CT17=1,CT46,IF(in_mode_sale=0,0,CT46*in_fin_sweep_pct)),0)</f>
        <v/>
      </c>
      <c r="CU47" s="34">
        <f>IF(CU18=1,IF(CU17=1,CU46,IF(in_mode_sale=0,0,CU46*in_fin_sweep_pct)),0)</f>
        <v/>
      </c>
    </row>
    <row r="48">
      <c r="A48" s="7" t="inlineStr">
        <is>
          <t>Senior balance before repayment</t>
        </is>
      </c>
      <c r="B48" s="1" t="n"/>
      <c r="C48" s="11" t="inlineStr"/>
      <c r="D48" s="34">
        <f>D29+D34+D44-D37</f>
        <v/>
      </c>
      <c r="E48" s="34">
        <f>E29+E34+E44-E37</f>
        <v/>
      </c>
      <c r="F48" s="34">
        <f>F29+F34+F44-F37</f>
        <v/>
      </c>
      <c r="G48" s="34">
        <f>G29+G34+G44-G37</f>
        <v/>
      </c>
      <c r="H48" s="34">
        <f>H29+H34+H44-H37</f>
        <v/>
      </c>
      <c r="I48" s="34">
        <f>I29+I34+I44-I37</f>
        <v/>
      </c>
      <c r="J48" s="34">
        <f>J29+J34+J44-J37</f>
        <v/>
      </c>
      <c r="K48" s="34">
        <f>K29+K34+K44-K37</f>
        <v/>
      </c>
      <c r="L48" s="34">
        <f>L29+L34+L44-L37</f>
        <v/>
      </c>
      <c r="M48" s="34">
        <f>M29+M34+M44-M37</f>
        <v/>
      </c>
      <c r="N48" s="34">
        <f>N29+N34+N44-N37</f>
        <v/>
      </c>
      <c r="O48" s="34">
        <f>O29+O34+O44-O37</f>
        <v/>
      </c>
      <c r="P48" s="34">
        <f>P29+P34+P44-P37</f>
        <v/>
      </c>
      <c r="Q48" s="34">
        <f>Q29+Q34+Q44-Q37</f>
        <v/>
      </c>
      <c r="R48" s="34">
        <f>R29+R34+R44-R37</f>
        <v/>
      </c>
      <c r="S48" s="34">
        <f>S29+S34+S44-S37</f>
        <v/>
      </c>
      <c r="T48" s="34">
        <f>T29+T34+T44-T37</f>
        <v/>
      </c>
      <c r="U48" s="34">
        <f>U29+U34+U44-U37</f>
        <v/>
      </c>
      <c r="V48" s="34">
        <f>V29+V34+V44-V37</f>
        <v/>
      </c>
      <c r="W48" s="34">
        <f>W29+W34+W44-W37</f>
        <v/>
      </c>
      <c r="X48" s="34">
        <f>X29+X34+X44-X37</f>
        <v/>
      </c>
      <c r="Y48" s="34">
        <f>Y29+Y34+Y44-Y37</f>
        <v/>
      </c>
      <c r="Z48" s="34">
        <f>Z29+Z34+Z44-Z37</f>
        <v/>
      </c>
      <c r="AA48" s="34">
        <f>AA29+AA34+AA44-AA37</f>
        <v/>
      </c>
      <c r="AB48" s="34">
        <f>AB29+AB34+AB44-AB37</f>
        <v/>
      </c>
      <c r="AC48" s="34">
        <f>AC29+AC34+AC44-AC37</f>
        <v/>
      </c>
      <c r="AD48" s="34">
        <f>AD29+AD34+AD44-AD37</f>
        <v/>
      </c>
      <c r="AE48" s="34">
        <f>AE29+AE34+AE44-AE37</f>
        <v/>
      </c>
      <c r="AF48" s="34">
        <f>AF29+AF34+AF44-AF37</f>
        <v/>
      </c>
      <c r="AG48" s="34">
        <f>AG29+AG34+AG44-AG37</f>
        <v/>
      </c>
      <c r="AH48" s="34">
        <f>AH29+AH34+AH44-AH37</f>
        <v/>
      </c>
      <c r="AI48" s="34">
        <f>AI29+AI34+AI44-AI37</f>
        <v/>
      </c>
      <c r="AJ48" s="34">
        <f>AJ29+AJ34+AJ44-AJ37</f>
        <v/>
      </c>
      <c r="AK48" s="34">
        <f>AK29+AK34+AK44-AK37</f>
        <v/>
      </c>
      <c r="AL48" s="34">
        <f>AL29+AL34+AL44-AL37</f>
        <v/>
      </c>
      <c r="AM48" s="34">
        <f>AM29+AM34+AM44-AM37</f>
        <v/>
      </c>
      <c r="AN48" s="34">
        <f>AN29+AN34+AN44-AN37</f>
        <v/>
      </c>
      <c r="AO48" s="34">
        <f>AO29+AO34+AO44-AO37</f>
        <v/>
      </c>
      <c r="AP48" s="34">
        <f>AP29+AP34+AP44-AP37</f>
        <v/>
      </c>
      <c r="AQ48" s="34">
        <f>AQ29+AQ34+AQ44-AQ37</f>
        <v/>
      </c>
      <c r="AR48" s="34">
        <f>AR29+AR34+AR44-AR37</f>
        <v/>
      </c>
      <c r="AS48" s="34">
        <f>AS29+AS34+AS44-AS37</f>
        <v/>
      </c>
      <c r="AT48" s="34">
        <f>AT29+AT34+AT44-AT37</f>
        <v/>
      </c>
      <c r="AU48" s="34">
        <f>AU29+AU34+AU44-AU37</f>
        <v/>
      </c>
      <c r="AV48" s="34">
        <f>AV29+AV34+AV44-AV37</f>
        <v/>
      </c>
      <c r="AW48" s="34">
        <f>AW29+AW34+AW44-AW37</f>
        <v/>
      </c>
      <c r="AX48" s="34">
        <f>AX29+AX34+AX44-AX37</f>
        <v/>
      </c>
      <c r="AY48" s="34">
        <f>AY29+AY34+AY44-AY37</f>
        <v/>
      </c>
      <c r="AZ48" s="34">
        <f>AZ29+AZ34+AZ44-AZ37</f>
        <v/>
      </c>
      <c r="BA48" s="34">
        <f>BA29+BA34+BA44-BA37</f>
        <v/>
      </c>
      <c r="BB48" s="34">
        <f>BB29+BB34+BB44-BB37</f>
        <v/>
      </c>
      <c r="BC48" s="34">
        <f>BC29+BC34+BC44-BC37</f>
        <v/>
      </c>
      <c r="BD48" s="34">
        <f>BD29+BD34+BD44-BD37</f>
        <v/>
      </c>
      <c r="BE48" s="34">
        <f>BE29+BE34+BE44-BE37</f>
        <v/>
      </c>
      <c r="BF48" s="34">
        <f>BF29+BF34+BF44-BF37</f>
        <v/>
      </c>
      <c r="BG48" s="34">
        <f>BG29+BG34+BG44-BG37</f>
        <v/>
      </c>
      <c r="BH48" s="34">
        <f>BH29+BH34+BH44-BH37</f>
        <v/>
      </c>
      <c r="BI48" s="34">
        <f>BI29+BI34+BI44-BI37</f>
        <v/>
      </c>
      <c r="BJ48" s="34">
        <f>BJ29+BJ34+BJ44-BJ37</f>
        <v/>
      </c>
      <c r="BK48" s="34">
        <f>BK29+BK34+BK44-BK37</f>
        <v/>
      </c>
      <c r="BL48" s="34">
        <f>BL29+BL34+BL44-BL37</f>
        <v/>
      </c>
      <c r="BM48" s="34">
        <f>BM29+BM34+BM44-BM37</f>
        <v/>
      </c>
      <c r="BN48" s="34">
        <f>BN29+BN34+BN44-BN37</f>
        <v/>
      </c>
      <c r="BO48" s="34">
        <f>BO29+BO34+BO44-BO37</f>
        <v/>
      </c>
      <c r="BP48" s="34">
        <f>BP29+BP34+BP44-BP37</f>
        <v/>
      </c>
      <c r="BQ48" s="34">
        <f>BQ29+BQ34+BQ44-BQ37</f>
        <v/>
      </c>
      <c r="BR48" s="34">
        <f>BR29+BR34+BR44-BR37</f>
        <v/>
      </c>
      <c r="BS48" s="34">
        <f>BS29+BS34+BS44-BS37</f>
        <v/>
      </c>
      <c r="BT48" s="34">
        <f>BT29+BT34+BT44-BT37</f>
        <v/>
      </c>
      <c r="BU48" s="34">
        <f>BU29+BU34+BU44-BU37</f>
        <v/>
      </c>
      <c r="BV48" s="34">
        <f>BV29+BV34+BV44-BV37</f>
        <v/>
      </c>
      <c r="BW48" s="34">
        <f>BW29+BW34+BW44-BW37</f>
        <v/>
      </c>
      <c r="BX48" s="34">
        <f>BX29+BX34+BX44-BX37</f>
        <v/>
      </c>
      <c r="BY48" s="34">
        <f>BY29+BY34+BY44-BY37</f>
        <v/>
      </c>
      <c r="BZ48" s="34">
        <f>BZ29+BZ34+BZ44-BZ37</f>
        <v/>
      </c>
      <c r="CA48" s="34">
        <f>CA29+CA34+CA44-CA37</f>
        <v/>
      </c>
      <c r="CB48" s="34">
        <f>CB29+CB34+CB44-CB37</f>
        <v/>
      </c>
      <c r="CC48" s="34">
        <f>CC29+CC34+CC44-CC37</f>
        <v/>
      </c>
      <c r="CD48" s="34">
        <f>CD29+CD34+CD44-CD37</f>
        <v/>
      </c>
      <c r="CE48" s="34">
        <f>CE29+CE34+CE44-CE37</f>
        <v/>
      </c>
      <c r="CF48" s="34">
        <f>CF29+CF34+CF44-CF37</f>
        <v/>
      </c>
      <c r="CG48" s="34">
        <f>CG29+CG34+CG44-CG37</f>
        <v/>
      </c>
      <c r="CH48" s="34">
        <f>CH29+CH34+CH44-CH37</f>
        <v/>
      </c>
      <c r="CI48" s="34">
        <f>CI29+CI34+CI44-CI37</f>
        <v/>
      </c>
      <c r="CJ48" s="34">
        <f>CJ29+CJ34+CJ44-CJ37</f>
        <v/>
      </c>
      <c r="CK48" s="34">
        <f>CK29+CK34+CK44-CK37</f>
        <v/>
      </c>
      <c r="CL48" s="34">
        <f>CL29+CL34+CL44-CL37</f>
        <v/>
      </c>
      <c r="CM48" s="34">
        <f>CM29+CM34+CM44-CM37</f>
        <v/>
      </c>
      <c r="CN48" s="34">
        <f>CN29+CN34+CN44-CN37</f>
        <v/>
      </c>
      <c r="CO48" s="34">
        <f>CO29+CO34+CO44-CO37</f>
        <v/>
      </c>
      <c r="CP48" s="34">
        <f>CP29+CP34+CP44-CP37</f>
        <v/>
      </c>
      <c r="CQ48" s="34">
        <f>CQ29+CQ34+CQ44-CQ37</f>
        <v/>
      </c>
      <c r="CR48" s="34">
        <f>CR29+CR34+CR44-CR37</f>
        <v/>
      </c>
      <c r="CS48" s="34">
        <f>CS29+CS34+CS44-CS37</f>
        <v/>
      </c>
      <c r="CT48" s="34">
        <f>CT29+CT34+CT44-CT37</f>
        <v/>
      </c>
      <c r="CU48" s="34">
        <f>CU29+CU34+CU44-CU37</f>
        <v/>
      </c>
    </row>
    <row r="49">
      <c r="A49" s="7" t="inlineStr">
        <is>
          <t>Senior repayment from sweep</t>
        </is>
      </c>
      <c r="B49" s="21">
        <f>SUM(D49:CU49)</f>
        <v/>
      </c>
      <c r="C49" s="11" t="inlineStr"/>
      <c r="D49" s="34">
        <f>MIN(D47,D48)</f>
        <v/>
      </c>
      <c r="E49" s="34">
        <f>MIN(E47,E48)</f>
        <v/>
      </c>
      <c r="F49" s="34">
        <f>MIN(F47,F48)</f>
        <v/>
      </c>
      <c r="G49" s="34">
        <f>MIN(G47,G48)</f>
        <v/>
      </c>
      <c r="H49" s="34">
        <f>MIN(H47,H48)</f>
        <v/>
      </c>
      <c r="I49" s="34">
        <f>MIN(I47,I48)</f>
        <v/>
      </c>
      <c r="J49" s="34">
        <f>MIN(J47,J48)</f>
        <v/>
      </c>
      <c r="K49" s="34">
        <f>MIN(K47,K48)</f>
        <v/>
      </c>
      <c r="L49" s="34">
        <f>MIN(L47,L48)</f>
        <v/>
      </c>
      <c r="M49" s="34">
        <f>MIN(M47,M48)</f>
        <v/>
      </c>
      <c r="N49" s="34">
        <f>MIN(N47,N48)</f>
        <v/>
      </c>
      <c r="O49" s="34">
        <f>MIN(O47,O48)</f>
        <v/>
      </c>
      <c r="P49" s="34">
        <f>MIN(P47,P48)</f>
        <v/>
      </c>
      <c r="Q49" s="34">
        <f>MIN(Q47,Q48)</f>
        <v/>
      </c>
      <c r="R49" s="34">
        <f>MIN(R47,R48)</f>
        <v/>
      </c>
      <c r="S49" s="34">
        <f>MIN(S47,S48)</f>
        <v/>
      </c>
      <c r="T49" s="34">
        <f>MIN(T47,T48)</f>
        <v/>
      </c>
      <c r="U49" s="34">
        <f>MIN(U47,U48)</f>
        <v/>
      </c>
      <c r="V49" s="34">
        <f>MIN(V47,V48)</f>
        <v/>
      </c>
      <c r="W49" s="34">
        <f>MIN(W47,W48)</f>
        <v/>
      </c>
      <c r="X49" s="34">
        <f>MIN(X47,X48)</f>
        <v/>
      </c>
      <c r="Y49" s="34">
        <f>MIN(Y47,Y48)</f>
        <v/>
      </c>
      <c r="Z49" s="34">
        <f>MIN(Z47,Z48)</f>
        <v/>
      </c>
      <c r="AA49" s="34">
        <f>MIN(AA47,AA48)</f>
        <v/>
      </c>
      <c r="AB49" s="34">
        <f>MIN(AB47,AB48)</f>
        <v/>
      </c>
      <c r="AC49" s="34">
        <f>MIN(AC47,AC48)</f>
        <v/>
      </c>
      <c r="AD49" s="34">
        <f>MIN(AD47,AD48)</f>
        <v/>
      </c>
      <c r="AE49" s="34">
        <f>MIN(AE47,AE48)</f>
        <v/>
      </c>
      <c r="AF49" s="34">
        <f>MIN(AF47,AF48)</f>
        <v/>
      </c>
      <c r="AG49" s="34">
        <f>MIN(AG47,AG48)</f>
        <v/>
      </c>
      <c r="AH49" s="34">
        <f>MIN(AH47,AH48)</f>
        <v/>
      </c>
      <c r="AI49" s="34">
        <f>MIN(AI47,AI48)</f>
        <v/>
      </c>
      <c r="AJ49" s="34">
        <f>MIN(AJ47,AJ48)</f>
        <v/>
      </c>
      <c r="AK49" s="34">
        <f>MIN(AK47,AK48)</f>
        <v/>
      </c>
      <c r="AL49" s="34">
        <f>MIN(AL47,AL48)</f>
        <v/>
      </c>
      <c r="AM49" s="34">
        <f>MIN(AM47,AM48)</f>
        <v/>
      </c>
      <c r="AN49" s="34">
        <f>MIN(AN47,AN48)</f>
        <v/>
      </c>
      <c r="AO49" s="34">
        <f>MIN(AO47,AO48)</f>
        <v/>
      </c>
      <c r="AP49" s="34">
        <f>MIN(AP47,AP48)</f>
        <v/>
      </c>
      <c r="AQ49" s="34">
        <f>MIN(AQ47,AQ48)</f>
        <v/>
      </c>
      <c r="AR49" s="34">
        <f>MIN(AR47,AR48)</f>
        <v/>
      </c>
      <c r="AS49" s="34">
        <f>MIN(AS47,AS48)</f>
        <v/>
      </c>
      <c r="AT49" s="34">
        <f>MIN(AT47,AT48)</f>
        <v/>
      </c>
      <c r="AU49" s="34">
        <f>MIN(AU47,AU48)</f>
        <v/>
      </c>
      <c r="AV49" s="34">
        <f>MIN(AV47,AV48)</f>
        <v/>
      </c>
      <c r="AW49" s="34">
        <f>MIN(AW47,AW48)</f>
        <v/>
      </c>
      <c r="AX49" s="34">
        <f>MIN(AX47,AX48)</f>
        <v/>
      </c>
      <c r="AY49" s="34">
        <f>MIN(AY47,AY48)</f>
        <v/>
      </c>
      <c r="AZ49" s="34">
        <f>MIN(AZ47,AZ48)</f>
        <v/>
      </c>
      <c r="BA49" s="34">
        <f>MIN(BA47,BA48)</f>
        <v/>
      </c>
      <c r="BB49" s="34">
        <f>MIN(BB47,BB48)</f>
        <v/>
      </c>
      <c r="BC49" s="34">
        <f>MIN(BC47,BC48)</f>
        <v/>
      </c>
      <c r="BD49" s="34">
        <f>MIN(BD47,BD48)</f>
        <v/>
      </c>
      <c r="BE49" s="34">
        <f>MIN(BE47,BE48)</f>
        <v/>
      </c>
      <c r="BF49" s="34">
        <f>MIN(BF47,BF48)</f>
        <v/>
      </c>
      <c r="BG49" s="34">
        <f>MIN(BG47,BG48)</f>
        <v/>
      </c>
      <c r="BH49" s="34">
        <f>MIN(BH47,BH48)</f>
        <v/>
      </c>
      <c r="BI49" s="34">
        <f>MIN(BI47,BI48)</f>
        <v/>
      </c>
      <c r="BJ49" s="34">
        <f>MIN(BJ47,BJ48)</f>
        <v/>
      </c>
      <c r="BK49" s="34">
        <f>MIN(BK47,BK48)</f>
        <v/>
      </c>
      <c r="BL49" s="34">
        <f>MIN(BL47,BL48)</f>
        <v/>
      </c>
      <c r="BM49" s="34">
        <f>MIN(BM47,BM48)</f>
        <v/>
      </c>
      <c r="BN49" s="34">
        <f>MIN(BN47,BN48)</f>
        <v/>
      </c>
      <c r="BO49" s="34">
        <f>MIN(BO47,BO48)</f>
        <v/>
      </c>
      <c r="BP49" s="34">
        <f>MIN(BP47,BP48)</f>
        <v/>
      </c>
      <c r="BQ49" s="34">
        <f>MIN(BQ47,BQ48)</f>
        <v/>
      </c>
      <c r="BR49" s="34">
        <f>MIN(BR47,BR48)</f>
        <v/>
      </c>
      <c r="BS49" s="34">
        <f>MIN(BS47,BS48)</f>
        <v/>
      </c>
      <c r="BT49" s="34">
        <f>MIN(BT47,BT48)</f>
        <v/>
      </c>
      <c r="BU49" s="34">
        <f>MIN(BU47,BU48)</f>
        <v/>
      </c>
      <c r="BV49" s="34">
        <f>MIN(BV47,BV48)</f>
        <v/>
      </c>
      <c r="BW49" s="34">
        <f>MIN(BW47,BW48)</f>
        <v/>
      </c>
      <c r="BX49" s="34">
        <f>MIN(BX47,BX48)</f>
        <v/>
      </c>
      <c r="BY49" s="34">
        <f>MIN(BY47,BY48)</f>
        <v/>
      </c>
      <c r="BZ49" s="34">
        <f>MIN(BZ47,BZ48)</f>
        <v/>
      </c>
      <c r="CA49" s="34">
        <f>MIN(CA47,CA48)</f>
        <v/>
      </c>
      <c r="CB49" s="34">
        <f>MIN(CB47,CB48)</f>
        <v/>
      </c>
      <c r="CC49" s="34">
        <f>MIN(CC47,CC48)</f>
        <v/>
      </c>
      <c r="CD49" s="34">
        <f>MIN(CD47,CD48)</f>
        <v/>
      </c>
      <c r="CE49" s="34">
        <f>MIN(CE47,CE48)</f>
        <v/>
      </c>
      <c r="CF49" s="34">
        <f>MIN(CF47,CF48)</f>
        <v/>
      </c>
      <c r="CG49" s="34">
        <f>MIN(CG47,CG48)</f>
        <v/>
      </c>
      <c r="CH49" s="34">
        <f>MIN(CH47,CH48)</f>
        <v/>
      </c>
      <c r="CI49" s="34">
        <f>MIN(CI47,CI48)</f>
        <v/>
      </c>
      <c r="CJ49" s="34">
        <f>MIN(CJ47,CJ48)</f>
        <v/>
      </c>
      <c r="CK49" s="34">
        <f>MIN(CK47,CK48)</f>
        <v/>
      </c>
      <c r="CL49" s="34">
        <f>MIN(CL47,CL48)</f>
        <v/>
      </c>
      <c r="CM49" s="34">
        <f>MIN(CM47,CM48)</f>
        <v/>
      </c>
      <c r="CN49" s="34">
        <f>MIN(CN47,CN48)</f>
        <v/>
      </c>
      <c r="CO49" s="34">
        <f>MIN(CO47,CO48)</f>
        <v/>
      </c>
      <c r="CP49" s="34">
        <f>MIN(CP47,CP48)</f>
        <v/>
      </c>
      <c r="CQ49" s="34">
        <f>MIN(CQ47,CQ48)</f>
        <v/>
      </c>
      <c r="CR49" s="34">
        <f>MIN(CR47,CR48)</f>
        <v/>
      </c>
      <c r="CS49" s="34">
        <f>MIN(CS47,CS48)</f>
        <v/>
      </c>
      <c r="CT49" s="34">
        <f>MIN(CT47,CT48)</f>
        <v/>
      </c>
      <c r="CU49" s="34">
        <f>MIN(CU47,CU48)</f>
        <v/>
      </c>
    </row>
    <row r="50">
      <c r="A50" s="7" t="inlineStr">
        <is>
          <t>Mezzanine balance before repayment</t>
        </is>
      </c>
      <c r="B50" s="1" t="n"/>
      <c r="C50" s="11" t="inlineStr"/>
      <c r="D50" s="34">
        <f>D31+D35+D43</f>
        <v/>
      </c>
      <c r="E50" s="34">
        <f>E31+E35+E43</f>
        <v/>
      </c>
      <c r="F50" s="34">
        <f>F31+F35+F43</f>
        <v/>
      </c>
      <c r="G50" s="34">
        <f>G31+G35+G43</f>
        <v/>
      </c>
      <c r="H50" s="34">
        <f>H31+H35+H43</f>
        <v/>
      </c>
      <c r="I50" s="34">
        <f>I31+I35+I43</f>
        <v/>
      </c>
      <c r="J50" s="34">
        <f>J31+J35+J43</f>
        <v/>
      </c>
      <c r="K50" s="34">
        <f>K31+K35+K43</f>
        <v/>
      </c>
      <c r="L50" s="34">
        <f>L31+L35+L43</f>
        <v/>
      </c>
      <c r="M50" s="34">
        <f>M31+M35+M43</f>
        <v/>
      </c>
      <c r="N50" s="34">
        <f>N31+N35+N43</f>
        <v/>
      </c>
      <c r="O50" s="34">
        <f>O31+O35+O43</f>
        <v/>
      </c>
      <c r="P50" s="34">
        <f>P31+P35+P43</f>
        <v/>
      </c>
      <c r="Q50" s="34">
        <f>Q31+Q35+Q43</f>
        <v/>
      </c>
      <c r="R50" s="34">
        <f>R31+R35+R43</f>
        <v/>
      </c>
      <c r="S50" s="34">
        <f>S31+S35+S43</f>
        <v/>
      </c>
      <c r="T50" s="34">
        <f>T31+T35+T43</f>
        <v/>
      </c>
      <c r="U50" s="34">
        <f>U31+U35+U43</f>
        <v/>
      </c>
      <c r="V50" s="34">
        <f>V31+V35+V43</f>
        <v/>
      </c>
      <c r="W50" s="34">
        <f>W31+W35+W43</f>
        <v/>
      </c>
      <c r="X50" s="34">
        <f>X31+X35+X43</f>
        <v/>
      </c>
      <c r="Y50" s="34">
        <f>Y31+Y35+Y43</f>
        <v/>
      </c>
      <c r="Z50" s="34">
        <f>Z31+Z35+Z43</f>
        <v/>
      </c>
      <c r="AA50" s="34">
        <f>AA31+AA35+AA43</f>
        <v/>
      </c>
      <c r="AB50" s="34">
        <f>AB31+AB35+AB43</f>
        <v/>
      </c>
      <c r="AC50" s="34">
        <f>AC31+AC35+AC43</f>
        <v/>
      </c>
      <c r="AD50" s="34">
        <f>AD31+AD35+AD43</f>
        <v/>
      </c>
      <c r="AE50" s="34">
        <f>AE31+AE35+AE43</f>
        <v/>
      </c>
      <c r="AF50" s="34">
        <f>AF31+AF35+AF43</f>
        <v/>
      </c>
      <c r="AG50" s="34">
        <f>AG31+AG35+AG43</f>
        <v/>
      </c>
      <c r="AH50" s="34">
        <f>AH31+AH35+AH43</f>
        <v/>
      </c>
      <c r="AI50" s="34">
        <f>AI31+AI35+AI43</f>
        <v/>
      </c>
      <c r="AJ50" s="34">
        <f>AJ31+AJ35+AJ43</f>
        <v/>
      </c>
      <c r="AK50" s="34">
        <f>AK31+AK35+AK43</f>
        <v/>
      </c>
      <c r="AL50" s="34">
        <f>AL31+AL35+AL43</f>
        <v/>
      </c>
      <c r="AM50" s="34">
        <f>AM31+AM35+AM43</f>
        <v/>
      </c>
      <c r="AN50" s="34">
        <f>AN31+AN35+AN43</f>
        <v/>
      </c>
      <c r="AO50" s="34">
        <f>AO31+AO35+AO43</f>
        <v/>
      </c>
      <c r="AP50" s="34">
        <f>AP31+AP35+AP43</f>
        <v/>
      </c>
      <c r="AQ50" s="34">
        <f>AQ31+AQ35+AQ43</f>
        <v/>
      </c>
      <c r="AR50" s="34">
        <f>AR31+AR35+AR43</f>
        <v/>
      </c>
      <c r="AS50" s="34">
        <f>AS31+AS35+AS43</f>
        <v/>
      </c>
      <c r="AT50" s="34">
        <f>AT31+AT35+AT43</f>
        <v/>
      </c>
      <c r="AU50" s="34">
        <f>AU31+AU35+AU43</f>
        <v/>
      </c>
      <c r="AV50" s="34">
        <f>AV31+AV35+AV43</f>
        <v/>
      </c>
      <c r="AW50" s="34">
        <f>AW31+AW35+AW43</f>
        <v/>
      </c>
      <c r="AX50" s="34">
        <f>AX31+AX35+AX43</f>
        <v/>
      </c>
      <c r="AY50" s="34">
        <f>AY31+AY35+AY43</f>
        <v/>
      </c>
      <c r="AZ50" s="34">
        <f>AZ31+AZ35+AZ43</f>
        <v/>
      </c>
      <c r="BA50" s="34">
        <f>BA31+BA35+BA43</f>
        <v/>
      </c>
      <c r="BB50" s="34">
        <f>BB31+BB35+BB43</f>
        <v/>
      </c>
      <c r="BC50" s="34">
        <f>BC31+BC35+BC43</f>
        <v/>
      </c>
      <c r="BD50" s="34">
        <f>BD31+BD35+BD43</f>
        <v/>
      </c>
      <c r="BE50" s="34">
        <f>BE31+BE35+BE43</f>
        <v/>
      </c>
      <c r="BF50" s="34">
        <f>BF31+BF35+BF43</f>
        <v/>
      </c>
      <c r="BG50" s="34">
        <f>BG31+BG35+BG43</f>
        <v/>
      </c>
      <c r="BH50" s="34">
        <f>BH31+BH35+BH43</f>
        <v/>
      </c>
      <c r="BI50" s="34">
        <f>BI31+BI35+BI43</f>
        <v/>
      </c>
      <c r="BJ50" s="34">
        <f>BJ31+BJ35+BJ43</f>
        <v/>
      </c>
      <c r="BK50" s="34">
        <f>BK31+BK35+BK43</f>
        <v/>
      </c>
      <c r="BL50" s="34">
        <f>BL31+BL35+BL43</f>
        <v/>
      </c>
      <c r="BM50" s="34">
        <f>BM31+BM35+BM43</f>
        <v/>
      </c>
      <c r="BN50" s="34">
        <f>BN31+BN35+BN43</f>
        <v/>
      </c>
      <c r="BO50" s="34">
        <f>BO31+BO35+BO43</f>
        <v/>
      </c>
      <c r="BP50" s="34">
        <f>BP31+BP35+BP43</f>
        <v/>
      </c>
      <c r="BQ50" s="34">
        <f>BQ31+BQ35+BQ43</f>
        <v/>
      </c>
      <c r="BR50" s="34">
        <f>BR31+BR35+BR43</f>
        <v/>
      </c>
      <c r="BS50" s="34">
        <f>BS31+BS35+BS43</f>
        <v/>
      </c>
      <c r="BT50" s="34">
        <f>BT31+BT35+BT43</f>
        <v/>
      </c>
      <c r="BU50" s="34">
        <f>BU31+BU35+BU43</f>
        <v/>
      </c>
      <c r="BV50" s="34">
        <f>BV31+BV35+BV43</f>
        <v/>
      </c>
      <c r="BW50" s="34">
        <f>BW31+BW35+BW43</f>
        <v/>
      </c>
      <c r="BX50" s="34">
        <f>BX31+BX35+BX43</f>
        <v/>
      </c>
      <c r="BY50" s="34">
        <f>BY31+BY35+BY43</f>
        <v/>
      </c>
      <c r="BZ50" s="34">
        <f>BZ31+BZ35+BZ43</f>
        <v/>
      </c>
      <c r="CA50" s="34">
        <f>CA31+CA35+CA43</f>
        <v/>
      </c>
      <c r="CB50" s="34">
        <f>CB31+CB35+CB43</f>
        <v/>
      </c>
      <c r="CC50" s="34">
        <f>CC31+CC35+CC43</f>
        <v/>
      </c>
      <c r="CD50" s="34">
        <f>CD31+CD35+CD43</f>
        <v/>
      </c>
      <c r="CE50" s="34">
        <f>CE31+CE35+CE43</f>
        <v/>
      </c>
      <c r="CF50" s="34">
        <f>CF31+CF35+CF43</f>
        <v/>
      </c>
      <c r="CG50" s="34">
        <f>CG31+CG35+CG43</f>
        <v/>
      </c>
      <c r="CH50" s="34">
        <f>CH31+CH35+CH43</f>
        <v/>
      </c>
      <c r="CI50" s="34">
        <f>CI31+CI35+CI43</f>
        <v/>
      </c>
      <c r="CJ50" s="34">
        <f>CJ31+CJ35+CJ43</f>
        <v/>
      </c>
      <c r="CK50" s="34">
        <f>CK31+CK35+CK43</f>
        <v/>
      </c>
      <c r="CL50" s="34">
        <f>CL31+CL35+CL43</f>
        <v/>
      </c>
      <c r="CM50" s="34">
        <f>CM31+CM35+CM43</f>
        <v/>
      </c>
      <c r="CN50" s="34">
        <f>CN31+CN35+CN43</f>
        <v/>
      </c>
      <c r="CO50" s="34">
        <f>CO31+CO35+CO43</f>
        <v/>
      </c>
      <c r="CP50" s="34">
        <f>CP31+CP35+CP43</f>
        <v/>
      </c>
      <c r="CQ50" s="34">
        <f>CQ31+CQ35+CQ43</f>
        <v/>
      </c>
      <c r="CR50" s="34">
        <f>CR31+CR35+CR43</f>
        <v/>
      </c>
      <c r="CS50" s="34">
        <f>CS31+CS35+CS43</f>
        <v/>
      </c>
      <c r="CT50" s="34">
        <f>CT31+CT35+CT43</f>
        <v/>
      </c>
      <c r="CU50" s="34">
        <f>CU31+CU35+CU43</f>
        <v/>
      </c>
    </row>
    <row r="51">
      <c r="A51" s="7" t="inlineStr">
        <is>
          <t>Mezzanine repayment from sweep</t>
        </is>
      </c>
      <c r="B51" s="21">
        <f>SUM(D51:CU51)</f>
        <v/>
      </c>
      <c r="C51" s="11" t="inlineStr"/>
      <c r="D51" s="34">
        <f>MIN(D47-D49,D50)</f>
        <v/>
      </c>
      <c r="E51" s="34">
        <f>MIN(E47-E49,E50)</f>
        <v/>
      </c>
      <c r="F51" s="34">
        <f>MIN(F47-F49,F50)</f>
        <v/>
      </c>
      <c r="G51" s="34">
        <f>MIN(G47-G49,G50)</f>
        <v/>
      </c>
      <c r="H51" s="34">
        <f>MIN(H47-H49,H50)</f>
        <v/>
      </c>
      <c r="I51" s="34">
        <f>MIN(I47-I49,I50)</f>
        <v/>
      </c>
      <c r="J51" s="34">
        <f>MIN(J47-J49,J50)</f>
        <v/>
      </c>
      <c r="K51" s="34">
        <f>MIN(K47-K49,K50)</f>
        <v/>
      </c>
      <c r="L51" s="34">
        <f>MIN(L47-L49,L50)</f>
        <v/>
      </c>
      <c r="M51" s="34">
        <f>MIN(M47-M49,M50)</f>
        <v/>
      </c>
      <c r="N51" s="34">
        <f>MIN(N47-N49,N50)</f>
        <v/>
      </c>
      <c r="O51" s="34">
        <f>MIN(O47-O49,O50)</f>
        <v/>
      </c>
      <c r="P51" s="34">
        <f>MIN(P47-P49,P50)</f>
        <v/>
      </c>
      <c r="Q51" s="34">
        <f>MIN(Q47-Q49,Q50)</f>
        <v/>
      </c>
      <c r="R51" s="34">
        <f>MIN(R47-R49,R50)</f>
        <v/>
      </c>
      <c r="S51" s="34">
        <f>MIN(S47-S49,S50)</f>
        <v/>
      </c>
      <c r="T51" s="34">
        <f>MIN(T47-T49,T50)</f>
        <v/>
      </c>
      <c r="U51" s="34">
        <f>MIN(U47-U49,U50)</f>
        <v/>
      </c>
      <c r="V51" s="34">
        <f>MIN(V47-V49,V50)</f>
        <v/>
      </c>
      <c r="W51" s="34">
        <f>MIN(W47-W49,W50)</f>
        <v/>
      </c>
      <c r="X51" s="34">
        <f>MIN(X47-X49,X50)</f>
        <v/>
      </c>
      <c r="Y51" s="34">
        <f>MIN(Y47-Y49,Y50)</f>
        <v/>
      </c>
      <c r="Z51" s="34">
        <f>MIN(Z47-Z49,Z50)</f>
        <v/>
      </c>
      <c r="AA51" s="34">
        <f>MIN(AA47-AA49,AA50)</f>
        <v/>
      </c>
      <c r="AB51" s="34">
        <f>MIN(AB47-AB49,AB50)</f>
        <v/>
      </c>
      <c r="AC51" s="34">
        <f>MIN(AC47-AC49,AC50)</f>
        <v/>
      </c>
      <c r="AD51" s="34">
        <f>MIN(AD47-AD49,AD50)</f>
        <v/>
      </c>
      <c r="AE51" s="34">
        <f>MIN(AE47-AE49,AE50)</f>
        <v/>
      </c>
      <c r="AF51" s="34">
        <f>MIN(AF47-AF49,AF50)</f>
        <v/>
      </c>
      <c r="AG51" s="34">
        <f>MIN(AG47-AG49,AG50)</f>
        <v/>
      </c>
      <c r="AH51" s="34">
        <f>MIN(AH47-AH49,AH50)</f>
        <v/>
      </c>
      <c r="AI51" s="34">
        <f>MIN(AI47-AI49,AI50)</f>
        <v/>
      </c>
      <c r="AJ51" s="34">
        <f>MIN(AJ47-AJ49,AJ50)</f>
        <v/>
      </c>
      <c r="AK51" s="34">
        <f>MIN(AK47-AK49,AK50)</f>
        <v/>
      </c>
      <c r="AL51" s="34">
        <f>MIN(AL47-AL49,AL50)</f>
        <v/>
      </c>
      <c r="AM51" s="34">
        <f>MIN(AM47-AM49,AM50)</f>
        <v/>
      </c>
      <c r="AN51" s="34">
        <f>MIN(AN47-AN49,AN50)</f>
        <v/>
      </c>
      <c r="AO51" s="34">
        <f>MIN(AO47-AO49,AO50)</f>
        <v/>
      </c>
      <c r="AP51" s="34">
        <f>MIN(AP47-AP49,AP50)</f>
        <v/>
      </c>
      <c r="AQ51" s="34">
        <f>MIN(AQ47-AQ49,AQ50)</f>
        <v/>
      </c>
      <c r="AR51" s="34">
        <f>MIN(AR47-AR49,AR50)</f>
        <v/>
      </c>
      <c r="AS51" s="34">
        <f>MIN(AS47-AS49,AS50)</f>
        <v/>
      </c>
      <c r="AT51" s="34">
        <f>MIN(AT47-AT49,AT50)</f>
        <v/>
      </c>
      <c r="AU51" s="34">
        <f>MIN(AU47-AU49,AU50)</f>
        <v/>
      </c>
      <c r="AV51" s="34">
        <f>MIN(AV47-AV49,AV50)</f>
        <v/>
      </c>
      <c r="AW51" s="34">
        <f>MIN(AW47-AW49,AW50)</f>
        <v/>
      </c>
      <c r="AX51" s="34">
        <f>MIN(AX47-AX49,AX50)</f>
        <v/>
      </c>
      <c r="AY51" s="34">
        <f>MIN(AY47-AY49,AY50)</f>
        <v/>
      </c>
      <c r="AZ51" s="34">
        <f>MIN(AZ47-AZ49,AZ50)</f>
        <v/>
      </c>
      <c r="BA51" s="34">
        <f>MIN(BA47-BA49,BA50)</f>
        <v/>
      </c>
      <c r="BB51" s="34">
        <f>MIN(BB47-BB49,BB50)</f>
        <v/>
      </c>
      <c r="BC51" s="34">
        <f>MIN(BC47-BC49,BC50)</f>
        <v/>
      </c>
      <c r="BD51" s="34">
        <f>MIN(BD47-BD49,BD50)</f>
        <v/>
      </c>
      <c r="BE51" s="34">
        <f>MIN(BE47-BE49,BE50)</f>
        <v/>
      </c>
      <c r="BF51" s="34">
        <f>MIN(BF47-BF49,BF50)</f>
        <v/>
      </c>
      <c r="BG51" s="34">
        <f>MIN(BG47-BG49,BG50)</f>
        <v/>
      </c>
      <c r="BH51" s="34">
        <f>MIN(BH47-BH49,BH50)</f>
        <v/>
      </c>
      <c r="BI51" s="34">
        <f>MIN(BI47-BI49,BI50)</f>
        <v/>
      </c>
      <c r="BJ51" s="34">
        <f>MIN(BJ47-BJ49,BJ50)</f>
        <v/>
      </c>
      <c r="BK51" s="34">
        <f>MIN(BK47-BK49,BK50)</f>
        <v/>
      </c>
      <c r="BL51" s="34">
        <f>MIN(BL47-BL49,BL50)</f>
        <v/>
      </c>
      <c r="BM51" s="34">
        <f>MIN(BM47-BM49,BM50)</f>
        <v/>
      </c>
      <c r="BN51" s="34">
        <f>MIN(BN47-BN49,BN50)</f>
        <v/>
      </c>
      <c r="BO51" s="34">
        <f>MIN(BO47-BO49,BO50)</f>
        <v/>
      </c>
      <c r="BP51" s="34">
        <f>MIN(BP47-BP49,BP50)</f>
        <v/>
      </c>
      <c r="BQ51" s="34">
        <f>MIN(BQ47-BQ49,BQ50)</f>
        <v/>
      </c>
      <c r="BR51" s="34">
        <f>MIN(BR47-BR49,BR50)</f>
        <v/>
      </c>
      <c r="BS51" s="34">
        <f>MIN(BS47-BS49,BS50)</f>
        <v/>
      </c>
      <c r="BT51" s="34">
        <f>MIN(BT47-BT49,BT50)</f>
        <v/>
      </c>
      <c r="BU51" s="34">
        <f>MIN(BU47-BU49,BU50)</f>
        <v/>
      </c>
      <c r="BV51" s="34">
        <f>MIN(BV47-BV49,BV50)</f>
        <v/>
      </c>
      <c r="BW51" s="34">
        <f>MIN(BW47-BW49,BW50)</f>
        <v/>
      </c>
      <c r="BX51" s="34">
        <f>MIN(BX47-BX49,BX50)</f>
        <v/>
      </c>
      <c r="BY51" s="34">
        <f>MIN(BY47-BY49,BY50)</f>
        <v/>
      </c>
      <c r="BZ51" s="34">
        <f>MIN(BZ47-BZ49,BZ50)</f>
        <v/>
      </c>
      <c r="CA51" s="34">
        <f>MIN(CA47-CA49,CA50)</f>
        <v/>
      </c>
      <c r="CB51" s="34">
        <f>MIN(CB47-CB49,CB50)</f>
        <v/>
      </c>
      <c r="CC51" s="34">
        <f>MIN(CC47-CC49,CC50)</f>
        <v/>
      </c>
      <c r="CD51" s="34">
        <f>MIN(CD47-CD49,CD50)</f>
        <v/>
      </c>
      <c r="CE51" s="34">
        <f>MIN(CE47-CE49,CE50)</f>
        <v/>
      </c>
      <c r="CF51" s="34">
        <f>MIN(CF47-CF49,CF50)</f>
        <v/>
      </c>
      <c r="CG51" s="34">
        <f>MIN(CG47-CG49,CG50)</f>
        <v/>
      </c>
      <c r="CH51" s="34">
        <f>MIN(CH47-CH49,CH50)</f>
        <v/>
      </c>
      <c r="CI51" s="34">
        <f>MIN(CI47-CI49,CI50)</f>
        <v/>
      </c>
      <c r="CJ51" s="34">
        <f>MIN(CJ47-CJ49,CJ50)</f>
        <v/>
      </c>
      <c r="CK51" s="34">
        <f>MIN(CK47-CK49,CK50)</f>
        <v/>
      </c>
      <c r="CL51" s="34">
        <f>MIN(CL47-CL49,CL50)</f>
        <v/>
      </c>
      <c r="CM51" s="34">
        <f>MIN(CM47-CM49,CM50)</f>
        <v/>
      </c>
      <c r="CN51" s="34">
        <f>MIN(CN47-CN49,CN50)</f>
        <v/>
      </c>
      <c r="CO51" s="34">
        <f>MIN(CO47-CO49,CO50)</f>
        <v/>
      </c>
      <c r="CP51" s="34">
        <f>MIN(CP47-CP49,CP50)</f>
        <v/>
      </c>
      <c r="CQ51" s="34">
        <f>MIN(CQ47-CQ49,CQ50)</f>
        <v/>
      </c>
      <c r="CR51" s="34">
        <f>MIN(CR47-CR49,CR50)</f>
        <v/>
      </c>
      <c r="CS51" s="34">
        <f>MIN(CS47-CS49,CS50)</f>
        <v/>
      </c>
      <c r="CT51" s="34">
        <f>MIN(CT47-CT49,CT50)</f>
        <v/>
      </c>
      <c r="CU51" s="34">
        <f>MIN(CU47-CU49,CU50)</f>
        <v/>
      </c>
    </row>
    <row r="52">
      <c r="A52" s="7" t="inlineStr">
        <is>
          <t>Cash available to equity</t>
        </is>
      </c>
      <c r="B52" s="1" t="n"/>
      <c r="C52" s="11" t="inlineStr"/>
      <c r="D52" s="34">
        <f>IF(AND(D18=1,D46&gt;0),D46-D49-D51+D39,0)</f>
        <v/>
      </c>
      <c r="E52" s="34">
        <f>IF(AND(E18=1,E46&gt;0),E46-E49-E51+E39,0)</f>
        <v/>
      </c>
      <c r="F52" s="34">
        <f>IF(AND(F18=1,F46&gt;0),F46-F49-F51+F39,0)</f>
        <v/>
      </c>
      <c r="G52" s="34">
        <f>IF(AND(G18=1,G46&gt;0),G46-G49-G51+G39,0)</f>
        <v/>
      </c>
      <c r="H52" s="34">
        <f>IF(AND(H18=1,H46&gt;0),H46-H49-H51+H39,0)</f>
        <v/>
      </c>
      <c r="I52" s="34">
        <f>IF(AND(I18=1,I46&gt;0),I46-I49-I51+I39,0)</f>
        <v/>
      </c>
      <c r="J52" s="34">
        <f>IF(AND(J18=1,J46&gt;0),J46-J49-J51+J39,0)</f>
        <v/>
      </c>
      <c r="K52" s="34">
        <f>IF(AND(K18=1,K46&gt;0),K46-K49-K51+K39,0)</f>
        <v/>
      </c>
      <c r="L52" s="34">
        <f>IF(AND(L18=1,L46&gt;0),L46-L49-L51+L39,0)</f>
        <v/>
      </c>
      <c r="M52" s="34">
        <f>IF(AND(M18=1,M46&gt;0),M46-M49-M51+M39,0)</f>
        <v/>
      </c>
      <c r="N52" s="34">
        <f>IF(AND(N18=1,N46&gt;0),N46-N49-N51+N39,0)</f>
        <v/>
      </c>
      <c r="O52" s="34">
        <f>IF(AND(O18=1,O46&gt;0),O46-O49-O51+O39,0)</f>
        <v/>
      </c>
      <c r="P52" s="34">
        <f>IF(AND(P18=1,P46&gt;0),P46-P49-P51+P39,0)</f>
        <v/>
      </c>
      <c r="Q52" s="34">
        <f>IF(AND(Q18=1,Q46&gt;0),Q46-Q49-Q51+Q39,0)</f>
        <v/>
      </c>
      <c r="R52" s="34">
        <f>IF(AND(R18=1,R46&gt;0),R46-R49-R51+R39,0)</f>
        <v/>
      </c>
      <c r="S52" s="34">
        <f>IF(AND(S18=1,S46&gt;0),S46-S49-S51+S39,0)</f>
        <v/>
      </c>
      <c r="T52" s="34">
        <f>IF(AND(T18=1,T46&gt;0),T46-T49-T51+T39,0)</f>
        <v/>
      </c>
      <c r="U52" s="34">
        <f>IF(AND(U18=1,U46&gt;0),U46-U49-U51+U39,0)</f>
        <v/>
      </c>
      <c r="V52" s="34">
        <f>IF(AND(V18=1,V46&gt;0),V46-V49-V51+V39,0)</f>
        <v/>
      </c>
      <c r="W52" s="34">
        <f>IF(AND(W18=1,W46&gt;0),W46-W49-W51+W39,0)</f>
        <v/>
      </c>
      <c r="X52" s="34">
        <f>IF(AND(X18=1,X46&gt;0),X46-X49-X51+X39,0)</f>
        <v/>
      </c>
      <c r="Y52" s="34">
        <f>IF(AND(Y18=1,Y46&gt;0),Y46-Y49-Y51+Y39,0)</f>
        <v/>
      </c>
      <c r="Z52" s="34">
        <f>IF(AND(Z18=1,Z46&gt;0),Z46-Z49-Z51+Z39,0)</f>
        <v/>
      </c>
      <c r="AA52" s="34">
        <f>IF(AND(AA18=1,AA46&gt;0),AA46-AA49-AA51+AA39,0)</f>
        <v/>
      </c>
      <c r="AB52" s="34">
        <f>IF(AND(AB18=1,AB46&gt;0),AB46-AB49-AB51+AB39,0)</f>
        <v/>
      </c>
      <c r="AC52" s="34">
        <f>IF(AND(AC18=1,AC46&gt;0),AC46-AC49-AC51+AC39,0)</f>
        <v/>
      </c>
      <c r="AD52" s="34">
        <f>IF(AND(AD18=1,AD46&gt;0),AD46-AD49-AD51+AD39,0)</f>
        <v/>
      </c>
      <c r="AE52" s="34">
        <f>IF(AND(AE18=1,AE46&gt;0),AE46-AE49-AE51+AE39,0)</f>
        <v/>
      </c>
      <c r="AF52" s="34">
        <f>IF(AND(AF18=1,AF46&gt;0),AF46-AF49-AF51+AF39,0)</f>
        <v/>
      </c>
      <c r="AG52" s="34">
        <f>IF(AND(AG18=1,AG46&gt;0),AG46-AG49-AG51+AG39,0)</f>
        <v/>
      </c>
      <c r="AH52" s="34">
        <f>IF(AND(AH18=1,AH46&gt;0),AH46-AH49-AH51+AH39,0)</f>
        <v/>
      </c>
      <c r="AI52" s="34">
        <f>IF(AND(AI18=1,AI46&gt;0),AI46-AI49-AI51+AI39,0)</f>
        <v/>
      </c>
      <c r="AJ52" s="34">
        <f>IF(AND(AJ18=1,AJ46&gt;0),AJ46-AJ49-AJ51+AJ39,0)</f>
        <v/>
      </c>
      <c r="AK52" s="34">
        <f>IF(AND(AK18=1,AK46&gt;0),AK46-AK49-AK51+AK39,0)</f>
        <v/>
      </c>
      <c r="AL52" s="34">
        <f>IF(AND(AL18=1,AL46&gt;0),AL46-AL49-AL51+AL39,0)</f>
        <v/>
      </c>
      <c r="AM52" s="34">
        <f>IF(AND(AM18=1,AM46&gt;0),AM46-AM49-AM51+AM39,0)</f>
        <v/>
      </c>
      <c r="AN52" s="34">
        <f>IF(AND(AN18=1,AN46&gt;0),AN46-AN49-AN51+AN39,0)</f>
        <v/>
      </c>
      <c r="AO52" s="34">
        <f>IF(AND(AO18=1,AO46&gt;0),AO46-AO49-AO51+AO39,0)</f>
        <v/>
      </c>
      <c r="AP52" s="34">
        <f>IF(AND(AP18=1,AP46&gt;0),AP46-AP49-AP51+AP39,0)</f>
        <v/>
      </c>
      <c r="AQ52" s="34">
        <f>IF(AND(AQ18=1,AQ46&gt;0),AQ46-AQ49-AQ51+AQ39,0)</f>
        <v/>
      </c>
      <c r="AR52" s="34">
        <f>IF(AND(AR18=1,AR46&gt;0),AR46-AR49-AR51+AR39,0)</f>
        <v/>
      </c>
      <c r="AS52" s="34">
        <f>IF(AND(AS18=1,AS46&gt;0),AS46-AS49-AS51+AS39,0)</f>
        <v/>
      </c>
      <c r="AT52" s="34">
        <f>IF(AND(AT18=1,AT46&gt;0),AT46-AT49-AT51+AT39,0)</f>
        <v/>
      </c>
      <c r="AU52" s="34">
        <f>IF(AND(AU18=1,AU46&gt;0),AU46-AU49-AU51+AU39,0)</f>
        <v/>
      </c>
      <c r="AV52" s="34">
        <f>IF(AND(AV18=1,AV46&gt;0),AV46-AV49-AV51+AV39,0)</f>
        <v/>
      </c>
      <c r="AW52" s="34">
        <f>IF(AND(AW18=1,AW46&gt;0),AW46-AW49-AW51+AW39,0)</f>
        <v/>
      </c>
      <c r="AX52" s="34">
        <f>IF(AND(AX18=1,AX46&gt;0),AX46-AX49-AX51+AX39,0)</f>
        <v/>
      </c>
      <c r="AY52" s="34">
        <f>IF(AND(AY18=1,AY46&gt;0),AY46-AY49-AY51+AY39,0)</f>
        <v/>
      </c>
      <c r="AZ52" s="34">
        <f>IF(AND(AZ18=1,AZ46&gt;0),AZ46-AZ49-AZ51+AZ39,0)</f>
        <v/>
      </c>
      <c r="BA52" s="34">
        <f>IF(AND(BA18=1,BA46&gt;0),BA46-BA49-BA51+BA39,0)</f>
        <v/>
      </c>
      <c r="BB52" s="34">
        <f>IF(AND(BB18=1,BB46&gt;0),BB46-BB49-BB51+BB39,0)</f>
        <v/>
      </c>
      <c r="BC52" s="34">
        <f>IF(AND(BC18=1,BC46&gt;0),BC46-BC49-BC51+BC39,0)</f>
        <v/>
      </c>
      <c r="BD52" s="34">
        <f>IF(AND(BD18=1,BD46&gt;0),BD46-BD49-BD51+BD39,0)</f>
        <v/>
      </c>
      <c r="BE52" s="34">
        <f>IF(AND(BE18=1,BE46&gt;0),BE46-BE49-BE51+BE39,0)</f>
        <v/>
      </c>
      <c r="BF52" s="34">
        <f>IF(AND(BF18=1,BF46&gt;0),BF46-BF49-BF51+BF39,0)</f>
        <v/>
      </c>
      <c r="BG52" s="34">
        <f>IF(AND(BG18=1,BG46&gt;0),BG46-BG49-BG51+BG39,0)</f>
        <v/>
      </c>
      <c r="BH52" s="34">
        <f>IF(AND(BH18=1,BH46&gt;0),BH46-BH49-BH51+BH39,0)</f>
        <v/>
      </c>
      <c r="BI52" s="34">
        <f>IF(AND(BI18=1,BI46&gt;0),BI46-BI49-BI51+BI39,0)</f>
        <v/>
      </c>
      <c r="BJ52" s="34">
        <f>IF(AND(BJ18=1,BJ46&gt;0),BJ46-BJ49-BJ51+BJ39,0)</f>
        <v/>
      </c>
      <c r="BK52" s="34">
        <f>IF(AND(BK18=1,BK46&gt;0),BK46-BK49-BK51+BK39,0)</f>
        <v/>
      </c>
      <c r="BL52" s="34">
        <f>IF(AND(BL18=1,BL46&gt;0),BL46-BL49-BL51+BL39,0)</f>
        <v/>
      </c>
      <c r="BM52" s="34">
        <f>IF(AND(BM18=1,BM46&gt;0),BM46-BM49-BM51+BM39,0)</f>
        <v/>
      </c>
      <c r="BN52" s="34">
        <f>IF(AND(BN18=1,BN46&gt;0),BN46-BN49-BN51+BN39,0)</f>
        <v/>
      </c>
      <c r="BO52" s="34">
        <f>IF(AND(BO18=1,BO46&gt;0),BO46-BO49-BO51+BO39,0)</f>
        <v/>
      </c>
      <c r="BP52" s="34">
        <f>IF(AND(BP18=1,BP46&gt;0),BP46-BP49-BP51+BP39,0)</f>
        <v/>
      </c>
      <c r="BQ52" s="34">
        <f>IF(AND(BQ18=1,BQ46&gt;0),BQ46-BQ49-BQ51+BQ39,0)</f>
        <v/>
      </c>
      <c r="BR52" s="34">
        <f>IF(AND(BR18=1,BR46&gt;0),BR46-BR49-BR51+BR39,0)</f>
        <v/>
      </c>
      <c r="BS52" s="34">
        <f>IF(AND(BS18=1,BS46&gt;0),BS46-BS49-BS51+BS39,0)</f>
        <v/>
      </c>
      <c r="BT52" s="34">
        <f>IF(AND(BT18=1,BT46&gt;0),BT46-BT49-BT51+BT39,0)</f>
        <v/>
      </c>
      <c r="BU52" s="34">
        <f>IF(AND(BU18=1,BU46&gt;0),BU46-BU49-BU51+BU39,0)</f>
        <v/>
      </c>
      <c r="BV52" s="34">
        <f>IF(AND(BV18=1,BV46&gt;0),BV46-BV49-BV51+BV39,0)</f>
        <v/>
      </c>
      <c r="BW52" s="34">
        <f>IF(AND(BW18=1,BW46&gt;0),BW46-BW49-BW51+BW39,0)</f>
        <v/>
      </c>
      <c r="BX52" s="34">
        <f>IF(AND(BX18=1,BX46&gt;0),BX46-BX49-BX51+BX39,0)</f>
        <v/>
      </c>
      <c r="BY52" s="34">
        <f>IF(AND(BY18=1,BY46&gt;0),BY46-BY49-BY51+BY39,0)</f>
        <v/>
      </c>
      <c r="BZ52" s="34">
        <f>IF(AND(BZ18=1,BZ46&gt;0),BZ46-BZ49-BZ51+BZ39,0)</f>
        <v/>
      </c>
      <c r="CA52" s="34">
        <f>IF(AND(CA18=1,CA46&gt;0),CA46-CA49-CA51+CA39,0)</f>
        <v/>
      </c>
      <c r="CB52" s="34">
        <f>IF(AND(CB18=1,CB46&gt;0),CB46-CB49-CB51+CB39,0)</f>
        <v/>
      </c>
      <c r="CC52" s="34">
        <f>IF(AND(CC18=1,CC46&gt;0),CC46-CC49-CC51+CC39,0)</f>
        <v/>
      </c>
      <c r="CD52" s="34">
        <f>IF(AND(CD18=1,CD46&gt;0),CD46-CD49-CD51+CD39,0)</f>
        <v/>
      </c>
      <c r="CE52" s="34">
        <f>IF(AND(CE18=1,CE46&gt;0),CE46-CE49-CE51+CE39,0)</f>
        <v/>
      </c>
      <c r="CF52" s="34">
        <f>IF(AND(CF18=1,CF46&gt;0),CF46-CF49-CF51+CF39,0)</f>
        <v/>
      </c>
      <c r="CG52" s="34">
        <f>IF(AND(CG18=1,CG46&gt;0),CG46-CG49-CG51+CG39,0)</f>
        <v/>
      </c>
      <c r="CH52" s="34">
        <f>IF(AND(CH18=1,CH46&gt;0),CH46-CH49-CH51+CH39,0)</f>
        <v/>
      </c>
      <c r="CI52" s="34">
        <f>IF(AND(CI18=1,CI46&gt;0),CI46-CI49-CI51+CI39,0)</f>
        <v/>
      </c>
      <c r="CJ52" s="34">
        <f>IF(AND(CJ18=1,CJ46&gt;0),CJ46-CJ49-CJ51+CJ39,0)</f>
        <v/>
      </c>
      <c r="CK52" s="34">
        <f>IF(AND(CK18=1,CK46&gt;0),CK46-CK49-CK51+CK39,0)</f>
        <v/>
      </c>
      <c r="CL52" s="34">
        <f>IF(AND(CL18=1,CL46&gt;0),CL46-CL49-CL51+CL39,0)</f>
        <v/>
      </c>
      <c r="CM52" s="34">
        <f>IF(AND(CM18=1,CM46&gt;0),CM46-CM49-CM51+CM39,0)</f>
        <v/>
      </c>
      <c r="CN52" s="34">
        <f>IF(AND(CN18=1,CN46&gt;0),CN46-CN49-CN51+CN39,0)</f>
        <v/>
      </c>
      <c r="CO52" s="34">
        <f>IF(AND(CO18=1,CO46&gt;0),CO46-CO49-CO51+CO39,0)</f>
        <v/>
      </c>
      <c r="CP52" s="34">
        <f>IF(AND(CP18=1,CP46&gt;0),CP46-CP49-CP51+CP39,0)</f>
        <v/>
      </c>
      <c r="CQ52" s="34">
        <f>IF(AND(CQ18=1,CQ46&gt;0),CQ46-CQ49-CQ51+CQ39,0)</f>
        <v/>
      </c>
      <c r="CR52" s="34">
        <f>IF(AND(CR18=1,CR46&gt;0),CR46-CR49-CR51+CR39,0)</f>
        <v/>
      </c>
      <c r="CS52" s="34">
        <f>IF(AND(CS18=1,CS46&gt;0),CS46-CS49-CS51+CS39,0)</f>
        <v/>
      </c>
      <c r="CT52" s="34">
        <f>IF(AND(CT18=1,CT46&gt;0),CT46-CT49-CT51+CT39,0)</f>
        <v/>
      </c>
      <c r="CU52" s="34">
        <f>IF(AND(CU18=1,CU46&gt;0),CU46-CU49-CU51+CU39,0)</f>
        <v/>
      </c>
    </row>
    <row r="53">
      <c r="A53" s="7" t="inlineStr">
        <is>
          <t>Final repayment of remaining debt</t>
        </is>
      </c>
      <c r="B53" s="21">
        <f>SUM(D53:CU53)</f>
        <v/>
      </c>
      <c r="C53" s="11" t="inlineStr"/>
      <c r="D53" s="34">
        <f>IF(D17=1,D48-D49+D50-D51,0)</f>
        <v/>
      </c>
      <c r="E53" s="34">
        <f>IF(E17=1,E48-E49+E50-E51,0)</f>
        <v/>
      </c>
      <c r="F53" s="34">
        <f>IF(F17=1,F48-F49+F50-F51,0)</f>
        <v/>
      </c>
      <c r="G53" s="34">
        <f>IF(G17=1,G48-G49+G50-G51,0)</f>
        <v/>
      </c>
      <c r="H53" s="34">
        <f>IF(H17=1,H48-H49+H50-H51,0)</f>
        <v/>
      </c>
      <c r="I53" s="34">
        <f>IF(I17=1,I48-I49+I50-I51,0)</f>
        <v/>
      </c>
      <c r="J53" s="34">
        <f>IF(J17=1,J48-J49+J50-J51,0)</f>
        <v/>
      </c>
      <c r="K53" s="34">
        <f>IF(K17=1,K48-K49+K50-K51,0)</f>
        <v/>
      </c>
      <c r="L53" s="34">
        <f>IF(L17=1,L48-L49+L50-L51,0)</f>
        <v/>
      </c>
      <c r="M53" s="34">
        <f>IF(M17=1,M48-M49+M50-M51,0)</f>
        <v/>
      </c>
      <c r="N53" s="34">
        <f>IF(N17=1,N48-N49+N50-N51,0)</f>
        <v/>
      </c>
      <c r="O53" s="34">
        <f>IF(O17=1,O48-O49+O50-O51,0)</f>
        <v/>
      </c>
      <c r="P53" s="34">
        <f>IF(P17=1,P48-P49+P50-P51,0)</f>
        <v/>
      </c>
      <c r="Q53" s="34">
        <f>IF(Q17=1,Q48-Q49+Q50-Q51,0)</f>
        <v/>
      </c>
      <c r="R53" s="34">
        <f>IF(R17=1,R48-R49+R50-R51,0)</f>
        <v/>
      </c>
      <c r="S53" s="34">
        <f>IF(S17=1,S48-S49+S50-S51,0)</f>
        <v/>
      </c>
      <c r="T53" s="34">
        <f>IF(T17=1,T48-T49+T50-T51,0)</f>
        <v/>
      </c>
      <c r="U53" s="34">
        <f>IF(U17=1,U48-U49+U50-U51,0)</f>
        <v/>
      </c>
      <c r="V53" s="34">
        <f>IF(V17=1,V48-V49+V50-V51,0)</f>
        <v/>
      </c>
      <c r="W53" s="34">
        <f>IF(W17=1,W48-W49+W50-W51,0)</f>
        <v/>
      </c>
      <c r="X53" s="34">
        <f>IF(X17=1,X48-X49+X50-X51,0)</f>
        <v/>
      </c>
      <c r="Y53" s="34">
        <f>IF(Y17=1,Y48-Y49+Y50-Y51,0)</f>
        <v/>
      </c>
      <c r="Z53" s="34">
        <f>IF(Z17=1,Z48-Z49+Z50-Z51,0)</f>
        <v/>
      </c>
      <c r="AA53" s="34">
        <f>IF(AA17=1,AA48-AA49+AA50-AA51,0)</f>
        <v/>
      </c>
      <c r="AB53" s="34">
        <f>IF(AB17=1,AB48-AB49+AB50-AB51,0)</f>
        <v/>
      </c>
      <c r="AC53" s="34">
        <f>IF(AC17=1,AC48-AC49+AC50-AC51,0)</f>
        <v/>
      </c>
      <c r="AD53" s="34">
        <f>IF(AD17=1,AD48-AD49+AD50-AD51,0)</f>
        <v/>
      </c>
      <c r="AE53" s="34">
        <f>IF(AE17=1,AE48-AE49+AE50-AE51,0)</f>
        <v/>
      </c>
      <c r="AF53" s="34">
        <f>IF(AF17=1,AF48-AF49+AF50-AF51,0)</f>
        <v/>
      </c>
      <c r="AG53" s="34">
        <f>IF(AG17=1,AG48-AG49+AG50-AG51,0)</f>
        <v/>
      </c>
      <c r="AH53" s="34">
        <f>IF(AH17=1,AH48-AH49+AH50-AH51,0)</f>
        <v/>
      </c>
      <c r="AI53" s="34">
        <f>IF(AI17=1,AI48-AI49+AI50-AI51,0)</f>
        <v/>
      </c>
      <c r="AJ53" s="34">
        <f>IF(AJ17=1,AJ48-AJ49+AJ50-AJ51,0)</f>
        <v/>
      </c>
      <c r="AK53" s="34">
        <f>IF(AK17=1,AK48-AK49+AK50-AK51,0)</f>
        <v/>
      </c>
      <c r="AL53" s="34">
        <f>IF(AL17=1,AL48-AL49+AL50-AL51,0)</f>
        <v/>
      </c>
      <c r="AM53" s="34">
        <f>IF(AM17=1,AM48-AM49+AM50-AM51,0)</f>
        <v/>
      </c>
      <c r="AN53" s="34">
        <f>IF(AN17=1,AN48-AN49+AN50-AN51,0)</f>
        <v/>
      </c>
      <c r="AO53" s="34">
        <f>IF(AO17=1,AO48-AO49+AO50-AO51,0)</f>
        <v/>
      </c>
      <c r="AP53" s="34">
        <f>IF(AP17=1,AP48-AP49+AP50-AP51,0)</f>
        <v/>
      </c>
      <c r="AQ53" s="34">
        <f>IF(AQ17=1,AQ48-AQ49+AQ50-AQ51,0)</f>
        <v/>
      </c>
      <c r="AR53" s="34">
        <f>IF(AR17=1,AR48-AR49+AR50-AR51,0)</f>
        <v/>
      </c>
      <c r="AS53" s="34">
        <f>IF(AS17=1,AS48-AS49+AS50-AS51,0)</f>
        <v/>
      </c>
      <c r="AT53" s="34">
        <f>IF(AT17=1,AT48-AT49+AT50-AT51,0)</f>
        <v/>
      </c>
      <c r="AU53" s="34">
        <f>IF(AU17=1,AU48-AU49+AU50-AU51,0)</f>
        <v/>
      </c>
      <c r="AV53" s="34">
        <f>IF(AV17=1,AV48-AV49+AV50-AV51,0)</f>
        <v/>
      </c>
      <c r="AW53" s="34">
        <f>IF(AW17=1,AW48-AW49+AW50-AW51,0)</f>
        <v/>
      </c>
      <c r="AX53" s="34">
        <f>IF(AX17=1,AX48-AX49+AX50-AX51,0)</f>
        <v/>
      </c>
      <c r="AY53" s="34">
        <f>IF(AY17=1,AY48-AY49+AY50-AY51,0)</f>
        <v/>
      </c>
      <c r="AZ53" s="34">
        <f>IF(AZ17=1,AZ48-AZ49+AZ50-AZ51,0)</f>
        <v/>
      </c>
      <c r="BA53" s="34">
        <f>IF(BA17=1,BA48-BA49+BA50-BA51,0)</f>
        <v/>
      </c>
      <c r="BB53" s="34">
        <f>IF(BB17=1,BB48-BB49+BB50-BB51,0)</f>
        <v/>
      </c>
      <c r="BC53" s="34">
        <f>IF(BC17=1,BC48-BC49+BC50-BC51,0)</f>
        <v/>
      </c>
      <c r="BD53" s="34">
        <f>IF(BD17=1,BD48-BD49+BD50-BD51,0)</f>
        <v/>
      </c>
      <c r="BE53" s="34">
        <f>IF(BE17=1,BE48-BE49+BE50-BE51,0)</f>
        <v/>
      </c>
      <c r="BF53" s="34">
        <f>IF(BF17=1,BF48-BF49+BF50-BF51,0)</f>
        <v/>
      </c>
      <c r="BG53" s="34">
        <f>IF(BG17=1,BG48-BG49+BG50-BG51,0)</f>
        <v/>
      </c>
      <c r="BH53" s="34">
        <f>IF(BH17=1,BH48-BH49+BH50-BH51,0)</f>
        <v/>
      </c>
      <c r="BI53" s="34">
        <f>IF(BI17=1,BI48-BI49+BI50-BI51,0)</f>
        <v/>
      </c>
      <c r="BJ53" s="34">
        <f>IF(BJ17=1,BJ48-BJ49+BJ50-BJ51,0)</f>
        <v/>
      </c>
      <c r="BK53" s="34">
        <f>IF(BK17=1,BK48-BK49+BK50-BK51,0)</f>
        <v/>
      </c>
      <c r="BL53" s="34">
        <f>IF(BL17=1,BL48-BL49+BL50-BL51,0)</f>
        <v/>
      </c>
      <c r="BM53" s="34">
        <f>IF(BM17=1,BM48-BM49+BM50-BM51,0)</f>
        <v/>
      </c>
      <c r="BN53" s="34">
        <f>IF(BN17=1,BN48-BN49+BN50-BN51,0)</f>
        <v/>
      </c>
      <c r="BO53" s="34">
        <f>IF(BO17=1,BO48-BO49+BO50-BO51,0)</f>
        <v/>
      </c>
      <c r="BP53" s="34">
        <f>IF(BP17=1,BP48-BP49+BP50-BP51,0)</f>
        <v/>
      </c>
      <c r="BQ53" s="34">
        <f>IF(BQ17=1,BQ48-BQ49+BQ50-BQ51,0)</f>
        <v/>
      </c>
      <c r="BR53" s="34">
        <f>IF(BR17=1,BR48-BR49+BR50-BR51,0)</f>
        <v/>
      </c>
      <c r="BS53" s="34">
        <f>IF(BS17=1,BS48-BS49+BS50-BS51,0)</f>
        <v/>
      </c>
      <c r="BT53" s="34">
        <f>IF(BT17=1,BT48-BT49+BT50-BT51,0)</f>
        <v/>
      </c>
      <c r="BU53" s="34">
        <f>IF(BU17=1,BU48-BU49+BU50-BU51,0)</f>
        <v/>
      </c>
      <c r="BV53" s="34">
        <f>IF(BV17=1,BV48-BV49+BV50-BV51,0)</f>
        <v/>
      </c>
      <c r="BW53" s="34">
        <f>IF(BW17=1,BW48-BW49+BW50-BW51,0)</f>
        <v/>
      </c>
      <c r="BX53" s="34">
        <f>IF(BX17=1,BX48-BX49+BX50-BX51,0)</f>
        <v/>
      </c>
      <c r="BY53" s="34">
        <f>IF(BY17=1,BY48-BY49+BY50-BY51,0)</f>
        <v/>
      </c>
      <c r="BZ53" s="34">
        <f>IF(BZ17=1,BZ48-BZ49+BZ50-BZ51,0)</f>
        <v/>
      </c>
      <c r="CA53" s="34">
        <f>IF(CA17=1,CA48-CA49+CA50-CA51,0)</f>
        <v/>
      </c>
      <c r="CB53" s="34">
        <f>IF(CB17=1,CB48-CB49+CB50-CB51,0)</f>
        <v/>
      </c>
      <c r="CC53" s="34">
        <f>IF(CC17=1,CC48-CC49+CC50-CC51,0)</f>
        <v/>
      </c>
      <c r="CD53" s="34">
        <f>IF(CD17=1,CD48-CD49+CD50-CD51,0)</f>
        <v/>
      </c>
      <c r="CE53" s="34">
        <f>IF(CE17=1,CE48-CE49+CE50-CE51,0)</f>
        <v/>
      </c>
      <c r="CF53" s="34">
        <f>IF(CF17=1,CF48-CF49+CF50-CF51,0)</f>
        <v/>
      </c>
      <c r="CG53" s="34">
        <f>IF(CG17=1,CG48-CG49+CG50-CG51,0)</f>
        <v/>
      </c>
      <c r="CH53" s="34">
        <f>IF(CH17=1,CH48-CH49+CH50-CH51,0)</f>
        <v/>
      </c>
      <c r="CI53" s="34">
        <f>IF(CI17=1,CI48-CI49+CI50-CI51,0)</f>
        <v/>
      </c>
      <c r="CJ53" s="34">
        <f>IF(CJ17=1,CJ48-CJ49+CJ50-CJ51,0)</f>
        <v/>
      </c>
      <c r="CK53" s="34">
        <f>IF(CK17=1,CK48-CK49+CK50-CK51,0)</f>
        <v/>
      </c>
      <c r="CL53" s="34">
        <f>IF(CL17=1,CL48-CL49+CL50-CL51,0)</f>
        <v/>
      </c>
      <c r="CM53" s="34">
        <f>IF(CM17=1,CM48-CM49+CM50-CM51,0)</f>
        <v/>
      </c>
      <c r="CN53" s="34">
        <f>IF(CN17=1,CN48-CN49+CN50-CN51,0)</f>
        <v/>
      </c>
      <c r="CO53" s="34">
        <f>IF(CO17=1,CO48-CO49+CO50-CO51,0)</f>
        <v/>
      </c>
      <c r="CP53" s="34">
        <f>IF(CP17=1,CP48-CP49+CP50-CP51,0)</f>
        <v/>
      </c>
      <c r="CQ53" s="34">
        <f>IF(CQ17=1,CQ48-CQ49+CQ50-CQ51,0)</f>
        <v/>
      </c>
      <c r="CR53" s="34">
        <f>IF(CR17=1,CR48-CR49+CR50-CR51,0)</f>
        <v/>
      </c>
      <c r="CS53" s="34">
        <f>IF(CS17=1,CS48-CS49+CS50-CS51,0)</f>
        <v/>
      </c>
      <c r="CT53" s="34">
        <f>IF(CT17=1,CT48-CT49+CT50-CT51,0)</f>
        <v/>
      </c>
      <c r="CU53" s="34">
        <f>IF(CU17=1,CU48-CU49+CU50-CU51,0)</f>
        <v/>
      </c>
    </row>
    <row r="54">
      <c r="A54" s="7" t="inlineStr">
        <is>
          <t>Final repayment shortfall (equity)</t>
        </is>
      </c>
      <c r="B54" s="21">
        <f>SUM(D54:CU54)</f>
        <v/>
      </c>
      <c r="C54" s="11" t="inlineStr"/>
      <c r="D54" s="34">
        <f>MAX(D53-D52,0)</f>
        <v/>
      </c>
      <c r="E54" s="34">
        <f>MAX(E53-E52,0)</f>
        <v/>
      </c>
      <c r="F54" s="34">
        <f>MAX(F53-F52,0)</f>
        <v/>
      </c>
      <c r="G54" s="34">
        <f>MAX(G53-G52,0)</f>
        <v/>
      </c>
      <c r="H54" s="34">
        <f>MAX(H53-H52,0)</f>
        <v/>
      </c>
      <c r="I54" s="34">
        <f>MAX(I53-I52,0)</f>
        <v/>
      </c>
      <c r="J54" s="34">
        <f>MAX(J53-J52,0)</f>
        <v/>
      </c>
      <c r="K54" s="34">
        <f>MAX(K53-K52,0)</f>
        <v/>
      </c>
      <c r="L54" s="34">
        <f>MAX(L53-L52,0)</f>
        <v/>
      </c>
      <c r="M54" s="34">
        <f>MAX(M53-M52,0)</f>
        <v/>
      </c>
      <c r="N54" s="34">
        <f>MAX(N53-N52,0)</f>
        <v/>
      </c>
      <c r="O54" s="34">
        <f>MAX(O53-O52,0)</f>
        <v/>
      </c>
      <c r="P54" s="34">
        <f>MAX(P53-P52,0)</f>
        <v/>
      </c>
      <c r="Q54" s="34">
        <f>MAX(Q53-Q52,0)</f>
        <v/>
      </c>
      <c r="R54" s="34">
        <f>MAX(R53-R52,0)</f>
        <v/>
      </c>
      <c r="S54" s="34">
        <f>MAX(S53-S52,0)</f>
        <v/>
      </c>
      <c r="T54" s="34">
        <f>MAX(T53-T52,0)</f>
        <v/>
      </c>
      <c r="U54" s="34">
        <f>MAX(U53-U52,0)</f>
        <v/>
      </c>
      <c r="V54" s="34">
        <f>MAX(V53-V52,0)</f>
        <v/>
      </c>
      <c r="W54" s="34">
        <f>MAX(W53-W52,0)</f>
        <v/>
      </c>
      <c r="X54" s="34">
        <f>MAX(X53-X52,0)</f>
        <v/>
      </c>
      <c r="Y54" s="34">
        <f>MAX(Y53-Y52,0)</f>
        <v/>
      </c>
      <c r="Z54" s="34">
        <f>MAX(Z53-Z52,0)</f>
        <v/>
      </c>
      <c r="AA54" s="34">
        <f>MAX(AA53-AA52,0)</f>
        <v/>
      </c>
      <c r="AB54" s="34">
        <f>MAX(AB53-AB52,0)</f>
        <v/>
      </c>
      <c r="AC54" s="34">
        <f>MAX(AC53-AC52,0)</f>
        <v/>
      </c>
      <c r="AD54" s="34">
        <f>MAX(AD53-AD52,0)</f>
        <v/>
      </c>
      <c r="AE54" s="34">
        <f>MAX(AE53-AE52,0)</f>
        <v/>
      </c>
      <c r="AF54" s="34">
        <f>MAX(AF53-AF52,0)</f>
        <v/>
      </c>
      <c r="AG54" s="34">
        <f>MAX(AG53-AG52,0)</f>
        <v/>
      </c>
      <c r="AH54" s="34">
        <f>MAX(AH53-AH52,0)</f>
        <v/>
      </c>
      <c r="AI54" s="34">
        <f>MAX(AI53-AI52,0)</f>
        <v/>
      </c>
      <c r="AJ54" s="34">
        <f>MAX(AJ53-AJ52,0)</f>
        <v/>
      </c>
      <c r="AK54" s="34">
        <f>MAX(AK53-AK52,0)</f>
        <v/>
      </c>
      <c r="AL54" s="34">
        <f>MAX(AL53-AL52,0)</f>
        <v/>
      </c>
      <c r="AM54" s="34">
        <f>MAX(AM53-AM52,0)</f>
        <v/>
      </c>
      <c r="AN54" s="34">
        <f>MAX(AN53-AN52,0)</f>
        <v/>
      </c>
      <c r="AO54" s="34">
        <f>MAX(AO53-AO52,0)</f>
        <v/>
      </c>
      <c r="AP54" s="34">
        <f>MAX(AP53-AP52,0)</f>
        <v/>
      </c>
      <c r="AQ54" s="34">
        <f>MAX(AQ53-AQ52,0)</f>
        <v/>
      </c>
      <c r="AR54" s="34">
        <f>MAX(AR53-AR52,0)</f>
        <v/>
      </c>
      <c r="AS54" s="34">
        <f>MAX(AS53-AS52,0)</f>
        <v/>
      </c>
      <c r="AT54" s="34">
        <f>MAX(AT53-AT52,0)</f>
        <v/>
      </c>
      <c r="AU54" s="34">
        <f>MAX(AU53-AU52,0)</f>
        <v/>
      </c>
      <c r="AV54" s="34">
        <f>MAX(AV53-AV52,0)</f>
        <v/>
      </c>
      <c r="AW54" s="34">
        <f>MAX(AW53-AW52,0)</f>
        <v/>
      </c>
      <c r="AX54" s="34">
        <f>MAX(AX53-AX52,0)</f>
        <v/>
      </c>
      <c r="AY54" s="34">
        <f>MAX(AY53-AY52,0)</f>
        <v/>
      </c>
      <c r="AZ54" s="34">
        <f>MAX(AZ53-AZ52,0)</f>
        <v/>
      </c>
      <c r="BA54" s="34">
        <f>MAX(BA53-BA52,0)</f>
        <v/>
      </c>
      <c r="BB54" s="34">
        <f>MAX(BB53-BB52,0)</f>
        <v/>
      </c>
      <c r="BC54" s="34">
        <f>MAX(BC53-BC52,0)</f>
        <v/>
      </c>
      <c r="BD54" s="34">
        <f>MAX(BD53-BD52,0)</f>
        <v/>
      </c>
      <c r="BE54" s="34">
        <f>MAX(BE53-BE52,0)</f>
        <v/>
      </c>
      <c r="BF54" s="34">
        <f>MAX(BF53-BF52,0)</f>
        <v/>
      </c>
      <c r="BG54" s="34">
        <f>MAX(BG53-BG52,0)</f>
        <v/>
      </c>
      <c r="BH54" s="34">
        <f>MAX(BH53-BH52,0)</f>
        <v/>
      </c>
      <c r="BI54" s="34">
        <f>MAX(BI53-BI52,0)</f>
        <v/>
      </c>
      <c r="BJ54" s="34">
        <f>MAX(BJ53-BJ52,0)</f>
        <v/>
      </c>
      <c r="BK54" s="34">
        <f>MAX(BK53-BK52,0)</f>
        <v/>
      </c>
      <c r="BL54" s="34">
        <f>MAX(BL53-BL52,0)</f>
        <v/>
      </c>
      <c r="BM54" s="34">
        <f>MAX(BM53-BM52,0)</f>
        <v/>
      </c>
      <c r="BN54" s="34">
        <f>MAX(BN53-BN52,0)</f>
        <v/>
      </c>
      <c r="BO54" s="34">
        <f>MAX(BO53-BO52,0)</f>
        <v/>
      </c>
      <c r="BP54" s="34">
        <f>MAX(BP53-BP52,0)</f>
        <v/>
      </c>
      <c r="BQ54" s="34">
        <f>MAX(BQ53-BQ52,0)</f>
        <v/>
      </c>
      <c r="BR54" s="34">
        <f>MAX(BR53-BR52,0)</f>
        <v/>
      </c>
      <c r="BS54" s="34">
        <f>MAX(BS53-BS52,0)</f>
        <v/>
      </c>
      <c r="BT54" s="34">
        <f>MAX(BT53-BT52,0)</f>
        <v/>
      </c>
      <c r="BU54" s="34">
        <f>MAX(BU53-BU52,0)</f>
        <v/>
      </c>
      <c r="BV54" s="34">
        <f>MAX(BV53-BV52,0)</f>
        <v/>
      </c>
      <c r="BW54" s="34">
        <f>MAX(BW53-BW52,0)</f>
        <v/>
      </c>
      <c r="BX54" s="34">
        <f>MAX(BX53-BX52,0)</f>
        <v/>
      </c>
      <c r="BY54" s="34">
        <f>MAX(BY53-BY52,0)</f>
        <v/>
      </c>
      <c r="BZ54" s="34">
        <f>MAX(BZ53-BZ52,0)</f>
        <v/>
      </c>
      <c r="CA54" s="34">
        <f>MAX(CA53-CA52,0)</f>
        <v/>
      </c>
      <c r="CB54" s="34">
        <f>MAX(CB53-CB52,0)</f>
        <v/>
      </c>
      <c r="CC54" s="34">
        <f>MAX(CC53-CC52,0)</f>
        <v/>
      </c>
      <c r="CD54" s="34">
        <f>MAX(CD53-CD52,0)</f>
        <v/>
      </c>
      <c r="CE54" s="34">
        <f>MAX(CE53-CE52,0)</f>
        <v/>
      </c>
      <c r="CF54" s="34">
        <f>MAX(CF53-CF52,0)</f>
        <v/>
      </c>
      <c r="CG54" s="34">
        <f>MAX(CG53-CG52,0)</f>
        <v/>
      </c>
      <c r="CH54" s="34">
        <f>MAX(CH53-CH52,0)</f>
        <v/>
      </c>
      <c r="CI54" s="34">
        <f>MAX(CI53-CI52,0)</f>
        <v/>
      </c>
      <c r="CJ54" s="34">
        <f>MAX(CJ53-CJ52,0)</f>
        <v/>
      </c>
      <c r="CK54" s="34">
        <f>MAX(CK53-CK52,0)</f>
        <v/>
      </c>
      <c r="CL54" s="34">
        <f>MAX(CL53-CL52,0)</f>
        <v/>
      </c>
      <c r="CM54" s="34">
        <f>MAX(CM53-CM52,0)</f>
        <v/>
      </c>
      <c r="CN54" s="34">
        <f>MAX(CN53-CN52,0)</f>
        <v/>
      </c>
      <c r="CO54" s="34">
        <f>MAX(CO53-CO52,0)</f>
        <v/>
      </c>
      <c r="CP54" s="34">
        <f>MAX(CP53-CP52,0)</f>
        <v/>
      </c>
      <c r="CQ54" s="34">
        <f>MAX(CQ53-CQ52,0)</f>
        <v/>
      </c>
      <c r="CR54" s="34">
        <f>MAX(CR53-CR52,0)</f>
        <v/>
      </c>
      <c r="CS54" s="34">
        <f>MAX(CS53-CS52,0)</f>
        <v/>
      </c>
      <c r="CT54" s="34">
        <f>MAX(CT53-CT52,0)</f>
        <v/>
      </c>
      <c r="CU54" s="34">
        <f>MAX(CU53-CU52,0)</f>
        <v/>
      </c>
    </row>
    <row r="55">
      <c r="A55" s="7" t="inlineStr">
        <is>
          <t>Project cash reserve: closing</t>
        </is>
      </c>
      <c r="B55" s="1" t="n"/>
      <c r="C55" s="11" t="inlineStr"/>
      <c r="D55" s="34">
        <f>IF(D46&gt;0,IF(D18=1,0,D39+D46),D39-D40)</f>
        <v/>
      </c>
      <c r="E55" s="34">
        <f>IF(E46&gt;0,IF(E18=1,0,E39+E46),E39-E40)</f>
        <v/>
      </c>
      <c r="F55" s="34">
        <f>IF(F46&gt;0,IF(F18=1,0,F39+F46),F39-F40)</f>
        <v/>
      </c>
      <c r="G55" s="34">
        <f>IF(G46&gt;0,IF(G18=1,0,G39+G46),G39-G40)</f>
        <v/>
      </c>
      <c r="H55" s="34">
        <f>IF(H46&gt;0,IF(H18=1,0,H39+H46),H39-H40)</f>
        <v/>
      </c>
      <c r="I55" s="34">
        <f>IF(I46&gt;0,IF(I18=1,0,I39+I46),I39-I40)</f>
        <v/>
      </c>
      <c r="J55" s="34">
        <f>IF(J46&gt;0,IF(J18=1,0,J39+J46),J39-J40)</f>
        <v/>
      </c>
      <c r="K55" s="34">
        <f>IF(K46&gt;0,IF(K18=1,0,K39+K46),K39-K40)</f>
        <v/>
      </c>
      <c r="L55" s="34">
        <f>IF(L46&gt;0,IF(L18=1,0,L39+L46),L39-L40)</f>
        <v/>
      </c>
      <c r="M55" s="34">
        <f>IF(M46&gt;0,IF(M18=1,0,M39+M46),M39-M40)</f>
        <v/>
      </c>
      <c r="N55" s="34">
        <f>IF(N46&gt;0,IF(N18=1,0,N39+N46),N39-N40)</f>
        <v/>
      </c>
      <c r="O55" s="34">
        <f>IF(O46&gt;0,IF(O18=1,0,O39+O46),O39-O40)</f>
        <v/>
      </c>
      <c r="P55" s="34">
        <f>IF(P46&gt;0,IF(P18=1,0,P39+P46),P39-P40)</f>
        <v/>
      </c>
      <c r="Q55" s="34">
        <f>IF(Q46&gt;0,IF(Q18=1,0,Q39+Q46),Q39-Q40)</f>
        <v/>
      </c>
      <c r="R55" s="34">
        <f>IF(R46&gt;0,IF(R18=1,0,R39+R46),R39-R40)</f>
        <v/>
      </c>
      <c r="S55" s="34">
        <f>IF(S46&gt;0,IF(S18=1,0,S39+S46),S39-S40)</f>
        <v/>
      </c>
      <c r="T55" s="34">
        <f>IF(T46&gt;0,IF(T18=1,0,T39+T46),T39-T40)</f>
        <v/>
      </c>
      <c r="U55" s="34">
        <f>IF(U46&gt;0,IF(U18=1,0,U39+U46),U39-U40)</f>
        <v/>
      </c>
      <c r="V55" s="34">
        <f>IF(V46&gt;0,IF(V18=1,0,V39+V46),V39-V40)</f>
        <v/>
      </c>
      <c r="W55" s="34">
        <f>IF(W46&gt;0,IF(W18=1,0,W39+W46),W39-W40)</f>
        <v/>
      </c>
      <c r="X55" s="34">
        <f>IF(X46&gt;0,IF(X18=1,0,X39+X46),X39-X40)</f>
        <v/>
      </c>
      <c r="Y55" s="34">
        <f>IF(Y46&gt;0,IF(Y18=1,0,Y39+Y46),Y39-Y40)</f>
        <v/>
      </c>
      <c r="Z55" s="34">
        <f>IF(Z46&gt;0,IF(Z18=1,0,Z39+Z46),Z39-Z40)</f>
        <v/>
      </c>
      <c r="AA55" s="34">
        <f>IF(AA46&gt;0,IF(AA18=1,0,AA39+AA46),AA39-AA40)</f>
        <v/>
      </c>
      <c r="AB55" s="34">
        <f>IF(AB46&gt;0,IF(AB18=1,0,AB39+AB46),AB39-AB40)</f>
        <v/>
      </c>
      <c r="AC55" s="34">
        <f>IF(AC46&gt;0,IF(AC18=1,0,AC39+AC46),AC39-AC40)</f>
        <v/>
      </c>
      <c r="AD55" s="34">
        <f>IF(AD46&gt;0,IF(AD18=1,0,AD39+AD46),AD39-AD40)</f>
        <v/>
      </c>
      <c r="AE55" s="34">
        <f>IF(AE46&gt;0,IF(AE18=1,0,AE39+AE46),AE39-AE40)</f>
        <v/>
      </c>
      <c r="AF55" s="34">
        <f>IF(AF46&gt;0,IF(AF18=1,0,AF39+AF46),AF39-AF40)</f>
        <v/>
      </c>
      <c r="AG55" s="34">
        <f>IF(AG46&gt;0,IF(AG18=1,0,AG39+AG46),AG39-AG40)</f>
        <v/>
      </c>
      <c r="AH55" s="34">
        <f>IF(AH46&gt;0,IF(AH18=1,0,AH39+AH46),AH39-AH40)</f>
        <v/>
      </c>
      <c r="AI55" s="34">
        <f>IF(AI46&gt;0,IF(AI18=1,0,AI39+AI46),AI39-AI40)</f>
        <v/>
      </c>
      <c r="AJ55" s="34">
        <f>IF(AJ46&gt;0,IF(AJ18=1,0,AJ39+AJ46),AJ39-AJ40)</f>
        <v/>
      </c>
      <c r="AK55" s="34">
        <f>IF(AK46&gt;0,IF(AK18=1,0,AK39+AK46),AK39-AK40)</f>
        <v/>
      </c>
      <c r="AL55" s="34">
        <f>IF(AL46&gt;0,IF(AL18=1,0,AL39+AL46),AL39-AL40)</f>
        <v/>
      </c>
      <c r="AM55" s="34">
        <f>IF(AM46&gt;0,IF(AM18=1,0,AM39+AM46),AM39-AM40)</f>
        <v/>
      </c>
      <c r="AN55" s="34">
        <f>IF(AN46&gt;0,IF(AN18=1,0,AN39+AN46),AN39-AN40)</f>
        <v/>
      </c>
      <c r="AO55" s="34">
        <f>IF(AO46&gt;0,IF(AO18=1,0,AO39+AO46),AO39-AO40)</f>
        <v/>
      </c>
      <c r="AP55" s="34">
        <f>IF(AP46&gt;0,IF(AP18=1,0,AP39+AP46),AP39-AP40)</f>
        <v/>
      </c>
      <c r="AQ55" s="34">
        <f>IF(AQ46&gt;0,IF(AQ18=1,0,AQ39+AQ46),AQ39-AQ40)</f>
        <v/>
      </c>
      <c r="AR55" s="34">
        <f>IF(AR46&gt;0,IF(AR18=1,0,AR39+AR46),AR39-AR40)</f>
        <v/>
      </c>
      <c r="AS55" s="34">
        <f>IF(AS46&gt;0,IF(AS18=1,0,AS39+AS46),AS39-AS40)</f>
        <v/>
      </c>
      <c r="AT55" s="34">
        <f>IF(AT46&gt;0,IF(AT18=1,0,AT39+AT46),AT39-AT40)</f>
        <v/>
      </c>
      <c r="AU55" s="34">
        <f>IF(AU46&gt;0,IF(AU18=1,0,AU39+AU46),AU39-AU40)</f>
        <v/>
      </c>
      <c r="AV55" s="34">
        <f>IF(AV46&gt;0,IF(AV18=1,0,AV39+AV46),AV39-AV40)</f>
        <v/>
      </c>
      <c r="AW55" s="34">
        <f>IF(AW46&gt;0,IF(AW18=1,0,AW39+AW46),AW39-AW40)</f>
        <v/>
      </c>
      <c r="AX55" s="34">
        <f>IF(AX46&gt;0,IF(AX18=1,0,AX39+AX46),AX39-AX40)</f>
        <v/>
      </c>
      <c r="AY55" s="34">
        <f>IF(AY46&gt;0,IF(AY18=1,0,AY39+AY46),AY39-AY40)</f>
        <v/>
      </c>
      <c r="AZ55" s="34">
        <f>IF(AZ46&gt;0,IF(AZ18=1,0,AZ39+AZ46),AZ39-AZ40)</f>
        <v/>
      </c>
      <c r="BA55" s="34">
        <f>IF(BA46&gt;0,IF(BA18=1,0,BA39+BA46),BA39-BA40)</f>
        <v/>
      </c>
      <c r="BB55" s="34">
        <f>IF(BB46&gt;0,IF(BB18=1,0,BB39+BB46),BB39-BB40)</f>
        <v/>
      </c>
      <c r="BC55" s="34">
        <f>IF(BC46&gt;0,IF(BC18=1,0,BC39+BC46),BC39-BC40)</f>
        <v/>
      </c>
      <c r="BD55" s="34">
        <f>IF(BD46&gt;0,IF(BD18=1,0,BD39+BD46),BD39-BD40)</f>
        <v/>
      </c>
      <c r="BE55" s="34">
        <f>IF(BE46&gt;0,IF(BE18=1,0,BE39+BE46),BE39-BE40)</f>
        <v/>
      </c>
      <c r="BF55" s="34">
        <f>IF(BF46&gt;0,IF(BF18=1,0,BF39+BF46),BF39-BF40)</f>
        <v/>
      </c>
      <c r="BG55" s="34">
        <f>IF(BG46&gt;0,IF(BG18=1,0,BG39+BG46),BG39-BG40)</f>
        <v/>
      </c>
      <c r="BH55" s="34">
        <f>IF(BH46&gt;0,IF(BH18=1,0,BH39+BH46),BH39-BH40)</f>
        <v/>
      </c>
      <c r="BI55" s="34">
        <f>IF(BI46&gt;0,IF(BI18=1,0,BI39+BI46),BI39-BI40)</f>
        <v/>
      </c>
      <c r="BJ55" s="34">
        <f>IF(BJ46&gt;0,IF(BJ18=1,0,BJ39+BJ46),BJ39-BJ40)</f>
        <v/>
      </c>
      <c r="BK55" s="34">
        <f>IF(BK46&gt;0,IF(BK18=1,0,BK39+BK46),BK39-BK40)</f>
        <v/>
      </c>
      <c r="BL55" s="34">
        <f>IF(BL46&gt;0,IF(BL18=1,0,BL39+BL46),BL39-BL40)</f>
        <v/>
      </c>
      <c r="BM55" s="34">
        <f>IF(BM46&gt;0,IF(BM18=1,0,BM39+BM46),BM39-BM40)</f>
        <v/>
      </c>
      <c r="BN55" s="34">
        <f>IF(BN46&gt;0,IF(BN18=1,0,BN39+BN46),BN39-BN40)</f>
        <v/>
      </c>
      <c r="BO55" s="34">
        <f>IF(BO46&gt;0,IF(BO18=1,0,BO39+BO46),BO39-BO40)</f>
        <v/>
      </c>
      <c r="BP55" s="34">
        <f>IF(BP46&gt;0,IF(BP18=1,0,BP39+BP46),BP39-BP40)</f>
        <v/>
      </c>
      <c r="BQ55" s="34">
        <f>IF(BQ46&gt;0,IF(BQ18=1,0,BQ39+BQ46),BQ39-BQ40)</f>
        <v/>
      </c>
      <c r="BR55" s="34">
        <f>IF(BR46&gt;0,IF(BR18=1,0,BR39+BR46),BR39-BR40)</f>
        <v/>
      </c>
      <c r="BS55" s="34">
        <f>IF(BS46&gt;0,IF(BS18=1,0,BS39+BS46),BS39-BS40)</f>
        <v/>
      </c>
      <c r="BT55" s="34">
        <f>IF(BT46&gt;0,IF(BT18=1,0,BT39+BT46),BT39-BT40)</f>
        <v/>
      </c>
      <c r="BU55" s="34">
        <f>IF(BU46&gt;0,IF(BU18=1,0,BU39+BU46),BU39-BU40)</f>
        <v/>
      </c>
      <c r="BV55" s="34">
        <f>IF(BV46&gt;0,IF(BV18=1,0,BV39+BV46),BV39-BV40)</f>
        <v/>
      </c>
      <c r="BW55" s="34">
        <f>IF(BW46&gt;0,IF(BW18=1,0,BW39+BW46),BW39-BW40)</f>
        <v/>
      </c>
      <c r="BX55" s="34">
        <f>IF(BX46&gt;0,IF(BX18=1,0,BX39+BX46),BX39-BX40)</f>
        <v/>
      </c>
      <c r="BY55" s="34">
        <f>IF(BY46&gt;0,IF(BY18=1,0,BY39+BY46),BY39-BY40)</f>
        <v/>
      </c>
      <c r="BZ55" s="34">
        <f>IF(BZ46&gt;0,IF(BZ18=1,0,BZ39+BZ46),BZ39-BZ40)</f>
        <v/>
      </c>
      <c r="CA55" s="34">
        <f>IF(CA46&gt;0,IF(CA18=1,0,CA39+CA46),CA39-CA40)</f>
        <v/>
      </c>
      <c r="CB55" s="34">
        <f>IF(CB46&gt;0,IF(CB18=1,0,CB39+CB46),CB39-CB40)</f>
        <v/>
      </c>
      <c r="CC55" s="34">
        <f>IF(CC46&gt;0,IF(CC18=1,0,CC39+CC46),CC39-CC40)</f>
        <v/>
      </c>
      <c r="CD55" s="34">
        <f>IF(CD46&gt;0,IF(CD18=1,0,CD39+CD46),CD39-CD40)</f>
        <v/>
      </c>
      <c r="CE55" s="34">
        <f>IF(CE46&gt;0,IF(CE18=1,0,CE39+CE46),CE39-CE40)</f>
        <v/>
      </c>
      <c r="CF55" s="34">
        <f>IF(CF46&gt;0,IF(CF18=1,0,CF39+CF46),CF39-CF40)</f>
        <v/>
      </c>
      <c r="CG55" s="34">
        <f>IF(CG46&gt;0,IF(CG18=1,0,CG39+CG46),CG39-CG40)</f>
        <v/>
      </c>
      <c r="CH55" s="34">
        <f>IF(CH46&gt;0,IF(CH18=1,0,CH39+CH46),CH39-CH40)</f>
        <v/>
      </c>
      <c r="CI55" s="34">
        <f>IF(CI46&gt;0,IF(CI18=1,0,CI39+CI46),CI39-CI40)</f>
        <v/>
      </c>
      <c r="CJ55" s="34">
        <f>IF(CJ46&gt;0,IF(CJ18=1,0,CJ39+CJ46),CJ39-CJ40)</f>
        <v/>
      </c>
      <c r="CK55" s="34">
        <f>IF(CK46&gt;0,IF(CK18=1,0,CK39+CK46),CK39-CK40)</f>
        <v/>
      </c>
      <c r="CL55" s="34">
        <f>IF(CL46&gt;0,IF(CL18=1,0,CL39+CL46),CL39-CL40)</f>
        <v/>
      </c>
      <c r="CM55" s="34">
        <f>IF(CM46&gt;0,IF(CM18=1,0,CM39+CM46),CM39-CM40)</f>
        <v/>
      </c>
      <c r="CN55" s="34">
        <f>IF(CN46&gt;0,IF(CN18=1,0,CN39+CN46),CN39-CN40)</f>
        <v/>
      </c>
      <c r="CO55" s="34">
        <f>IF(CO46&gt;0,IF(CO18=1,0,CO39+CO46),CO39-CO40)</f>
        <v/>
      </c>
      <c r="CP55" s="34">
        <f>IF(CP46&gt;0,IF(CP18=1,0,CP39+CP46),CP39-CP40)</f>
        <v/>
      </c>
      <c r="CQ55" s="34">
        <f>IF(CQ46&gt;0,IF(CQ18=1,0,CQ39+CQ46),CQ39-CQ40)</f>
        <v/>
      </c>
      <c r="CR55" s="34">
        <f>IF(CR46&gt;0,IF(CR18=1,0,CR39+CR46),CR39-CR40)</f>
        <v/>
      </c>
      <c r="CS55" s="34">
        <f>IF(CS46&gt;0,IF(CS18=1,0,CS39+CS46),CS39-CS40)</f>
        <v/>
      </c>
      <c r="CT55" s="34">
        <f>IF(CT46&gt;0,IF(CT18=1,0,CT39+CT46),CT39-CT40)</f>
        <v/>
      </c>
      <c r="CU55" s="34">
        <f>IF(CU46&gt;0,IF(CU18=1,0,CU39+CU46),CU39-CU40)</f>
        <v/>
      </c>
    </row>
    <row r="56">
      <c r="A56" s="7" t="inlineStr">
        <is>
          <t>Senior debt: closing balance</t>
        </is>
      </c>
      <c r="B56" s="1" t="n"/>
      <c r="C56" s="11" t="inlineStr"/>
      <c r="D56" s="34">
        <f>IF(D17=1,0,D48-D49)</f>
        <v/>
      </c>
      <c r="E56" s="34">
        <f>IF(E17=1,0,E48-E49)</f>
        <v/>
      </c>
      <c r="F56" s="34">
        <f>IF(F17=1,0,F48-F49)</f>
        <v/>
      </c>
      <c r="G56" s="34">
        <f>IF(G17=1,0,G48-G49)</f>
        <v/>
      </c>
      <c r="H56" s="34">
        <f>IF(H17=1,0,H48-H49)</f>
        <v/>
      </c>
      <c r="I56" s="34">
        <f>IF(I17=1,0,I48-I49)</f>
        <v/>
      </c>
      <c r="J56" s="34">
        <f>IF(J17=1,0,J48-J49)</f>
        <v/>
      </c>
      <c r="K56" s="34">
        <f>IF(K17=1,0,K48-K49)</f>
        <v/>
      </c>
      <c r="L56" s="34">
        <f>IF(L17=1,0,L48-L49)</f>
        <v/>
      </c>
      <c r="M56" s="34">
        <f>IF(M17=1,0,M48-M49)</f>
        <v/>
      </c>
      <c r="N56" s="34">
        <f>IF(N17=1,0,N48-N49)</f>
        <v/>
      </c>
      <c r="O56" s="34">
        <f>IF(O17=1,0,O48-O49)</f>
        <v/>
      </c>
      <c r="P56" s="34">
        <f>IF(P17=1,0,P48-P49)</f>
        <v/>
      </c>
      <c r="Q56" s="34">
        <f>IF(Q17=1,0,Q48-Q49)</f>
        <v/>
      </c>
      <c r="R56" s="34">
        <f>IF(R17=1,0,R48-R49)</f>
        <v/>
      </c>
      <c r="S56" s="34">
        <f>IF(S17=1,0,S48-S49)</f>
        <v/>
      </c>
      <c r="T56" s="34">
        <f>IF(T17=1,0,T48-T49)</f>
        <v/>
      </c>
      <c r="U56" s="34">
        <f>IF(U17=1,0,U48-U49)</f>
        <v/>
      </c>
      <c r="V56" s="34">
        <f>IF(V17=1,0,V48-V49)</f>
        <v/>
      </c>
      <c r="W56" s="34">
        <f>IF(W17=1,0,W48-W49)</f>
        <v/>
      </c>
      <c r="X56" s="34">
        <f>IF(X17=1,0,X48-X49)</f>
        <v/>
      </c>
      <c r="Y56" s="34">
        <f>IF(Y17=1,0,Y48-Y49)</f>
        <v/>
      </c>
      <c r="Z56" s="34">
        <f>IF(Z17=1,0,Z48-Z49)</f>
        <v/>
      </c>
      <c r="AA56" s="34">
        <f>IF(AA17=1,0,AA48-AA49)</f>
        <v/>
      </c>
      <c r="AB56" s="34">
        <f>IF(AB17=1,0,AB48-AB49)</f>
        <v/>
      </c>
      <c r="AC56" s="34">
        <f>IF(AC17=1,0,AC48-AC49)</f>
        <v/>
      </c>
      <c r="AD56" s="34">
        <f>IF(AD17=1,0,AD48-AD49)</f>
        <v/>
      </c>
      <c r="AE56" s="34">
        <f>IF(AE17=1,0,AE48-AE49)</f>
        <v/>
      </c>
      <c r="AF56" s="34">
        <f>IF(AF17=1,0,AF48-AF49)</f>
        <v/>
      </c>
      <c r="AG56" s="34">
        <f>IF(AG17=1,0,AG48-AG49)</f>
        <v/>
      </c>
      <c r="AH56" s="34">
        <f>IF(AH17=1,0,AH48-AH49)</f>
        <v/>
      </c>
      <c r="AI56" s="34">
        <f>IF(AI17=1,0,AI48-AI49)</f>
        <v/>
      </c>
      <c r="AJ56" s="34">
        <f>IF(AJ17=1,0,AJ48-AJ49)</f>
        <v/>
      </c>
      <c r="AK56" s="34">
        <f>IF(AK17=1,0,AK48-AK49)</f>
        <v/>
      </c>
      <c r="AL56" s="34">
        <f>IF(AL17=1,0,AL48-AL49)</f>
        <v/>
      </c>
      <c r="AM56" s="34">
        <f>IF(AM17=1,0,AM48-AM49)</f>
        <v/>
      </c>
      <c r="AN56" s="34">
        <f>IF(AN17=1,0,AN48-AN49)</f>
        <v/>
      </c>
      <c r="AO56" s="34">
        <f>IF(AO17=1,0,AO48-AO49)</f>
        <v/>
      </c>
      <c r="AP56" s="34">
        <f>IF(AP17=1,0,AP48-AP49)</f>
        <v/>
      </c>
      <c r="AQ56" s="34">
        <f>IF(AQ17=1,0,AQ48-AQ49)</f>
        <v/>
      </c>
      <c r="AR56" s="34">
        <f>IF(AR17=1,0,AR48-AR49)</f>
        <v/>
      </c>
      <c r="AS56" s="34">
        <f>IF(AS17=1,0,AS48-AS49)</f>
        <v/>
      </c>
      <c r="AT56" s="34">
        <f>IF(AT17=1,0,AT48-AT49)</f>
        <v/>
      </c>
      <c r="AU56" s="34">
        <f>IF(AU17=1,0,AU48-AU49)</f>
        <v/>
      </c>
      <c r="AV56" s="34">
        <f>IF(AV17=1,0,AV48-AV49)</f>
        <v/>
      </c>
      <c r="AW56" s="34">
        <f>IF(AW17=1,0,AW48-AW49)</f>
        <v/>
      </c>
      <c r="AX56" s="34">
        <f>IF(AX17=1,0,AX48-AX49)</f>
        <v/>
      </c>
      <c r="AY56" s="34">
        <f>IF(AY17=1,0,AY48-AY49)</f>
        <v/>
      </c>
      <c r="AZ56" s="34">
        <f>IF(AZ17=1,0,AZ48-AZ49)</f>
        <v/>
      </c>
      <c r="BA56" s="34">
        <f>IF(BA17=1,0,BA48-BA49)</f>
        <v/>
      </c>
      <c r="BB56" s="34">
        <f>IF(BB17=1,0,BB48-BB49)</f>
        <v/>
      </c>
      <c r="BC56" s="34">
        <f>IF(BC17=1,0,BC48-BC49)</f>
        <v/>
      </c>
      <c r="BD56" s="34">
        <f>IF(BD17=1,0,BD48-BD49)</f>
        <v/>
      </c>
      <c r="BE56" s="34">
        <f>IF(BE17=1,0,BE48-BE49)</f>
        <v/>
      </c>
      <c r="BF56" s="34">
        <f>IF(BF17=1,0,BF48-BF49)</f>
        <v/>
      </c>
      <c r="BG56" s="34">
        <f>IF(BG17=1,0,BG48-BG49)</f>
        <v/>
      </c>
      <c r="BH56" s="34">
        <f>IF(BH17=1,0,BH48-BH49)</f>
        <v/>
      </c>
      <c r="BI56" s="34">
        <f>IF(BI17=1,0,BI48-BI49)</f>
        <v/>
      </c>
      <c r="BJ56" s="34">
        <f>IF(BJ17=1,0,BJ48-BJ49)</f>
        <v/>
      </c>
      <c r="BK56" s="34">
        <f>IF(BK17=1,0,BK48-BK49)</f>
        <v/>
      </c>
      <c r="BL56" s="34">
        <f>IF(BL17=1,0,BL48-BL49)</f>
        <v/>
      </c>
      <c r="BM56" s="34">
        <f>IF(BM17=1,0,BM48-BM49)</f>
        <v/>
      </c>
      <c r="BN56" s="34">
        <f>IF(BN17=1,0,BN48-BN49)</f>
        <v/>
      </c>
      <c r="BO56" s="34">
        <f>IF(BO17=1,0,BO48-BO49)</f>
        <v/>
      </c>
      <c r="BP56" s="34">
        <f>IF(BP17=1,0,BP48-BP49)</f>
        <v/>
      </c>
      <c r="BQ56" s="34">
        <f>IF(BQ17=1,0,BQ48-BQ49)</f>
        <v/>
      </c>
      <c r="BR56" s="34">
        <f>IF(BR17=1,0,BR48-BR49)</f>
        <v/>
      </c>
      <c r="BS56" s="34">
        <f>IF(BS17=1,0,BS48-BS49)</f>
        <v/>
      </c>
      <c r="BT56" s="34">
        <f>IF(BT17=1,0,BT48-BT49)</f>
        <v/>
      </c>
      <c r="BU56" s="34">
        <f>IF(BU17=1,0,BU48-BU49)</f>
        <v/>
      </c>
      <c r="BV56" s="34">
        <f>IF(BV17=1,0,BV48-BV49)</f>
        <v/>
      </c>
      <c r="BW56" s="34">
        <f>IF(BW17=1,0,BW48-BW49)</f>
        <v/>
      </c>
      <c r="BX56" s="34">
        <f>IF(BX17=1,0,BX48-BX49)</f>
        <v/>
      </c>
      <c r="BY56" s="34">
        <f>IF(BY17=1,0,BY48-BY49)</f>
        <v/>
      </c>
      <c r="BZ56" s="34">
        <f>IF(BZ17=1,0,BZ48-BZ49)</f>
        <v/>
      </c>
      <c r="CA56" s="34">
        <f>IF(CA17=1,0,CA48-CA49)</f>
        <v/>
      </c>
      <c r="CB56" s="34">
        <f>IF(CB17=1,0,CB48-CB49)</f>
        <v/>
      </c>
      <c r="CC56" s="34">
        <f>IF(CC17=1,0,CC48-CC49)</f>
        <v/>
      </c>
      <c r="CD56" s="34">
        <f>IF(CD17=1,0,CD48-CD49)</f>
        <v/>
      </c>
      <c r="CE56" s="34">
        <f>IF(CE17=1,0,CE48-CE49)</f>
        <v/>
      </c>
      <c r="CF56" s="34">
        <f>IF(CF17=1,0,CF48-CF49)</f>
        <v/>
      </c>
      <c r="CG56" s="34">
        <f>IF(CG17=1,0,CG48-CG49)</f>
        <v/>
      </c>
      <c r="CH56" s="34">
        <f>IF(CH17=1,0,CH48-CH49)</f>
        <v/>
      </c>
      <c r="CI56" s="34">
        <f>IF(CI17=1,0,CI48-CI49)</f>
        <v/>
      </c>
      <c r="CJ56" s="34">
        <f>IF(CJ17=1,0,CJ48-CJ49)</f>
        <v/>
      </c>
      <c r="CK56" s="34">
        <f>IF(CK17=1,0,CK48-CK49)</f>
        <v/>
      </c>
      <c r="CL56" s="34">
        <f>IF(CL17=1,0,CL48-CL49)</f>
        <v/>
      </c>
      <c r="CM56" s="34">
        <f>IF(CM17=1,0,CM48-CM49)</f>
        <v/>
      </c>
      <c r="CN56" s="34">
        <f>IF(CN17=1,0,CN48-CN49)</f>
        <v/>
      </c>
      <c r="CO56" s="34">
        <f>IF(CO17=1,0,CO48-CO49)</f>
        <v/>
      </c>
      <c r="CP56" s="34">
        <f>IF(CP17=1,0,CP48-CP49)</f>
        <v/>
      </c>
      <c r="CQ56" s="34">
        <f>IF(CQ17=1,0,CQ48-CQ49)</f>
        <v/>
      </c>
      <c r="CR56" s="34">
        <f>IF(CR17=1,0,CR48-CR49)</f>
        <v/>
      </c>
      <c r="CS56" s="34">
        <f>IF(CS17=1,0,CS48-CS49)</f>
        <v/>
      </c>
      <c r="CT56" s="34">
        <f>IF(CT17=1,0,CT48-CT49)</f>
        <v/>
      </c>
      <c r="CU56" s="34">
        <f>IF(CU17=1,0,CU48-CU49)</f>
        <v/>
      </c>
    </row>
    <row r="57">
      <c r="A57" s="7" t="inlineStr">
        <is>
          <t>Mezzanine: closing balance</t>
        </is>
      </c>
      <c r="B57" s="1" t="n"/>
      <c r="C57" s="11" t="inlineStr"/>
      <c r="D57" s="34">
        <f>IF(D17=1,0,D50-D51)</f>
        <v/>
      </c>
      <c r="E57" s="34">
        <f>IF(E17=1,0,E50-E51)</f>
        <v/>
      </c>
      <c r="F57" s="34">
        <f>IF(F17=1,0,F50-F51)</f>
        <v/>
      </c>
      <c r="G57" s="34">
        <f>IF(G17=1,0,G50-G51)</f>
        <v/>
      </c>
      <c r="H57" s="34">
        <f>IF(H17=1,0,H50-H51)</f>
        <v/>
      </c>
      <c r="I57" s="34">
        <f>IF(I17=1,0,I50-I51)</f>
        <v/>
      </c>
      <c r="J57" s="34">
        <f>IF(J17=1,0,J50-J51)</f>
        <v/>
      </c>
      <c r="K57" s="34">
        <f>IF(K17=1,0,K50-K51)</f>
        <v/>
      </c>
      <c r="L57" s="34">
        <f>IF(L17=1,0,L50-L51)</f>
        <v/>
      </c>
      <c r="M57" s="34">
        <f>IF(M17=1,0,M50-M51)</f>
        <v/>
      </c>
      <c r="N57" s="34">
        <f>IF(N17=1,0,N50-N51)</f>
        <v/>
      </c>
      <c r="O57" s="34">
        <f>IF(O17=1,0,O50-O51)</f>
        <v/>
      </c>
      <c r="P57" s="34">
        <f>IF(P17=1,0,P50-P51)</f>
        <v/>
      </c>
      <c r="Q57" s="34">
        <f>IF(Q17=1,0,Q50-Q51)</f>
        <v/>
      </c>
      <c r="R57" s="34">
        <f>IF(R17=1,0,R50-R51)</f>
        <v/>
      </c>
      <c r="S57" s="34">
        <f>IF(S17=1,0,S50-S51)</f>
        <v/>
      </c>
      <c r="T57" s="34">
        <f>IF(T17=1,0,T50-T51)</f>
        <v/>
      </c>
      <c r="U57" s="34">
        <f>IF(U17=1,0,U50-U51)</f>
        <v/>
      </c>
      <c r="V57" s="34">
        <f>IF(V17=1,0,V50-V51)</f>
        <v/>
      </c>
      <c r="W57" s="34">
        <f>IF(W17=1,0,W50-W51)</f>
        <v/>
      </c>
      <c r="X57" s="34">
        <f>IF(X17=1,0,X50-X51)</f>
        <v/>
      </c>
      <c r="Y57" s="34">
        <f>IF(Y17=1,0,Y50-Y51)</f>
        <v/>
      </c>
      <c r="Z57" s="34">
        <f>IF(Z17=1,0,Z50-Z51)</f>
        <v/>
      </c>
      <c r="AA57" s="34">
        <f>IF(AA17=1,0,AA50-AA51)</f>
        <v/>
      </c>
      <c r="AB57" s="34">
        <f>IF(AB17=1,0,AB50-AB51)</f>
        <v/>
      </c>
      <c r="AC57" s="34">
        <f>IF(AC17=1,0,AC50-AC51)</f>
        <v/>
      </c>
      <c r="AD57" s="34">
        <f>IF(AD17=1,0,AD50-AD51)</f>
        <v/>
      </c>
      <c r="AE57" s="34">
        <f>IF(AE17=1,0,AE50-AE51)</f>
        <v/>
      </c>
      <c r="AF57" s="34">
        <f>IF(AF17=1,0,AF50-AF51)</f>
        <v/>
      </c>
      <c r="AG57" s="34">
        <f>IF(AG17=1,0,AG50-AG51)</f>
        <v/>
      </c>
      <c r="AH57" s="34">
        <f>IF(AH17=1,0,AH50-AH51)</f>
        <v/>
      </c>
      <c r="AI57" s="34">
        <f>IF(AI17=1,0,AI50-AI51)</f>
        <v/>
      </c>
      <c r="AJ57" s="34">
        <f>IF(AJ17=1,0,AJ50-AJ51)</f>
        <v/>
      </c>
      <c r="AK57" s="34">
        <f>IF(AK17=1,0,AK50-AK51)</f>
        <v/>
      </c>
      <c r="AL57" s="34">
        <f>IF(AL17=1,0,AL50-AL51)</f>
        <v/>
      </c>
      <c r="AM57" s="34">
        <f>IF(AM17=1,0,AM50-AM51)</f>
        <v/>
      </c>
      <c r="AN57" s="34">
        <f>IF(AN17=1,0,AN50-AN51)</f>
        <v/>
      </c>
      <c r="AO57" s="34">
        <f>IF(AO17=1,0,AO50-AO51)</f>
        <v/>
      </c>
      <c r="AP57" s="34">
        <f>IF(AP17=1,0,AP50-AP51)</f>
        <v/>
      </c>
      <c r="AQ57" s="34">
        <f>IF(AQ17=1,0,AQ50-AQ51)</f>
        <v/>
      </c>
      <c r="AR57" s="34">
        <f>IF(AR17=1,0,AR50-AR51)</f>
        <v/>
      </c>
      <c r="AS57" s="34">
        <f>IF(AS17=1,0,AS50-AS51)</f>
        <v/>
      </c>
      <c r="AT57" s="34">
        <f>IF(AT17=1,0,AT50-AT51)</f>
        <v/>
      </c>
      <c r="AU57" s="34">
        <f>IF(AU17=1,0,AU50-AU51)</f>
        <v/>
      </c>
      <c r="AV57" s="34">
        <f>IF(AV17=1,0,AV50-AV51)</f>
        <v/>
      </c>
      <c r="AW57" s="34">
        <f>IF(AW17=1,0,AW50-AW51)</f>
        <v/>
      </c>
      <c r="AX57" s="34">
        <f>IF(AX17=1,0,AX50-AX51)</f>
        <v/>
      </c>
      <c r="AY57" s="34">
        <f>IF(AY17=1,0,AY50-AY51)</f>
        <v/>
      </c>
      <c r="AZ57" s="34">
        <f>IF(AZ17=1,0,AZ50-AZ51)</f>
        <v/>
      </c>
      <c r="BA57" s="34">
        <f>IF(BA17=1,0,BA50-BA51)</f>
        <v/>
      </c>
      <c r="BB57" s="34">
        <f>IF(BB17=1,0,BB50-BB51)</f>
        <v/>
      </c>
      <c r="BC57" s="34">
        <f>IF(BC17=1,0,BC50-BC51)</f>
        <v/>
      </c>
      <c r="BD57" s="34">
        <f>IF(BD17=1,0,BD50-BD51)</f>
        <v/>
      </c>
      <c r="BE57" s="34">
        <f>IF(BE17=1,0,BE50-BE51)</f>
        <v/>
      </c>
      <c r="BF57" s="34">
        <f>IF(BF17=1,0,BF50-BF51)</f>
        <v/>
      </c>
      <c r="BG57" s="34">
        <f>IF(BG17=1,0,BG50-BG51)</f>
        <v/>
      </c>
      <c r="BH57" s="34">
        <f>IF(BH17=1,0,BH50-BH51)</f>
        <v/>
      </c>
      <c r="BI57" s="34">
        <f>IF(BI17=1,0,BI50-BI51)</f>
        <v/>
      </c>
      <c r="BJ57" s="34">
        <f>IF(BJ17=1,0,BJ50-BJ51)</f>
        <v/>
      </c>
      <c r="BK57" s="34">
        <f>IF(BK17=1,0,BK50-BK51)</f>
        <v/>
      </c>
      <c r="BL57" s="34">
        <f>IF(BL17=1,0,BL50-BL51)</f>
        <v/>
      </c>
      <c r="BM57" s="34">
        <f>IF(BM17=1,0,BM50-BM51)</f>
        <v/>
      </c>
      <c r="BN57" s="34">
        <f>IF(BN17=1,0,BN50-BN51)</f>
        <v/>
      </c>
      <c r="BO57" s="34">
        <f>IF(BO17=1,0,BO50-BO51)</f>
        <v/>
      </c>
      <c r="BP57" s="34">
        <f>IF(BP17=1,0,BP50-BP51)</f>
        <v/>
      </c>
      <c r="BQ57" s="34">
        <f>IF(BQ17=1,0,BQ50-BQ51)</f>
        <v/>
      </c>
      <c r="BR57" s="34">
        <f>IF(BR17=1,0,BR50-BR51)</f>
        <v/>
      </c>
      <c r="BS57" s="34">
        <f>IF(BS17=1,0,BS50-BS51)</f>
        <v/>
      </c>
      <c r="BT57" s="34">
        <f>IF(BT17=1,0,BT50-BT51)</f>
        <v/>
      </c>
      <c r="BU57" s="34">
        <f>IF(BU17=1,0,BU50-BU51)</f>
        <v/>
      </c>
      <c r="BV57" s="34">
        <f>IF(BV17=1,0,BV50-BV51)</f>
        <v/>
      </c>
      <c r="BW57" s="34">
        <f>IF(BW17=1,0,BW50-BW51)</f>
        <v/>
      </c>
      <c r="BX57" s="34">
        <f>IF(BX17=1,0,BX50-BX51)</f>
        <v/>
      </c>
      <c r="BY57" s="34">
        <f>IF(BY17=1,0,BY50-BY51)</f>
        <v/>
      </c>
      <c r="BZ57" s="34">
        <f>IF(BZ17=1,0,BZ50-BZ51)</f>
        <v/>
      </c>
      <c r="CA57" s="34">
        <f>IF(CA17=1,0,CA50-CA51)</f>
        <v/>
      </c>
      <c r="CB57" s="34">
        <f>IF(CB17=1,0,CB50-CB51)</f>
        <v/>
      </c>
      <c r="CC57" s="34">
        <f>IF(CC17=1,0,CC50-CC51)</f>
        <v/>
      </c>
      <c r="CD57" s="34">
        <f>IF(CD17=1,0,CD50-CD51)</f>
        <v/>
      </c>
      <c r="CE57" s="34">
        <f>IF(CE17=1,0,CE50-CE51)</f>
        <v/>
      </c>
      <c r="CF57" s="34">
        <f>IF(CF17=1,0,CF50-CF51)</f>
        <v/>
      </c>
      <c r="CG57" s="34">
        <f>IF(CG17=1,0,CG50-CG51)</f>
        <v/>
      </c>
      <c r="CH57" s="34">
        <f>IF(CH17=1,0,CH50-CH51)</f>
        <v/>
      </c>
      <c r="CI57" s="34">
        <f>IF(CI17=1,0,CI50-CI51)</f>
        <v/>
      </c>
      <c r="CJ57" s="34">
        <f>IF(CJ17=1,0,CJ50-CJ51)</f>
        <v/>
      </c>
      <c r="CK57" s="34">
        <f>IF(CK17=1,0,CK50-CK51)</f>
        <v/>
      </c>
      <c r="CL57" s="34">
        <f>IF(CL17=1,0,CL50-CL51)</f>
        <v/>
      </c>
      <c r="CM57" s="34">
        <f>IF(CM17=1,0,CM50-CM51)</f>
        <v/>
      </c>
      <c r="CN57" s="34">
        <f>IF(CN17=1,0,CN50-CN51)</f>
        <v/>
      </c>
      <c r="CO57" s="34">
        <f>IF(CO17=1,0,CO50-CO51)</f>
        <v/>
      </c>
      <c r="CP57" s="34">
        <f>IF(CP17=1,0,CP50-CP51)</f>
        <v/>
      </c>
      <c r="CQ57" s="34">
        <f>IF(CQ17=1,0,CQ50-CQ51)</f>
        <v/>
      </c>
      <c r="CR57" s="34">
        <f>IF(CR17=1,0,CR50-CR51)</f>
        <v/>
      </c>
      <c r="CS57" s="34">
        <f>IF(CS17=1,0,CS50-CS51)</f>
        <v/>
      </c>
      <c r="CT57" s="34">
        <f>IF(CT17=1,0,CT50-CT51)</f>
        <v/>
      </c>
      <c r="CU57" s="34">
        <f>IF(CU17=1,0,CU50-CU51)</f>
        <v/>
      </c>
    </row>
    <row r="58">
      <c r="A58" s="7" t="inlineStr">
        <is>
          <t>Debt service paid in cash (interest + principal)</t>
        </is>
      </c>
      <c r="B58" s="21">
        <f>SUM(D58:CU58)</f>
        <v/>
      </c>
      <c r="C58" s="11" t="inlineStr"/>
      <c r="D58" s="34">
        <f>D36+D37</f>
        <v/>
      </c>
      <c r="E58" s="34">
        <f>E36+E37</f>
        <v/>
      </c>
      <c r="F58" s="34">
        <f>F36+F37</f>
        <v/>
      </c>
      <c r="G58" s="34">
        <f>G36+G37</f>
        <v/>
      </c>
      <c r="H58" s="34">
        <f>H36+H37</f>
        <v/>
      </c>
      <c r="I58" s="34">
        <f>I36+I37</f>
        <v/>
      </c>
      <c r="J58" s="34">
        <f>J36+J37</f>
        <v/>
      </c>
      <c r="K58" s="34">
        <f>K36+K37</f>
        <v/>
      </c>
      <c r="L58" s="34">
        <f>L36+L37</f>
        <v/>
      </c>
      <c r="M58" s="34">
        <f>M36+M37</f>
        <v/>
      </c>
      <c r="N58" s="34">
        <f>N36+N37</f>
        <v/>
      </c>
      <c r="O58" s="34">
        <f>O36+O37</f>
        <v/>
      </c>
      <c r="P58" s="34">
        <f>P36+P37</f>
        <v/>
      </c>
      <c r="Q58" s="34">
        <f>Q36+Q37</f>
        <v/>
      </c>
      <c r="R58" s="34">
        <f>R36+R37</f>
        <v/>
      </c>
      <c r="S58" s="34">
        <f>S36+S37</f>
        <v/>
      </c>
      <c r="T58" s="34">
        <f>T36+T37</f>
        <v/>
      </c>
      <c r="U58" s="34">
        <f>U36+U37</f>
        <v/>
      </c>
      <c r="V58" s="34">
        <f>V36+V37</f>
        <v/>
      </c>
      <c r="W58" s="34">
        <f>W36+W37</f>
        <v/>
      </c>
      <c r="X58" s="34">
        <f>X36+X37</f>
        <v/>
      </c>
      <c r="Y58" s="34">
        <f>Y36+Y37</f>
        <v/>
      </c>
      <c r="Z58" s="34">
        <f>Z36+Z37</f>
        <v/>
      </c>
      <c r="AA58" s="34">
        <f>AA36+AA37</f>
        <v/>
      </c>
      <c r="AB58" s="34">
        <f>AB36+AB37</f>
        <v/>
      </c>
      <c r="AC58" s="34">
        <f>AC36+AC37</f>
        <v/>
      </c>
      <c r="AD58" s="34">
        <f>AD36+AD37</f>
        <v/>
      </c>
      <c r="AE58" s="34">
        <f>AE36+AE37</f>
        <v/>
      </c>
      <c r="AF58" s="34">
        <f>AF36+AF37</f>
        <v/>
      </c>
      <c r="AG58" s="34">
        <f>AG36+AG37</f>
        <v/>
      </c>
      <c r="AH58" s="34">
        <f>AH36+AH37</f>
        <v/>
      </c>
      <c r="AI58" s="34">
        <f>AI36+AI37</f>
        <v/>
      </c>
      <c r="AJ58" s="34">
        <f>AJ36+AJ37</f>
        <v/>
      </c>
      <c r="AK58" s="34">
        <f>AK36+AK37</f>
        <v/>
      </c>
      <c r="AL58" s="34">
        <f>AL36+AL37</f>
        <v/>
      </c>
      <c r="AM58" s="34">
        <f>AM36+AM37</f>
        <v/>
      </c>
      <c r="AN58" s="34">
        <f>AN36+AN37</f>
        <v/>
      </c>
      <c r="AO58" s="34">
        <f>AO36+AO37</f>
        <v/>
      </c>
      <c r="AP58" s="34">
        <f>AP36+AP37</f>
        <v/>
      </c>
      <c r="AQ58" s="34">
        <f>AQ36+AQ37</f>
        <v/>
      </c>
      <c r="AR58" s="34">
        <f>AR36+AR37</f>
        <v/>
      </c>
      <c r="AS58" s="34">
        <f>AS36+AS37</f>
        <v/>
      </c>
      <c r="AT58" s="34">
        <f>AT36+AT37</f>
        <v/>
      </c>
      <c r="AU58" s="34">
        <f>AU36+AU37</f>
        <v/>
      </c>
      <c r="AV58" s="34">
        <f>AV36+AV37</f>
        <v/>
      </c>
      <c r="AW58" s="34">
        <f>AW36+AW37</f>
        <v/>
      </c>
      <c r="AX58" s="34">
        <f>AX36+AX37</f>
        <v/>
      </c>
      <c r="AY58" s="34">
        <f>AY36+AY37</f>
        <v/>
      </c>
      <c r="AZ58" s="34">
        <f>AZ36+AZ37</f>
        <v/>
      </c>
      <c r="BA58" s="34">
        <f>BA36+BA37</f>
        <v/>
      </c>
      <c r="BB58" s="34">
        <f>BB36+BB37</f>
        <v/>
      </c>
      <c r="BC58" s="34">
        <f>BC36+BC37</f>
        <v/>
      </c>
      <c r="BD58" s="34">
        <f>BD36+BD37</f>
        <v/>
      </c>
      <c r="BE58" s="34">
        <f>BE36+BE37</f>
        <v/>
      </c>
      <c r="BF58" s="34">
        <f>BF36+BF37</f>
        <v/>
      </c>
      <c r="BG58" s="34">
        <f>BG36+BG37</f>
        <v/>
      </c>
      <c r="BH58" s="34">
        <f>BH36+BH37</f>
        <v/>
      </c>
      <c r="BI58" s="34">
        <f>BI36+BI37</f>
        <v/>
      </c>
      <c r="BJ58" s="34">
        <f>BJ36+BJ37</f>
        <v/>
      </c>
      <c r="BK58" s="34">
        <f>BK36+BK37</f>
        <v/>
      </c>
      <c r="BL58" s="34">
        <f>BL36+BL37</f>
        <v/>
      </c>
      <c r="BM58" s="34">
        <f>BM36+BM37</f>
        <v/>
      </c>
      <c r="BN58" s="34">
        <f>BN36+BN37</f>
        <v/>
      </c>
      <c r="BO58" s="34">
        <f>BO36+BO37</f>
        <v/>
      </c>
      <c r="BP58" s="34">
        <f>BP36+BP37</f>
        <v/>
      </c>
      <c r="BQ58" s="34">
        <f>BQ36+BQ37</f>
        <v/>
      </c>
      <c r="BR58" s="34">
        <f>BR36+BR37</f>
        <v/>
      </c>
      <c r="BS58" s="34">
        <f>BS36+BS37</f>
        <v/>
      </c>
      <c r="BT58" s="34">
        <f>BT36+BT37</f>
        <v/>
      </c>
      <c r="BU58" s="34">
        <f>BU36+BU37</f>
        <v/>
      </c>
      <c r="BV58" s="34">
        <f>BV36+BV37</f>
        <v/>
      </c>
      <c r="BW58" s="34">
        <f>BW36+BW37</f>
        <v/>
      </c>
      <c r="BX58" s="34">
        <f>BX36+BX37</f>
        <v/>
      </c>
      <c r="BY58" s="34">
        <f>BY36+BY37</f>
        <v/>
      </c>
      <c r="BZ58" s="34">
        <f>BZ36+BZ37</f>
        <v/>
      </c>
      <c r="CA58" s="34">
        <f>CA36+CA37</f>
        <v/>
      </c>
      <c r="CB58" s="34">
        <f>CB36+CB37</f>
        <v/>
      </c>
      <c r="CC58" s="34">
        <f>CC36+CC37</f>
        <v/>
      </c>
      <c r="CD58" s="34">
        <f>CD36+CD37</f>
        <v/>
      </c>
      <c r="CE58" s="34">
        <f>CE36+CE37</f>
        <v/>
      </c>
      <c r="CF58" s="34">
        <f>CF36+CF37</f>
        <v/>
      </c>
      <c r="CG58" s="34">
        <f>CG36+CG37</f>
        <v/>
      </c>
      <c r="CH58" s="34">
        <f>CH36+CH37</f>
        <v/>
      </c>
      <c r="CI58" s="34">
        <f>CI36+CI37</f>
        <v/>
      </c>
      <c r="CJ58" s="34">
        <f>CJ36+CJ37</f>
        <v/>
      </c>
      <c r="CK58" s="34">
        <f>CK36+CK37</f>
        <v/>
      </c>
      <c r="CL58" s="34">
        <f>CL36+CL37</f>
        <v/>
      </c>
      <c r="CM58" s="34">
        <f>CM36+CM37</f>
        <v/>
      </c>
      <c r="CN58" s="34">
        <f>CN36+CN37</f>
        <v/>
      </c>
      <c r="CO58" s="34">
        <f>CO36+CO37</f>
        <v/>
      </c>
      <c r="CP58" s="34">
        <f>CP36+CP37</f>
        <v/>
      </c>
      <c r="CQ58" s="34">
        <f>CQ36+CQ37</f>
        <v/>
      </c>
      <c r="CR58" s="34">
        <f>CR36+CR37</f>
        <v/>
      </c>
      <c r="CS58" s="34">
        <f>CS36+CS37</f>
        <v/>
      </c>
      <c r="CT58" s="34">
        <f>CT36+CT37</f>
        <v/>
      </c>
      <c r="CU58" s="34">
        <f>CU36+CU37</f>
        <v/>
      </c>
    </row>
    <row r="59">
      <c r="A59" s="13" t="inlineStr">
        <is>
          <t>Equity</t>
        </is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4" t="n"/>
      <c r="BR59" s="14" t="n"/>
      <c r="BS59" s="14" t="n"/>
      <c r="BT59" s="14" t="n"/>
      <c r="BU59" s="14" t="n"/>
      <c r="BV59" s="14" t="n"/>
      <c r="BW59" s="14" t="n"/>
      <c r="BX59" s="14" t="n"/>
      <c r="BY59" s="14" t="n"/>
      <c r="BZ59" s="14" t="n"/>
      <c r="CA59" s="14" t="n"/>
      <c r="CB59" s="14" t="n"/>
      <c r="CC59" s="14" t="n"/>
      <c r="CD59" s="14" t="n"/>
      <c r="CE59" s="14" t="n"/>
      <c r="CF59" s="14" t="n"/>
      <c r="CG59" s="14" t="n"/>
      <c r="CH59" s="14" t="n"/>
      <c r="CI59" s="14" t="n"/>
      <c r="CJ59" s="14" t="n"/>
      <c r="CK59" s="14" t="n"/>
      <c r="CL59" s="14" t="n"/>
      <c r="CM59" s="14" t="n"/>
      <c r="CN59" s="14" t="n"/>
      <c r="CO59" s="14" t="n"/>
      <c r="CP59" s="14" t="n"/>
      <c r="CQ59" s="14" t="n"/>
      <c r="CR59" s="14" t="n"/>
      <c r="CS59" s="14" t="n"/>
      <c r="CT59" s="14" t="n"/>
      <c r="CU59" s="14" t="n"/>
    </row>
    <row r="60">
      <c r="A60" s="38" t="inlineStr">
        <is>
          <t>Equity contributions</t>
        </is>
      </c>
      <c r="B60" s="39">
        <f>SUM(D60:CU60)</f>
        <v/>
      </c>
      <c r="C60" s="40" t="inlineStr"/>
      <c r="D60" s="39">
        <f>D41+D45+D54</f>
        <v/>
      </c>
      <c r="E60" s="39">
        <f>E41+E45+E54</f>
        <v/>
      </c>
      <c r="F60" s="39">
        <f>F41+F45+F54</f>
        <v/>
      </c>
      <c r="G60" s="39">
        <f>G41+G45+G54</f>
        <v/>
      </c>
      <c r="H60" s="39">
        <f>H41+H45+H54</f>
        <v/>
      </c>
      <c r="I60" s="39">
        <f>I41+I45+I54</f>
        <v/>
      </c>
      <c r="J60" s="39">
        <f>J41+J45+J54</f>
        <v/>
      </c>
      <c r="K60" s="39">
        <f>K41+K45+K54</f>
        <v/>
      </c>
      <c r="L60" s="39">
        <f>L41+L45+L54</f>
        <v/>
      </c>
      <c r="M60" s="39">
        <f>M41+M45+M54</f>
        <v/>
      </c>
      <c r="N60" s="39">
        <f>N41+N45+N54</f>
        <v/>
      </c>
      <c r="O60" s="39">
        <f>O41+O45+O54</f>
        <v/>
      </c>
      <c r="P60" s="39">
        <f>P41+P45+P54</f>
        <v/>
      </c>
      <c r="Q60" s="39">
        <f>Q41+Q45+Q54</f>
        <v/>
      </c>
      <c r="R60" s="39">
        <f>R41+R45+R54</f>
        <v/>
      </c>
      <c r="S60" s="39">
        <f>S41+S45+S54</f>
        <v/>
      </c>
      <c r="T60" s="39">
        <f>T41+T45+T54</f>
        <v/>
      </c>
      <c r="U60" s="39">
        <f>U41+U45+U54</f>
        <v/>
      </c>
      <c r="V60" s="39">
        <f>V41+V45+V54</f>
        <v/>
      </c>
      <c r="W60" s="39">
        <f>W41+W45+W54</f>
        <v/>
      </c>
      <c r="X60" s="39">
        <f>X41+X45+X54</f>
        <v/>
      </c>
      <c r="Y60" s="39">
        <f>Y41+Y45+Y54</f>
        <v/>
      </c>
      <c r="Z60" s="39">
        <f>Z41+Z45+Z54</f>
        <v/>
      </c>
      <c r="AA60" s="39">
        <f>AA41+AA45+AA54</f>
        <v/>
      </c>
      <c r="AB60" s="39">
        <f>AB41+AB45+AB54</f>
        <v/>
      </c>
      <c r="AC60" s="39">
        <f>AC41+AC45+AC54</f>
        <v/>
      </c>
      <c r="AD60" s="39">
        <f>AD41+AD45+AD54</f>
        <v/>
      </c>
      <c r="AE60" s="39">
        <f>AE41+AE45+AE54</f>
        <v/>
      </c>
      <c r="AF60" s="39">
        <f>AF41+AF45+AF54</f>
        <v/>
      </c>
      <c r="AG60" s="39">
        <f>AG41+AG45+AG54</f>
        <v/>
      </c>
      <c r="AH60" s="39">
        <f>AH41+AH45+AH54</f>
        <v/>
      </c>
      <c r="AI60" s="39">
        <f>AI41+AI45+AI54</f>
        <v/>
      </c>
      <c r="AJ60" s="39">
        <f>AJ41+AJ45+AJ54</f>
        <v/>
      </c>
      <c r="AK60" s="39">
        <f>AK41+AK45+AK54</f>
        <v/>
      </c>
      <c r="AL60" s="39">
        <f>AL41+AL45+AL54</f>
        <v/>
      </c>
      <c r="AM60" s="39">
        <f>AM41+AM45+AM54</f>
        <v/>
      </c>
      <c r="AN60" s="39">
        <f>AN41+AN45+AN54</f>
        <v/>
      </c>
      <c r="AO60" s="39">
        <f>AO41+AO45+AO54</f>
        <v/>
      </c>
      <c r="AP60" s="39">
        <f>AP41+AP45+AP54</f>
        <v/>
      </c>
      <c r="AQ60" s="39">
        <f>AQ41+AQ45+AQ54</f>
        <v/>
      </c>
      <c r="AR60" s="39">
        <f>AR41+AR45+AR54</f>
        <v/>
      </c>
      <c r="AS60" s="39">
        <f>AS41+AS45+AS54</f>
        <v/>
      </c>
      <c r="AT60" s="39">
        <f>AT41+AT45+AT54</f>
        <v/>
      </c>
      <c r="AU60" s="39">
        <f>AU41+AU45+AU54</f>
        <v/>
      </c>
      <c r="AV60" s="39">
        <f>AV41+AV45+AV54</f>
        <v/>
      </c>
      <c r="AW60" s="39">
        <f>AW41+AW45+AW54</f>
        <v/>
      </c>
      <c r="AX60" s="39">
        <f>AX41+AX45+AX54</f>
        <v/>
      </c>
      <c r="AY60" s="39">
        <f>AY41+AY45+AY54</f>
        <v/>
      </c>
      <c r="AZ60" s="39">
        <f>AZ41+AZ45+AZ54</f>
        <v/>
      </c>
      <c r="BA60" s="39">
        <f>BA41+BA45+BA54</f>
        <v/>
      </c>
      <c r="BB60" s="39">
        <f>BB41+BB45+BB54</f>
        <v/>
      </c>
      <c r="BC60" s="39">
        <f>BC41+BC45+BC54</f>
        <v/>
      </c>
      <c r="BD60" s="39">
        <f>BD41+BD45+BD54</f>
        <v/>
      </c>
      <c r="BE60" s="39">
        <f>BE41+BE45+BE54</f>
        <v/>
      </c>
      <c r="BF60" s="39">
        <f>BF41+BF45+BF54</f>
        <v/>
      </c>
      <c r="BG60" s="39">
        <f>BG41+BG45+BG54</f>
        <v/>
      </c>
      <c r="BH60" s="39">
        <f>BH41+BH45+BH54</f>
        <v/>
      </c>
      <c r="BI60" s="39">
        <f>BI41+BI45+BI54</f>
        <v/>
      </c>
      <c r="BJ60" s="39">
        <f>BJ41+BJ45+BJ54</f>
        <v/>
      </c>
      <c r="BK60" s="39">
        <f>BK41+BK45+BK54</f>
        <v/>
      </c>
      <c r="BL60" s="39">
        <f>BL41+BL45+BL54</f>
        <v/>
      </c>
      <c r="BM60" s="39">
        <f>BM41+BM45+BM54</f>
        <v/>
      </c>
      <c r="BN60" s="39">
        <f>BN41+BN45+BN54</f>
        <v/>
      </c>
      <c r="BO60" s="39">
        <f>BO41+BO45+BO54</f>
        <v/>
      </c>
      <c r="BP60" s="39">
        <f>BP41+BP45+BP54</f>
        <v/>
      </c>
      <c r="BQ60" s="39">
        <f>BQ41+BQ45+BQ54</f>
        <v/>
      </c>
      <c r="BR60" s="39">
        <f>BR41+BR45+BR54</f>
        <v/>
      </c>
      <c r="BS60" s="39">
        <f>BS41+BS45+BS54</f>
        <v/>
      </c>
      <c r="BT60" s="39">
        <f>BT41+BT45+BT54</f>
        <v/>
      </c>
      <c r="BU60" s="39">
        <f>BU41+BU45+BU54</f>
        <v/>
      </c>
      <c r="BV60" s="39">
        <f>BV41+BV45+BV54</f>
        <v/>
      </c>
      <c r="BW60" s="39">
        <f>BW41+BW45+BW54</f>
        <v/>
      </c>
      <c r="BX60" s="39">
        <f>BX41+BX45+BX54</f>
        <v/>
      </c>
      <c r="BY60" s="39">
        <f>BY41+BY45+BY54</f>
        <v/>
      </c>
      <c r="BZ60" s="39">
        <f>BZ41+BZ45+BZ54</f>
        <v/>
      </c>
      <c r="CA60" s="39">
        <f>CA41+CA45+CA54</f>
        <v/>
      </c>
      <c r="CB60" s="39">
        <f>CB41+CB45+CB54</f>
        <v/>
      </c>
      <c r="CC60" s="39">
        <f>CC41+CC45+CC54</f>
        <v/>
      </c>
      <c r="CD60" s="39">
        <f>CD41+CD45+CD54</f>
        <v/>
      </c>
      <c r="CE60" s="39">
        <f>CE41+CE45+CE54</f>
        <v/>
      </c>
      <c r="CF60" s="39">
        <f>CF41+CF45+CF54</f>
        <v/>
      </c>
      <c r="CG60" s="39">
        <f>CG41+CG45+CG54</f>
        <v/>
      </c>
      <c r="CH60" s="39">
        <f>CH41+CH45+CH54</f>
        <v/>
      </c>
      <c r="CI60" s="39">
        <f>CI41+CI45+CI54</f>
        <v/>
      </c>
      <c r="CJ60" s="39">
        <f>CJ41+CJ45+CJ54</f>
        <v/>
      </c>
      <c r="CK60" s="39">
        <f>CK41+CK45+CK54</f>
        <v/>
      </c>
      <c r="CL60" s="39">
        <f>CL41+CL45+CL54</f>
        <v/>
      </c>
      <c r="CM60" s="39">
        <f>CM41+CM45+CM54</f>
        <v/>
      </c>
      <c r="CN60" s="39">
        <f>CN41+CN45+CN54</f>
        <v/>
      </c>
      <c r="CO60" s="39">
        <f>CO41+CO45+CO54</f>
        <v/>
      </c>
      <c r="CP60" s="39">
        <f>CP41+CP45+CP54</f>
        <v/>
      </c>
      <c r="CQ60" s="39">
        <f>CQ41+CQ45+CQ54</f>
        <v/>
      </c>
      <c r="CR60" s="39">
        <f>CR41+CR45+CR54</f>
        <v/>
      </c>
      <c r="CS60" s="39">
        <f>CS41+CS45+CS54</f>
        <v/>
      </c>
      <c r="CT60" s="39">
        <f>CT41+CT45+CT54</f>
        <v/>
      </c>
      <c r="CU60" s="39">
        <f>CU41+CU45+CU54</f>
        <v/>
      </c>
    </row>
    <row r="61">
      <c r="A61" s="38" t="inlineStr">
        <is>
          <t>Equity distributions</t>
        </is>
      </c>
      <c r="B61" s="39">
        <f>SUM(D61:CU61)</f>
        <v/>
      </c>
      <c r="C61" s="40" t="inlineStr"/>
      <c r="D61" s="39">
        <f>MAX(D52-IF(D17=1,D53,0),0)</f>
        <v/>
      </c>
      <c r="E61" s="39">
        <f>MAX(E52-IF(E17=1,E53,0),0)</f>
        <v/>
      </c>
      <c r="F61" s="39">
        <f>MAX(F52-IF(F17=1,F53,0),0)</f>
        <v/>
      </c>
      <c r="G61" s="39">
        <f>MAX(G52-IF(G17=1,G53,0),0)</f>
        <v/>
      </c>
      <c r="H61" s="39">
        <f>MAX(H52-IF(H17=1,H53,0),0)</f>
        <v/>
      </c>
      <c r="I61" s="39">
        <f>MAX(I52-IF(I17=1,I53,0),0)</f>
        <v/>
      </c>
      <c r="J61" s="39">
        <f>MAX(J52-IF(J17=1,J53,0),0)</f>
        <v/>
      </c>
      <c r="K61" s="39">
        <f>MAX(K52-IF(K17=1,K53,0),0)</f>
        <v/>
      </c>
      <c r="L61" s="39">
        <f>MAX(L52-IF(L17=1,L53,0),0)</f>
        <v/>
      </c>
      <c r="M61" s="39">
        <f>MAX(M52-IF(M17=1,M53,0),0)</f>
        <v/>
      </c>
      <c r="N61" s="39">
        <f>MAX(N52-IF(N17=1,N53,0),0)</f>
        <v/>
      </c>
      <c r="O61" s="39">
        <f>MAX(O52-IF(O17=1,O53,0),0)</f>
        <v/>
      </c>
      <c r="P61" s="39">
        <f>MAX(P52-IF(P17=1,P53,0),0)</f>
        <v/>
      </c>
      <c r="Q61" s="39">
        <f>MAX(Q52-IF(Q17=1,Q53,0),0)</f>
        <v/>
      </c>
      <c r="R61" s="39">
        <f>MAX(R52-IF(R17=1,R53,0),0)</f>
        <v/>
      </c>
      <c r="S61" s="39">
        <f>MAX(S52-IF(S17=1,S53,0),0)</f>
        <v/>
      </c>
      <c r="T61" s="39">
        <f>MAX(T52-IF(T17=1,T53,0),0)</f>
        <v/>
      </c>
      <c r="U61" s="39">
        <f>MAX(U52-IF(U17=1,U53,0),0)</f>
        <v/>
      </c>
      <c r="V61" s="39">
        <f>MAX(V52-IF(V17=1,V53,0),0)</f>
        <v/>
      </c>
      <c r="W61" s="39">
        <f>MAX(W52-IF(W17=1,W53,0),0)</f>
        <v/>
      </c>
      <c r="X61" s="39">
        <f>MAX(X52-IF(X17=1,X53,0),0)</f>
        <v/>
      </c>
      <c r="Y61" s="39">
        <f>MAX(Y52-IF(Y17=1,Y53,0),0)</f>
        <v/>
      </c>
      <c r="Z61" s="39">
        <f>MAX(Z52-IF(Z17=1,Z53,0),0)</f>
        <v/>
      </c>
      <c r="AA61" s="39">
        <f>MAX(AA52-IF(AA17=1,AA53,0),0)</f>
        <v/>
      </c>
      <c r="AB61" s="39">
        <f>MAX(AB52-IF(AB17=1,AB53,0),0)</f>
        <v/>
      </c>
      <c r="AC61" s="39">
        <f>MAX(AC52-IF(AC17=1,AC53,0),0)</f>
        <v/>
      </c>
      <c r="AD61" s="39">
        <f>MAX(AD52-IF(AD17=1,AD53,0),0)</f>
        <v/>
      </c>
      <c r="AE61" s="39">
        <f>MAX(AE52-IF(AE17=1,AE53,0),0)</f>
        <v/>
      </c>
      <c r="AF61" s="39">
        <f>MAX(AF52-IF(AF17=1,AF53,0),0)</f>
        <v/>
      </c>
      <c r="AG61" s="39">
        <f>MAX(AG52-IF(AG17=1,AG53,0),0)</f>
        <v/>
      </c>
      <c r="AH61" s="39">
        <f>MAX(AH52-IF(AH17=1,AH53,0),0)</f>
        <v/>
      </c>
      <c r="AI61" s="39">
        <f>MAX(AI52-IF(AI17=1,AI53,0),0)</f>
        <v/>
      </c>
      <c r="AJ61" s="39">
        <f>MAX(AJ52-IF(AJ17=1,AJ53,0),0)</f>
        <v/>
      </c>
      <c r="AK61" s="39">
        <f>MAX(AK52-IF(AK17=1,AK53,0),0)</f>
        <v/>
      </c>
      <c r="AL61" s="39">
        <f>MAX(AL52-IF(AL17=1,AL53,0),0)</f>
        <v/>
      </c>
      <c r="AM61" s="39">
        <f>MAX(AM52-IF(AM17=1,AM53,0),0)</f>
        <v/>
      </c>
      <c r="AN61" s="39">
        <f>MAX(AN52-IF(AN17=1,AN53,0),0)</f>
        <v/>
      </c>
      <c r="AO61" s="39">
        <f>MAX(AO52-IF(AO17=1,AO53,0),0)</f>
        <v/>
      </c>
      <c r="AP61" s="39">
        <f>MAX(AP52-IF(AP17=1,AP53,0),0)</f>
        <v/>
      </c>
      <c r="AQ61" s="39">
        <f>MAX(AQ52-IF(AQ17=1,AQ53,0),0)</f>
        <v/>
      </c>
      <c r="AR61" s="39">
        <f>MAX(AR52-IF(AR17=1,AR53,0),0)</f>
        <v/>
      </c>
      <c r="AS61" s="39">
        <f>MAX(AS52-IF(AS17=1,AS53,0),0)</f>
        <v/>
      </c>
      <c r="AT61" s="39">
        <f>MAX(AT52-IF(AT17=1,AT53,0),0)</f>
        <v/>
      </c>
      <c r="AU61" s="39">
        <f>MAX(AU52-IF(AU17=1,AU53,0),0)</f>
        <v/>
      </c>
      <c r="AV61" s="39">
        <f>MAX(AV52-IF(AV17=1,AV53,0),0)</f>
        <v/>
      </c>
      <c r="AW61" s="39">
        <f>MAX(AW52-IF(AW17=1,AW53,0),0)</f>
        <v/>
      </c>
      <c r="AX61" s="39">
        <f>MAX(AX52-IF(AX17=1,AX53,0),0)</f>
        <v/>
      </c>
      <c r="AY61" s="39">
        <f>MAX(AY52-IF(AY17=1,AY53,0),0)</f>
        <v/>
      </c>
      <c r="AZ61" s="39">
        <f>MAX(AZ52-IF(AZ17=1,AZ53,0),0)</f>
        <v/>
      </c>
      <c r="BA61" s="39">
        <f>MAX(BA52-IF(BA17=1,BA53,0),0)</f>
        <v/>
      </c>
      <c r="BB61" s="39">
        <f>MAX(BB52-IF(BB17=1,BB53,0),0)</f>
        <v/>
      </c>
      <c r="BC61" s="39">
        <f>MAX(BC52-IF(BC17=1,BC53,0),0)</f>
        <v/>
      </c>
      <c r="BD61" s="39">
        <f>MAX(BD52-IF(BD17=1,BD53,0),0)</f>
        <v/>
      </c>
      <c r="BE61" s="39">
        <f>MAX(BE52-IF(BE17=1,BE53,0),0)</f>
        <v/>
      </c>
      <c r="BF61" s="39">
        <f>MAX(BF52-IF(BF17=1,BF53,0),0)</f>
        <v/>
      </c>
      <c r="BG61" s="39">
        <f>MAX(BG52-IF(BG17=1,BG53,0),0)</f>
        <v/>
      </c>
      <c r="BH61" s="39">
        <f>MAX(BH52-IF(BH17=1,BH53,0),0)</f>
        <v/>
      </c>
      <c r="BI61" s="39">
        <f>MAX(BI52-IF(BI17=1,BI53,0),0)</f>
        <v/>
      </c>
      <c r="BJ61" s="39">
        <f>MAX(BJ52-IF(BJ17=1,BJ53,0),0)</f>
        <v/>
      </c>
      <c r="BK61" s="39">
        <f>MAX(BK52-IF(BK17=1,BK53,0),0)</f>
        <v/>
      </c>
      <c r="BL61" s="39">
        <f>MAX(BL52-IF(BL17=1,BL53,0),0)</f>
        <v/>
      </c>
      <c r="BM61" s="39">
        <f>MAX(BM52-IF(BM17=1,BM53,0),0)</f>
        <v/>
      </c>
      <c r="BN61" s="39">
        <f>MAX(BN52-IF(BN17=1,BN53,0),0)</f>
        <v/>
      </c>
      <c r="BO61" s="39">
        <f>MAX(BO52-IF(BO17=1,BO53,0),0)</f>
        <v/>
      </c>
      <c r="BP61" s="39">
        <f>MAX(BP52-IF(BP17=1,BP53,0),0)</f>
        <v/>
      </c>
      <c r="BQ61" s="39">
        <f>MAX(BQ52-IF(BQ17=1,BQ53,0),0)</f>
        <v/>
      </c>
      <c r="BR61" s="39">
        <f>MAX(BR52-IF(BR17=1,BR53,0),0)</f>
        <v/>
      </c>
      <c r="BS61" s="39">
        <f>MAX(BS52-IF(BS17=1,BS53,0),0)</f>
        <v/>
      </c>
      <c r="BT61" s="39">
        <f>MAX(BT52-IF(BT17=1,BT53,0),0)</f>
        <v/>
      </c>
      <c r="BU61" s="39">
        <f>MAX(BU52-IF(BU17=1,BU53,0),0)</f>
        <v/>
      </c>
      <c r="BV61" s="39">
        <f>MAX(BV52-IF(BV17=1,BV53,0),0)</f>
        <v/>
      </c>
      <c r="BW61" s="39">
        <f>MAX(BW52-IF(BW17=1,BW53,0),0)</f>
        <v/>
      </c>
      <c r="BX61" s="39">
        <f>MAX(BX52-IF(BX17=1,BX53,0),0)</f>
        <v/>
      </c>
      <c r="BY61" s="39">
        <f>MAX(BY52-IF(BY17=1,BY53,0),0)</f>
        <v/>
      </c>
      <c r="BZ61" s="39">
        <f>MAX(BZ52-IF(BZ17=1,BZ53,0),0)</f>
        <v/>
      </c>
      <c r="CA61" s="39">
        <f>MAX(CA52-IF(CA17=1,CA53,0),0)</f>
        <v/>
      </c>
      <c r="CB61" s="39">
        <f>MAX(CB52-IF(CB17=1,CB53,0),0)</f>
        <v/>
      </c>
      <c r="CC61" s="39">
        <f>MAX(CC52-IF(CC17=1,CC53,0),0)</f>
        <v/>
      </c>
      <c r="CD61" s="39">
        <f>MAX(CD52-IF(CD17=1,CD53,0),0)</f>
        <v/>
      </c>
      <c r="CE61" s="39">
        <f>MAX(CE52-IF(CE17=1,CE53,0),0)</f>
        <v/>
      </c>
      <c r="CF61" s="39">
        <f>MAX(CF52-IF(CF17=1,CF53,0),0)</f>
        <v/>
      </c>
      <c r="CG61" s="39">
        <f>MAX(CG52-IF(CG17=1,CG53,0),0)</f>
        <v/>
      </c>
      <c r="CH61" s="39">
        <f>MAX(CH52-IF(CH17=1,CH53,0),0)</f>
        <v/>
      </c>
      <c r="CI61" s="39">
        <f>MAX(CI52-IF(CI17=1,CI53,0),0)</f>
        <v/>
      </c>
      <c r="CJ61" s="39">
        <f>MAX(CJ52-IF(CJ17=1,CJ53,0),0)</f>
        <v/>
      </c>
      <c r="CK61" s="39">
        <f>MAX(CK52-IF(CK17=1,CK53,0),0)</f>
        <v/>
      </c>
      <c r="CL61" s="39">
        <f>MAX(CL52-IF(CL17=1,CL53,0),0)</f>
        <v/>
      </c>
      <c r="CM61" s="39">
        <f>MAX(CM52-IF(CM17=1,CM53,0),0)</f>
        <v/>
      </c>
      <c r="CN61" s="39">
        <f>MAX(CN52-IF(CN17=1,CN53,0),0)</f>
        <v/>
      </c>
      <c r="CO61" s="39">
        <f>MAX(CO52-IF(CO17=1,CO53,0),0)</f>
        <v/>
      </c>
      <c r="CP61" s="39">
        <f>MAX(CP52-IF(CP17=1,CP53,0),0)</f>
        <v/>
      </c>
      <c r="CQ61" s="39">
        <f>MAX(CQ52-IF(CQ17=1,CQ53,0),0)</f>
        <v/>
      </c>
      <c r="CR61" s="39">
        <f>MAX(CR52-IF(CR17=1,CR53,0),0)</f>
        <v/>
      </c>
      <c r="CS61" s="39">
        <f>MAX(CS52-IF(CS17=1,CS53,0),0)</f>
        <v/>
      </c>
      <c r="CT61" s="39">
        <f>MAX(CT52-IF(CT17=1,CT53,0),0)</f>
        <v/>
      </c>
      <c r="CU61" s="39">
        <f>MAX(CU52-IF(CU17=1,CU53,0),0)</f>
        <v/>
      </c>
    </row>
    <row r="62">
      <c r="A62" s="38" t="inlineStr">
        <is>
          <t>Levered (equity) cash flow</t>
        </is>
      </c>
      <c r="B62" s="39">
        <f>SUM(D62:CU62)</f>
        <v/>
      </c>
      <c r="C62" s="40" t="inlineStr"/>
      <c r="D62" s="39">
        <f>D61-D60</f>
        <v/>
      </c>
      <c r="E62" s="39">
        <f>E61-E60</f>
        <v/>
      </c>
      <c r="F62" s="39">
        <f>F61-F60</f>
        <v/>
      </c>
      <c r="G62" s="39">
        <f>G61-G60</f>
        <v/>
      </c>
      <c r="H62" s="39">
        <f>H61-H60</f>
        <v/>
      </c>
      <c r="I62" s="39">
        <f>I61-I60</f>
        <v/>
      </c>
      <c r="J62" s="39">
        <f>J61-J60</f>
        <v/>
      </c>
      <c r="K62" s="39">
        <f>K61-K60</f>
        <v/>
      </c>
      <c r="L62" s="39">
        <f>L61-L60</f>
        <v/>
      </c>
      <c r="M62" s="39">
        <f>M61-M60</f>
        <v/>
      </c>
      <c r="N62" s="39">
        <f>N61-N60</f>
        <v/>
      </c>
      <c r="O62" s="39">
        <f>O61-O60</f>
        <v/>
      </c>
      <c r="P62" s="39">
        <f>P61-P60</f>
        <v/>
      </c>
      <c r="Q62" s="39">
        <f>Q61-Q60</f>
        <v/>
      </c>
      <c r="R62" s="39">
        <f>R61-R60</f>
        <v/>
      </c>
      <c r="S62" s="39">
        <f>S61-S60</f>
        <v/>
      </c>
      <c r="T62" s="39">
        <f>T61-T60</f>
        <v/>
      </c>
      <c r="U62" s="39">
        <f>U61-U60</f>
        <v/>
      </c>
      <c r="V62" s="39">
        <f>V61-V60</f>
        <v/>
      </c>
      <c r="W62" s="39">
        <f>W61-W60</f>
        <v/>
      </c>
      <c r="X62" s="39">
        <f>X61-X60</f>
        <v/>
      </c>
      <c r="Y62" s="39">
        <f>Y61-Y60</f>
        <v/>
      </c>
      <c r="Z62" s="39">
        <f>Z61-Z60</f>
        <v/>
      </c>
      <c r="AA62" s="39">
        <f>AA61-AA60</f>
        <v/>
      </c>
      <c r="AB62" s="39">
        <f>AB61-AB60</f>
        <v/>
      </c>
      <c r="AC62" s="39">
        <f>AC61-AC60</f>
        <v/>
      </c>
      <c r="AD62" s="39">
        <f>AD61-AD60</f>
        <v/>
      </c>
      <c r="AE62" s="39">
        <f>AE61-AE60</f>
        <v/>
      </c>
      <c r="AF62" s="39">
        <f>AF61-AF60</f>
        <v/>
      </c>
      <c r="AG62" s="39">
        <f>AG61-AG60</f>
        <v/>
      </c>
      <c r="AH62" s="39">
        <f>AH61-AH60</f>
        <v/>
      </c>
      <c r="AI62" s="39">
        <f>AI61-AI60</f>
        <v/>
      </c>
      <c r="AJ62" s="39">
        <f>AJ61-AJ60</f>
        <v/>
      </c>
      <c r="AK62" s="39">
        <f>AK61-AK60</f>
        <v/>
      </c>
      <c r="AL62" s="39">
        <f>AL61-AL60</f>
        <v/>
      </c>
      <c r="AM62" s="39">
        <f>AM61-AM60</f>
        <v/>
      </c>
      <c r="AN62" s="39">
        <f>AN61-AN60</f>
        <v/>
      </c>
      <c r="AO62" s="39">
        <f>AO61-AO60</f>
        <v/>
      </c>
      <c r="AP62" s="39">
        <f>AP61-AP60</f>
        <v/>
      </c>
      <c r="AQ62" s="39">
        <f>AQ61-AQ60</f>
        <v/>
      </c>
      <c r="AR62" s="39">
        <f>AR61-AR60</f>
        <v/>
      </c>
      <c r="AS62" s="39">
        <f>AS61-AS60</f>
        <v/>
      </c>
      <c r="AT62" s="39">
        <f>AT61-AT60</f>
        <v/>
      </c>
      <c r="AU62" s="39">
        <f>AU61-AU60</f>
        <v/>
      </c>
      <c r="AV62" s="39">
        <f>AV61-AV60</f>
        <v/>
      </c>
      <c r="AW62" s="39">
        <f>AW61-AW60</f>
        <v/>
      </c>
      <c r="AX62" s="39">
        <f>AX61-AX60</f>
        <v/>
      </c>
      <c r="AY62" s="39">
        <f>AY61-AY60</f>
        <v/>
      </c>
      <c r="AZ62" s="39">
        <f>AZ61-AZ60</f>
        <v/>
      </c>
      <c r="BA62" s="39">
        <f>BA61-BA60</f>
        <v/>
      </c>
      <c r="BB62" s="39">
        <f>BB61-BB60</f>
        <v/>
      </c>
      <c r="BC62" s="39">
        <f>BC61-BC60</f>
        <v/>
      </c>
      <c r="BD62" s="39">
        <f>BD61-BD60</f>
        <v/>
      </c>
      <c r="BE62" s="39">
        <f>BE61-BE60</f>
        <v/>
      </c>
      <c r="BF62" s="39">
        <f>BF61-BF60</f>
        <v/>
      </c>
      <c r="BG62" s="39">
        <f>BG61-BG60</f>
        <v/>
      </c>
      <c r="BH62" s="39">
        <f>BH61-BH60</f>
        <v/>
      </c>
      <c r="BI62" s="39">
        <f>BI61-BI60</f>
        <v/>
      </c>
      <c r="BJ62" s="39">
        <f>BJ61-BJ60</f>
        <v/>
      </c>
      <c r="BK62" s="39">
        <f>BK61-BK60</f>
        <v/>
      </c>
      <c r="BL62" s="39">
        <f>BL61-BL60</f>
        <v/>
      </c>
      <c r="BM62" s="39">
        <f>BM61-BM60</f>
        <v/>
      </c>
      <c r="BN62" s="39">
        <f>BN61-BN60</f>
        <v/>
      </c>
      <c r="BO62" s="39">
        <f>BO61-BO60</f>
        <v/>
      </c>
      <c r="BP62" s="39">
        <f>BP61-BP60</f>
        <v/>
      </c>
      <c r="BQ62" s="39">
        <f>BQ61-BQ60</f>
        <v/>
      </c>
      <c r="BR62" s="39">
        <f>BR61-BR60</f>
        <v/>
      </c>
      <c r="BS62" s="39">
        <f>BS61-BS60</f>
        <v/>
      </c>
      <c r="BT62" s="39">
        <f>BT61-BT60</f>
        <v/>
      </c>
      <c r="BU62" s="39">
        <f>BU61-BU60</f>
        <v/>
      </c>
      <c r="BV62" s="39">
        <f>BV61-BV60</f>
        <v/>
      </c>
      <c r="BW62" s="39">
        <f>BW61-BW60</f>
        <v/>
      </c>
      <c r="BX62" s="39">
        <f>BX61-BX60</f>
        <v/>
      </c>
      <c r="BY62" s="39">
        <f>BY61-BY60</f>
        <v/>
      </c>
      <c r="BZ62" s="39">
        <f>BZ61-BZ60</f>
        <v/>
      </c>
      <c r="CA62" s="39">
        <f>CA61-CA60</f>
        <v/>
      </c>
      <c r="CB62" s="39">
        <f>CB61-CB60</f>
        <v/>
      </c>
      <c r="CC62" s="39">
        <f>CC61-CC60</f>
        <v/>
      </c>
      <c r="CD62" s="39">
        <f>CD61-CD60</f>
        <v/>
      </c>
      <c r="CE62" s="39">
        <f>CE61-CE60</f>
        <v/>
      </c>
      <c r="CF62" s="39">
        <f>CF61-CF60</f>
        <v/>
      </c>
      <c r="CG62" s="39">
        <f>CG61-CG60</f>
        <v/>
      </c>
      <c r="CH62" s="39">
        <f>CH61-CH60</f>
        <v/>
      </c>
      <c r="CI62" s="39">
        <f>CI61-CI60</f>
        <v/>
      </c>
      <c r="CJ62" s="39">
        <f>CJ61-CJ60</f>
        <v/>
      </c>
      <c r="CK62" s="39">
        <f>CK61-CK60</f>
        <v/>
      </c>
      <c r="CL62" s="39">
        <f>CL61-CL60</f>
        <v/>
      </c>
      <c r="CM62" s="39">
        <f>CM61-CM60</f>
        <v/>
      </c>
      <c r="CN62" s="39">
        <f>CN61-CN60</f>
        <v/>
      </c>
      <c r="CO62" s="39">
        <f>CO61-CO60</f>
        <v/>
      </c>
      <c r="CP62" s="39">
        <f>CP61-CP60</f>
        <v/>
      </c>
      <c r="CQ62" s="39">
        <f>CQ61-CQ60</f>
        <v/>
      </c>
      <c r="CR62" s="39">
        <f>CR61-CR60</f>
        <v/>
      </c>
      <c r="CS62" s="39">
        <f>CS61-CS60</f>
        <v/>
      </c>
      <c r="CT62" s="39">
        <f>CT61-CT60</f>
        <v/>
      </c>
      <c r="CU62" s="39">
        <f>CU61-CU60</f>
        <v/>
      </c>
    </row>
    <row r="63">
      <c r="A63" s="7" t="inlineStr">
        <is>
          <t>Cumulative net equity invested</t>
        </is>
      </c>
      <c r="B63" s="1" t="n"/>
      <c r="C63" s="11" t="inlineStr"/>
      <c r="D63" s="34">
        <f>D60-D61</f>
        <v/>
      </c>
      <c r="E63" s="34">
        <f>E60-E61+D63</f>
        <v/>
      </c>
      <c r="F63" s="34">
        <f>F60-F61+E63</f>
        <v/>
      </c>
      <c r="G63" s="34">
        <f>G60-G61+F63</f>
        <v/>
      </c>
      <c r="H63" s="34">
        <f>H60-H61+G63</f>
        <v/>
      </c>
      <c r="I63" s="34">
        <f>I60-I61+H63</f>
        <v/>
      </c>
      <c r="J63" s="34">
        <f>J60-J61+I63</f>
        <v/>
      </c>
      <c r="K63" s="34">
        <f>K60-K61+J63</f>
        <v/>
      </c>
      <c r="L63" s="34">
        <f>L60-L61+K63</f>
        <v/>
      </c>
      <c r="M63" s="34">
        <f>M60-M61+L63</f>
        <v/>
      </c>
      <c r="N63" s="34">
        <f>N60-N61+M63</f>
        <v/>
      </c>
      <c r="O63" s="34">
        <f>O60-O61+N63</f>
        <v/>
      </c>
      <c r="P63" s="34">
        <f>P60-P61+O63</f>
        <v/>
      </c>
      <c r="Q63" s="34">
        <f>Q60-Q61+P63</f>
        <v/>
      </c>
      <c r="R63" s="34">
        <f>R60-R61+Q63</f>
        <v/>
      </c>
      <c r="S63" s="34">
        <f>S60-S61+R63</f>
        <v/>
      </c>
      <c r="T63" s="34">
        <f>T60-T61+S63</f>
        <v/>
      </c>
      <c r="U63" s="34">
        <f>U60-U61+T63</f>
        <v/>
      </c>
      <c r="V63" s="34">
        <f>V60-V61+U63</f>
        <v/>
      </c>
      <c r="W63" s="34">
        <f>W60-W61+V63</f>
        <v/>
      </c>
      <c r="X63" s="34">
        <f>X60-X61+W63</f>
        <v/>
      </c>
      <c r="Y63" s="34">
        <f>Y60-Y61+X63</f>
        <v/>
      </c>
      <c r="Z63" s="34">
        <f>Z60-Z61+Y63</f>
        <v/>
      </c>
      <c r="AA63" s="34">
        <f>AA60-AA61+Z63</f>
        <v/>
      </c>
      <c r="AB63" s="34">
        <f>AB60-AB61+AA63</f>
        <v/>
      </c>
      <c r="AC63" s="34">
        <f>AC60-AC61+AB63</f>
        <v/>
      </c>
      <c r="AD63" s="34">
        <f>AD60-AD61+AC63</f>
        <v/>
      </c>
      <c r="AE63" s="34">
        <f>AE60-AE61+AD63</f>
        <v/>
      </c>
      <c r="AF63" s="34">
        <f>AF60-AF61+AE63</f>
        <v/>
      </c>
      <c r="AG63" s="34">
        <f>AG60-AG61+AF63</f>
        <v/>
      </c>
      <c r="AH63" s="34">
        <f>AH60-AH61+AG63</f>
        <v/>
      </c>
      <c r="AI63" s="34">
        <f>AI60-AI61+AH63</f>
        <v/>
      </c>
      <c r="AJ63" s="34">
        <f>AJ60-AJ61+AI63</f>
        <v/>
      </c>
      <c r="AK63" s="34">
        <f>AK60-AK61+AJ63</f>
        <v/>
      </c>
      <c r="AL63" s="34">
        <f>AL60-AL61+AK63</f>
        <v/>
      </c>
      <c r="AM63" s="34">
        <f>AM60-AM61+AL63</f>
        <v/>
      </c>
      <c r="AN63" s="34">
        <f>AN60-AN61+AM63</f>
        <v/>
      </c>
      <c r="AO63" s="34">
        <f>AO60-AO61+AN63</f>
        <v/>
      </c>
      <c r="AP63" s="34">
        <f>AP60-AP61+AO63</f>
        <v/>
      </c>
      <c r="AQ63" s="34">
        <f>AQ60-AQ61+AP63</f>
        <v/>
      </c>
      <c r="AR63" s="34">
        <f>AR60-AR61+AQ63</f>
        <v/>
      </c>
      <c r="AS63" s="34">
        <f>AS60-AS61+AR63</f>
        <v/>
      </c>
      <c r="AT63" s="34">
        <f>AT60-AT61+AS63</f>
        <v/>
      </c>
      <c r="AU63" s="34">
        <f>AU60-AU61+AT63</f>
        <v/>
      </c>
      <c r="AV63" s="34">
        <f>AV60-AV61+AU63</f>
        <v/>
      </c>
      <c r="AW63" s="34">
        <f>AW60-AW61+AV63</f>
        <v/>
      </c>
      <c r="AX63" s="34">
        <f>AX60-AX61+AW63</f>
        <v/>
      </c>
      <c r="AY63" s="34">
        <f>AY60-AY61+AX63</f>
        <v/>
      </c>
      <c r="AZ63" s="34">
        <f>AZ60-AZ61+AY63</f>
        <v/>
      </c>
      <c r="BA63" s="34">
        <f>BA60-BA61+AZ63</f>
        <v/>
      </c>
      <c r="BB63" s="34">
        <f>BB60-BB61+BA63</f>
        <v/>
      </c>
      <c r="BC63" s="34">
        <f>BC60-BC61+BB63</f>
        <v/>
      </c>
      <c r="BD63" s="34">
        <f>BD60-BD61+BC63</f>
        <v/>
      </c>
      <c r="BE63" s="34">
        <f>BE60-BE61+BD63</f>
        <v/>
      </c>
      <c r="BF63" s="34">
        <f>BF60-BF61+BE63</f>
        <v/>
      </c>
      <c r="BG63" s="34">
        <f>BG60-BG61+BF63</f>
        <v/>
      </c>
      <c r="BH63" s="34">
        <f>BH60-BH61+BG63</f>
        <v/>
      </c>
      <c r="BI63" s="34">
        <f>BI60-BI61+BH63</f>
        <v/>
      </c>
      <c r="BJ63" s="34">
        <f>BJ60-BJ61+BI63</f>
        <v/>
      </c>
      <c r="BK63" s="34">
        <f>BK60-BK61+BJ63</f>
        <v/>
      </c>
      <c r="BL63" s="34">
        <f>BL60-BL61+BK63</f>
        <v/>
      </c>
      <c r="BM63" s="34">
        <f>BM60-BM61+BL63</f>
        <v/>
      </c>
      <c r="BN63" s="34">
        <f>BN60-BN61+BM63</f>
        <v/>
      </c>
      <c r="BO63" s="34">
        <f>BO60-BO61+BN63</f>
        <v/>
      </c>
      <c r="BP63" s="34">
        <f>BP60-BP61+BO63</f>
        <v/>
      </c>
      <c r="BQ63" s="34">
        <f>BQ60-BQ61+BP63</f>
        <v/>
      </c>
      <c r="BR63" s="34">
        <f>BR60-BR61+BQ63</f>
        <v/>
      </c>
      <c r="BS63" s="34">
        <f>BS60-BS61+BR63</f>
        <v/>
      </c>
      <c r="BT63" s="34">
        <f>BT60-BT61+BS63</f>
        <v/>
      </c>
      <c r="BU63" s="34">
        <f>BU60-BU61+BT63</f>
        <v/>
      </c>
      <c r="BV63" s="34">
        <f>BV60-BV61+BU63</f>
        <v/>
      </c>
      <c r="BW63" s="34">
        <f>BW60-BW61+BV63</f>
        <v/>
      </c>
      <c r="BX63" s="34">
        <f>BX60-BX61+BW63</f>
        <v/>
      </c>
      <c r="BY63" s="34">
        <f>BY60-BY61+BX63</f>
        <v/>
      </c>
      <c r="BZ63" s="34">
        <f>BZ60-BZ61+BY63</f>
        <v/>
      </c>
      <c r="CA63" s="34">
        <f>CA60-CA61+BZ63</f>
        <v/>
      </c>
      <c r="CB63" s="34">
        <f>CB60-CB61+CA63</f>
        <v/>
      </c>
      <c r="CC63" s="34">
        <f>CC60-CC61+CB63</f>
        <v/>
      </c>
      <c r="CD63" s="34">
        <f>CD60-CD61+CC63</f>
        <v/>
      </c>
      <c r="CE63" s="34">
        <f>CE60-CE61+CD63</f>
        <v/>
      </c>
      <c r="CF63" s="34">
        <f>CF60-CF61+CE63</f>
        <v/>
      </c>
      <c r="CG63" s="34">
        <f>CG60-CG61+CF63</f>
        <v/>
      </c>
      <c r="CH63" s="34">
        <f>CH60-CH61+CG63</f>
        <v/>
      </c>
      <c r="CI63" s="34">
        <f>CI60-CI61+CH63</f>
        <v/>
      </c>
      <c r="CJ63" s="34">
        <f>CJ60-CJ61+CI63</f>
        <v/>
      </c>
      <c r="CK63" s="34">
        <f>CK60-CK61+CJ63</f>
        <v/>
      </c>
      <c r="CL63" s="34">
        <f>CL60-CL61+CK63</f>
        <v/>
      </c>
      <c r="CM63" s="34">
        <f>CM60-CM61+CL63</f>
        <v/>
      </c>
      <c r="CN63" s="34">
        <f>CN60-CN61+CM63</f>
        <v/>
      </c>
      <c r="CO63" s="34">
        <f>CO60-CO61+CN63</f>
        <v/>
      </c>
      <c r="CP63" s="34">
        <f>CP60-CP61+CO63</f>
        <v/>
      </c>
      <c r="CQ63" s="34">
        <f>CQ60-CQ61+CP63</f>
        <v/>
      </c>
      <c r="CR63" s="34">
        <f>CR60-CR61+CQ63</f>
        <v/>
      </c>
      <c r="CS63" s="34">
        <f>CS60-CS61+CR63</f>
        <v/>
      </c>
      <c r="CT63" s="34">
        <f>CT60-CT61+CS63</f>
        <v/>
      </c>
      <c r="CU63" s="34">
        <f>CU60-CU61+CT63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7345E"/>
    <outlinePr summaryBelow="1" summaryRight="1"/>
    <pageSetUpPr/>
  </sheetPr>
  <dimension ref="A1:CU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</cols>
  <sheetData>
    <row r="1">
      <c r="A1" s="10" t="inlineStr">
        <is>
          <t>Equity waterfall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A2" s="11" t="inlineStr">
        <is>
          <t>Return of capital → preferred return (compounded monthly) → sponsor promote; pari passu contributions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</row>
    <row r="4">
      <c r="A4" s="12" t="inlineStr">
        <is>
          <t>Month</t>
        </is>
      </c>
      <c r="B4" s="12" t="inlineStr">
        <is>
          <t>Total</t>
        </is>
      </c>
      <c r="C4" s="12" t="inlineStr">
        <is>
          <t>Unit / note</t>
        </is>
      </c>
      <c r="D4" s="24" t="n">
        <v>0</v>
      </c>
      <c r="E4" s="24">
        <f>D4+1</f>
        <v/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>
        <f>L4+1</f>
        <v/>
      </c>
      <c r="N4" s="24">
        <f>M4+1</f>
        <v/>
      </c>
      <c r="O4" s="24">
        <f>N4+1</f>
        <v/>
      </c>
      <c r="P4" s="24">
        <f>O4+1</f>
        <v/>
      </c>
      <c r="Q4" s="24">
        <f>P4+1</f>
        <v/>
      </c>
      <c r="R4" s="24">
        <f>Q4+1</f>
        <v/>
      </c>
      <c r="S4" s="24">
        <f>R4+1</f>
        <v/>
      </c>
      <c r="T4" s="24">
        <f>S4+1</f>
        <v/>
      </c>
      <c r="U4" s="24">
        <f>T4+1</f>
        <v/>
      </c>
      <c r="V4" s="24">
        <f>U4+1</f>
        <v/>
      </c>
      <c r="W4" s="24">
        <f>V4+1</f>
        <v/>
      </c>
      <c r="X4" s="24">
        <f>W4+1</f>
        <v/>
      </c>
      <c r="Y4" s="24">
        <f>X4+1</f>
        <v/>
      </c>
      <c r="Z4" s="24">
        <f>Y4+1</f>
        <v/>
      </c>
      <c r="AA4" s="24">
        <f>Z4+1</f>
        <v/>
      </c>
      <c r="AB4" s="24">
        <f>AA4+1</f>
        <v/>
      </c>
      <c r="AC4" s="24">
        <f>AB4+1</f>
        <v/>
      </c>
      <c r="AD4" s="24">
        <f>AC4+1</f>
        <v/>
      </c>
      <c r="AE4" s="24">
        <f>AD4+1</f>
        <v/>
      </c>
      <c r="AF4" s="24">
        <f>AE4+1</f>
        <v/>
      </c>
      <c r="AG4" s="24">
        <f>AF4+1</f>
        <v/>
      </c>
      <c r="AH4" s="24">
        <f>AG4+1</f>
        <v/>
      </c>
      <c r="AI4" s="24">
        <f>AH4+1</f>
        <v/>
      </c>
      <c r="AJ4" s="24">
        <f>AI4+1</f>
        <v/>
      </c>
      <c r="AK4" s="24">
        <f>AJ4+1</f>
        <v/>
      </c>
      <c r="AL4" s="24">
        <f>AK4+1</f>
        <v/>
      </c>
      <c r="AM4" s="24">
        <f>AL4+1</f>
        <v/>
      </c>
      <c r="AN4" s="24">
        <f>AM4+1</f>
        <v/>
      </c>
      <c r="AO4" s="24">
        <f>AN4+1</f>
        <v/>
      </c>
      <c r="AP4" s="24">
        <f>AO4+1</f>
        <v/>
      </c>
      <c r="AQ4" s="24">
        <f>AP4+1</f>
        <v/>
      </c>
      <c r="AR4" s="24">
        <f>AQ4+1</f>
        <v/>
      </c>
      <c r="AS4" s="24">
        <f>AR4+1</f>
        <v/>
      </c>
      <c r="AT4" s="24">
        <f>AS4+1</f>
        <v/>
      </c>
      <c r="AU4" s="24">
        <f>AT4+1</f>
        <v/>
      </c>
      <c r="AV4" s="24">
        <f>AU4+1</f>
        <v/>
      </c>
      <c r="AW4" s="24">
        <f>AV4+1</f>
        <v/>
      </c>
      <c r="AX4" s="24">
        <f>AW4+1</f>
        <v/>
      </c>
      <c r="AY4" s="24">
        <f>AX4+1</f>
        <v/>
      </c>
      <c r="AZ4" s="24">
        <f>AY4+1</f>
        <v/>
      </c>
      <c r="BA4" s="24">
        <f>AZ4+1</f>
        <v/>
      </c>
      <c r="BB4" s="24">
        <f>BA4+1</f>
        <v/>
      </c>
      <c r="BC4" s="24">
        <f>BB4+1</f>
        <v/>
      </c>
      <c r="BD4" s="24">
        <f>BC4+1</f>
        <v/>
      </c>
      <c r="BE4" s="24">
        <f>BD4+1</f>
        <v/>
      </c>
      <c r="BF4" s="24">
        <f>BE4+1</f>
        <v/>
      </c>
      <c r="BG4" s="24">
        <f>BF4+1</f>
        <v/>
      </c>
      <c r="BH4" s="24">
        <f>BG4+1</f>
        <v/>
      </c>
      <c r="BI4" s="24">
        <f>BH4+1</f>
        <v/>
      </c>
      <c r="BJ4" s="24">
        <f>BI4+1</f>
        <v/>
      </c>
      <c r="BK4" s="24">
        <f>BJ4+1</f>
        <v/>
      </c>
      <c r="BL4" s="24">
        <f>BK4+1</f>
        <v/>
      </c>
      <c r="BM4" s="24">
        <f>BL4+1</f>
        <v/>
      </c>
      <c r="BN4" s="24">
        <f>BM4+1</f>
        <v/>
      </c>
      <c r="BO4" s="24">
        <f>BN4+1</f>
        <v/>
      </c>
      <c r="BP4" s="24">
        <f>BO4+1</f>
        <v/>
      </c>
      <c r="BQ4" s="24">
        <f>BP4+1</f>
        <v/>
      </c>
      <c r="BR4" s="24">
        <f>BQ4+1</f>
        <v/>
      </c>
      <c r="BS4" s="24">
        <f>BR4+1</f>
        <v/>
      </c>
      <c r="BT4" s="24">
        <f>BS4+1</f>
        <v/>
      </c>
      <c r="BU4" s="24">
        <f>BT4+1</f>
        <v/>
      </c>
      <c r="BV4" s="24">
        <f>BU4+1</f>
        <v/>
      </c>
      <c r="BW4" s="24">
        <f>BV4+1</f>
        <v/>
      </c>
      <c r="BX4" s="24">
        <f>BW4+1</f>
        <v/>
      </c>
      <c r="BY4" s="24">
        <f>BX4+1</f>
        <v/>
      </c>
      <c r="BZ4" s="24">
        <f>BY4+1</f>
        <v/>
      </c>
      <c r="CA4" s="24">
        <f>BZ4+1</f>
        <v/>
      </c>
      <c r="CB4" s="24">
        <f>CA4+1</f>
        <v/>
      </c>
      <c r="CC4" s="24">
        <f>CB4+1</f>
        <v/>
      </c>
      <c r="CD4" s="24">
        <f>CC4+1</f>
        <v/>
      </c>
      <c r="CE4" s="24">
        <f>CD4+1</f>
        <v/>
      </c>
      <c r="CF4" s="24">
        <f>CE4+1</f>
        <v/>
      </c>
      <c r="CG4" s="24">
        <f>CF4+1</f>
        <v/>
      </c>
      <c r="CH4" s="24">
        <f>CG4+1</f>
        <v/>
      </c>
      <c r="CI4" s="24">
        <f>CH4+1</f>
        <v/>
      </c>
      <c r="CJ4" s="24">
        <f>CI4+1</f>
        <v/>
      </c>
      <c r="CK4" s="24">
        <f>CJ4+1</f>
        <v/>
      </c>
      <c r="CL4" s="24">
        <f>CK4+1</f>
        <v/>
      </c>
      <c r="CM4" s="24">
        <f>CL4+1</f>
        <v/>
      </c>
      <c r="CN4" s="24">
        <f>CM4+1</f>
        <v/>
      </c>
      <c r="CO4" s="24">
        <f>CN4+1</f>
        <v/>
      </c>
      <c r="CP4" s="24">
        <f>CO4+1</f>
        <v/>
      </c>
      <c r="CQ4" s="24">
        <f>CP4+1</f>
        <v/>
      </c>
      <c r="CR4" s="24">
        <f>CQ4+1</f>
        <v/>
      </c>
      <c r="CS4" s="24">
        <f>CR4+1</f>
        <v/>
      </c>
      <c r="CT4" s="24">
        <f>CS4+1</f>
        <v/>
      </c>
      <c r="CU4" s="24">
        <f>CT4+1</f>
        <v/>
      </c>
    </row>
    <row r="5">
      <c r="A5" s="7" t="inlineStr">
        <is>
          <t>Sponsor share of equity</t>
        </is>
      </c>
      <c r="B5" s="44">
        <f>in_fin_sponsor_equity_share_pct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</row>
    <row r="6">
      <c r="A6" s="7" t="inlineStr">
        <is>
          <t>Monthly preferred return</t>
        </is>
      </c>
      <c r="B6" s="46">
        <f>(1+in_fin_pref_return_pct)^(1/12)-1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</row>
    <row r="7">
      <c r="A7" s="7" t="inlineStr">
        <is>
          <t>Sponsor promote above pref</t>
        </is>
      </c>
      <c r="B7" s="44">
        <f>in_fin_promote_pct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s="7" t="inlineStr">
        <is>
          <t>Equity contributions</t>
        </is>
      </c>
      <c r="B10" s="21">
        <f>SUM(D10:CU10)</f>
        <v/>
      </c>
      <c r="C10" s="11" t="inlineStr"/>
      <c r="D10" s="34">
        <f>'Cash Flow'!D60</f>
        <v/>
      </c>
      <c r="E10" s="34">
        <f>'Cash Flow'!E60</f>
        <v/>
      </c>
      <c r="F10" s="34">
        <f>'Cash Flow'!F60</f>
        <v/>
      </c>
      <c r="G10" s="34">
        <f>'Cash Flow'!G60</f>
        <v/>
      </c>
      <c r="H10" s="34">
        <f>'Cash Flow'!H60</f>
        <v/>
      </c>
      <c r="I10" s="34">
        <f>'Cash Flow'!I60</f>
        <v/>
      </c>
      <c r="J10" s="34">
        <f>'Cash Flow'!J60</f>
        <v/>
      </c>
      <c r="K10" s="34">
        <f>'Cash Flow'!K60</f>
        <v/>
      </c>
      <c r="L10" s="34">
        <f>'Cash Flow'!L60</f>
        <v/>
      </c>
      <c r="M10" s="34">
        <f>'Cash Flow'!M60</f>
        <v/>
      </c>
      <c r="N10" s="34">
        <f>'Cash Flow'!N60</f>
        <v/>
      </c>
      <c r="O10" s="34">
        <f>'Cash Flow'!O60</f>
        <v/>
      </c>
      <c r="P10" s="34">
        <f>'Cash Flow'!P60</f>
        <v/>
      </c>
      <c r="Q10" s="34">
        <f>'Cash Flow'!Q60</f>
        <v/>
      </c>
      <c r="R10" s="34">
        <f>'Cash Flow'!R60</f>
        <v/>
      </c>
      <c r="S10" s="34">
        <f>'Cash Flow'!S60</f>
        <v/>
      </c>
      <c r="T10" s="34">
        <f>'Cash Flow'!T60</f>
        <v/>
      </c>
      <c r="U10" s="34">
        <f>'Cash Flow'!U60</f>
        <v/>
      </c>
      <c r="V10" s="34">
        <f>'Cash Flow'!V60</f>
        <v/>
      </c>
      <c r="W10" s="34">
        <f>'Cash Flow'!W60</f>
        <v/>
      </c>
      <c r="X10" s="34">
        <f>'Cash Flow'!X60</f>
        <v/>
      </c>
      <c r="Y10" s="34">
        <f>'Cash Flow'!Y60</f>
        <v/>
      </c>
      <c r="Z10" s="34">
        <f>'Cash Flow'!Z60</f>
        <v/>
      </c>
      <c r="AA10" s="34">
        <f>'Cash Flow'!AA60</f>
        <v/>
      </c>
      <c r="AB10" s="34">
        <f>'Cash Flow'!AB60</f>
        <v/>
      </c>
      <c r="AC10" s="34">
        <f>'Cash Flow'!AC60</f>
        <v/>
      </c>
      <c r="AD10" s="34">
        <f>'Cash Flow'!AD60</f>
        <v/>
      </c>
      <c r="AE10" s="34">
        <f>'Cash Flow'!AE60</f>
        <v/>
      </c>
      <c r="AF10" s="34">
        <f>'Cash Flow'!AF60</f>
        <v/>
      </c>
      <c r="AG10" s="34">
        <f>'Cash Flow'!AG60</f>
        <v/>
      </c>
      <c r="AH10" s="34">
        <f>'Cash Flow'!AH60</f>
        <v/>
      </c>
      <c r="AI10" s="34">
        <f>'Cash Flow'!AI60</f>
        <v/>
      </c>
      <c r="AJ10" s="34">
        <f>'Cash Flow'!AJ60</f>
        <v/>
      </c>
      <c r="AK10" s="34">
        <f>'Cash Flow'!AK60</f>
        <v/>
      </c>
      <c r="AL10" s="34">
        <f>'Cash Flow'!AL60</f>
        <v/>
      </c>
      <c r="AM10" s="34">
        <f>'Cash Flow'!AM60</f>
        <v/>
      </c>
      <c r="AN10" s="34">
        <f>'Cash Flow'!AN60</f>
        <v/>
      </c>
      <c r="AO10" s="34">
        <f>'Cash Flow'!AO60</f>
        <v/>
      </c>
      <c r="AP10" s="34">
        <f>'Cash Flow'!AP60</f>
        <v/>
      </c>
      <c r="AQ10" s="34">
        <f>'Cash Flow'!AQ60</f>
        <v/>
      </c>
      <c r="AR10" s="34">
        <f>'Cash Flow'!AR60</f>
        <v/>
      </c>
      <c r="AS10" s="34">
        <f>'Cash Flow'!AS60</f>
        <v/>
      </c>
      <c r="AT10" s="34">
        <f>'Cash Flow'!AT60</f>
        <v/>
      </c>
      <c r="AU10" s="34">
        <f>'Cash Flow'!AU60</f>
        <v/>
      </c>
      <c r="AV10" s="34">
        <f>'Cash Flow'!AV60</f>
        <v/>
      </c>
      <c r="AW10" s="34">
        <f>'Cash Flow'!AW60</f>
        <v/>
      </c>
      <c r="AX10" s="34">
        <f>'Cash Flow'!AX60</f>
        <v/>
      </c>
      <c r="AY10" s="34">
        <f>'Cash Flow'!AY60</f>
        <v/>
      </c>
      <c r="AZ10" s="34">
        <f>'Cash Flow'!AZ60</f>
        <v/>
      </c>
      <c r="BA10" s="34">
        <f>'Cash Flow'!BA60</f>
        <v/>
      </c>
      <c r="BB10" s="34">
        <f>'Cash Flow'!BB60</f>
        <v/>
      </c>
      <c r="BC10" s="34">
        <f>'Cash Flow'!BC60</f>
        <v/>
      </c>
      <c r="BD10" s="34">
        <f>'Cash Flow'!BD60</f>
        <v/>
      </c>
      <c r="BE10" s="34">
        <f>'Cash Flow'!BE60</f>
        <v/>
      </c>
      <c r="BF10" s="34">
        <f>'Cash Flow'!BF60</f>
        <v/>
      </c>
      <c r="BG10" s="34">
        <f>'Cash Flow'!BG60</f>
        <v/>
      </c>
      <c r="BH10" s="34">
        <f>'Cash Flow'!BH60</f>
        <v/>
      </c>
      <c r="BI10" s="34">
        <f>'Cash Flow'!BI60</f>
        <v/>
      </c>
      <c r="BJ10" s="34">
        <f>'Cash Flow'!BJ60</f>
        <v/>
      </c>
      <c r="BK10" s="34">
        <f>'Cash Flow'!BK60</f>
        <v/>
      </c>
      <c r="BL10" s="34">
        <f>'Cash Flow'!BL60</f>
        <v/>
      </c>
      <c r="BM10" s="34">
        <f>'Cash Flow'!BM60</f>
        <v/>
      </c>
      <c r="BN10" s="34">
        <f>'Cash Flow'!BN60</f>
        <v/>
      </c>
      <c r="BO10" s="34">
        <f>'Cash Flow'!BO60</f>
        <v/>
      </c>
      <c r="BP10" s="34">
        <f>'Cash Flow'!BP60</f>
        <v/>
      </c>
      <c r="BQ10" s="34">
        <f>'Cash Flow'!BQ60</f>
        <v/>
      </c>
      <c r="BR10" s="34">
        <f>'Cash Flow'!BR60</f>
        <v/>
      </c>
      <c r="BS10" s="34">
        <f>'Cash Flow'!BS60</f>
        <v/>
      </c>
      <c r="BT10" s="34">
        <f>'Cash Flow'!BT60</f>
        <v/>
      </c>
      <c r="BU10" s="34">
        <f>'Cash Flow'!BU60</f>
        <v/>
      </c>
      <c r="BV10" s="34">
        <f>'Cash Flow'!BV60</f>
        <v/>
      </c>
      <c r="BW10" s="34">
        <f>'Cash Flow'!BW60</f>
        <v/>
      </c>
      <c r="BX10" s="34">
        <f>'Cash Flow'!BX60</f>
        <v/>
      </c>
      <c r="BY10" s="34">
        <f>'Cash Flow'!BY60</f>
        <v/>
      </c>
      <c r="BZ10" s="34">
        <f>'Cash Flow'!BZ60</f>
        <v/>
      </c>
      <c r="CA10" s="34">
        <f>'Cash Flow'!CA60</f>
        <v/>
      </c>
      <c r="CB10" s="34">
        <f>'Cash Flow'!CB60</f>
        <v/>
      </c>
      <c r="CC10" s="34">
        <f>'Cash Flow'!CC60</f>
        <v/>
      </c>
      <c r="CD10" s="34">
        <f>'Cash Flow'!CD60</f>
        <v/>
      </c>
      <c r="CE10" s="34">
        <f>'Cash Flow'!CE60</f>
        <v/>
      </c>
      <c r="CF10" s="34">
        <f>'Cash Flow'!CF60</f>
        <v/>
      </c>
      <c r="CG10" s="34">
        <f>'Cash Flow'!CG60</f>
        <v/>
      </c>
      <c r="CH10" s="34">
        <f>'Cash Flow'!CH60</f>
        <v/>
      </c>
      <c r="CI10" s="34">
        <f>'Cash Flow'!CI60</f>
        <v/>
      </c>
      <c r="CJ10" s="34">
        <f>'Cash Flow'!CJ60</f>
        <v/>
      </c>
      <c r="CK10" s="34">
        <f>'Cash Flow'!CK60</f>
        <v/>
      </c>
      <c r="CL10" s="34">
        <f>'Cash Flow'!CL60</f>
        <v/>
      </c>
      <c r="CM10" s="34">
        <f>'Cash Flow'!CM60</f>
        <v/>
      </c>
      <c r="CN10" s="34">
        <f>'Cash Flow'!CN60</f>
        <v/>
      </c>
      <c r="CO10" s="34">
        <f>'Cash Flow'!CO60</f>
        <v/>
      </c>
      <c r="CP10" s="34">
        <f>'Cash Flow'!CP60</f>
        <v/>
      </c>
      <c r="CQ10" s="34">
        <f>'Cash Flow'!CQ60</f>
        <v/>
      </c>
      <c r="CR10" s="34">
        <f>'Cash Flow'!CR60</f>
        <v/>
      </c>
      <c r="CS10" s="34">
        <f>'Cash Flow'!CS60</f>
        <v/>
      </c>
      <c r="CT10" s="34">
        <f>'Cash Flow'!CT60</f>
        <v/>
      </c>
      <c r="CU10" s="34">
        <f>'Cash Flow'!CU60</f>
        <v/>
      </c>
    </row>
    <row r="11">
      <c r="A11" s="7" t="inlineStr">
        <is>
          <t>Equity distributions</t>
        </is>
      </c>
      <c r="B11" s="21">
        <f>SUM(D11:CU11)</f>
        <v/>
      </c>
      <c r="C11" s="11" t="inlineStr"/>
      <c r="D11" s="34">
        <f>'Cash Flow'!D61</f>
        <v/>
      </c>
      <c r="E11" s="34">
        <f>'Cash Flow'!E61</f>
        <v/>
      </c>
      <c r="F11" s="34">
        <f>'Cash Flow'!F61</f>
        <v/>
      </c>
      <c r="G11" s="34">
        <f>'Cash Flow'!G61</f>
        <v/>
      </c>
      <c r="H11" s="34">
        <f>'Cash Flow'!H61</f>
        <v/>
      </c>
      <c r="I11" s="34">
        <f>'Cash Flow'!I61</f>
        <v/>
      </c>
      <c r="J11" s="34">
        <f>'Cash Flow'!J61</f>
        <v/>
      </c>
      <c r="K11" s="34">
        <f>'Cash Flow'!K61</f>
        <v/>
      </c>
      <c r="L11" s="34">
        <f>'Cash Flow'!L61</f>
        <v/>
      </c>
      <c r="M11" s="34">
        <f>'Cash Flow'!M61</f>
        <v/>
      </c>
      <c r="N11" s="34">
        <f>'Cash Flow'!N61</f>
        <v/>
      </c>
      <c r="O11" s="34">
        <f>'Cash Flow'!O61</f>
        <v/>
      </c>
      <c r="P11" s="34">
        <f>'Cash Flow'!P61</f>
        <v/>
      </c>
      <c r="Q11" s="34">
        <f>'Cash Flow'!Q61</f>
        <v/>
      </c>
      <c r="R11" s="34">
        <f>'Cash Flow'!R61</f>
        <v/>
      </c>
      <c r="S11" s="34">
        <f>'Cash Flow'!S61</f>
        <v/>
      </c>
      <c r="T11" s="34">
        <f>'Cash Flow'!T61</f>
        <v/>
      </c>
      <c r="U11" s="34">
        <f>'Cash Flow'!U61</f>
        <v/>
      </c>
      <c r="V11" s="34">
        <f>'Cash Flow'!V61</f>
        <v/>
      </c>
      <c r="W11" s="34">
        <f>'Cash Flow'!W61</f>
        <v/>
      </c>
      <c r="X11" s="34">
        <f>'Cash Flow'!X61</f>
        <v/>
      </c>
      <c r="Y11" s="34">
        <f>'Cash Flow'!Y61</f>
        <v/>
      </c>
      <c r="Z11" s="34">
        <f>'Cash Flow'!Z61</f>
        <v/>
      </c>
      <c r="AA11" s="34">
        <f>'Cash Flow'!AA61</f>
        <v/>
      </c>
      <c r="AB11" s="34">
        <f>'Cash Flow'!AB61</f>
        <v/>
      </c>
      <c r="AC11" s="34">
        <f>'Cash Flow'!AC61</f>
        <v/>
      </c>
      <c r="AD11" s="34">
        <f>'Cash Flow'!AD61</f>
        <v/>
      </c>
      <c r="AE11" s="34">
        <f>'Cash Flow'!AE61</f>
        <v/>
      </c>
      <c r="AF11" s="34">
        <f>'Cash Flow'!AF61</f>
        <v/>
      </c>
      <c r="AG11" s="34">
        <f>'Cash Flow'!AG61</f>
        <v/>
      </c>
      <c r="AH11" s="34">
        <f>'Cash Flow'!AH61</f>
        <v/>
      </c>
      <c r="AI11" s="34">
        <f>'Cash Flow'!AI61</f>
        <v/>
      </c>
      <c r="AJ11" s="34">
        <f>'Cash Flow'!AJ61</f>
        <v/>
      </c>
      <c r="AK11" s="34">
        <f>'Cash Flow'!AK61</f>
        <v/>
      </c>
      <c r="AL11" s="34">
        <f>'Cash Flow'!AL61</f>
        <v/>
      </c>
      <c r="AM11" s="34">
        <f>'Cash Flow'!AM61</f>
        <v/>
      </c>
      <c r="AN11" s="34">
        <f>'Cash Flow'!AN61</f>
        <v/>
      </c>
      <c r="AO11" s="34">
        <f>'Cash Flow'!AO61</f>
        <v/>
      </c>
      <c r="AP11" s="34">
        <f>'Cash Flow'!AP61</f>
        <v/>
      </c>
      <c r="AQ11" s="34">
        <f>'Cash Flow'!AQ61</f>
        <v/>
      </c>
      <c r="AR11" s="34">
        <f>'Cash Flow'!AR61</f>
        <v/>
      </c>
      <c r="AS11" s="34">
        <f>'Cash Flow'!AS61</f>
        <v/>
      </c>
      <c r="AT11" s="34">
        <f>'Cash Flow'!AT61</f>
        <v/>
      </c>
      <c r="AU11" s="34">
        <f>'Cash Flow'!AU61</f>
        <v/>
      </c>
      <c r="AV11" s="34">
        <f>'Cash Flow'!AV61</f>
        <v/>
      </c>
      <c r="AW11" s="34">
        <f>'Cash Flow'!AW61</f>
        <v/>
      </c>
      <c r="AX11" s="34">
        <f>'Cash Flow'!AX61</f>
        <v/>
      </c>
      <c r="AY11" s="34">
        <f>'Cash Flow'!AY61</f>
        <v/>
      </c>
      <c r="AZ11" s="34">
        <f>'Cash Flow'!AZ61</f>
        <v/>
      </c>
      <c r="BA11" s="34">
        <f>'Cash Flow'!BA61</f>
        <v/>
      </c>
      <c r="BB11" s="34">
        <f>'Cash Flow'!BB61</f>
        <v/>
      </c>
      <c r="BC11" s="34">
        <f>'Cash Flow'!BC61</f>
        <v/>
      </c>
      <c r="BD11" s="34">
        <f>'Cash Flow'!BD61</f>
        <v/>
      </c>
      <c r="BE11" s="34">
        <f>'Cash Flow'!BE61</f>
        <v/>
      </c>
      <c r="BF11" s="34">
        <f>'Cash Flow'!BF61</f>
        <v/>
      </c>
      <c r="BG11" s="34">
        <f>'Cash Flow'!BG61</f>
        <v/>
      </c>
      <c r="BH11" s="34">
        <f>'Cash Flow'!BH61</f>
        <v/>
      </c>
      <c r="BI11" s="34">
        <f>'Cash Flow'!BI61</f>
        <v/>
      </c>
      <c r="BJ11" s="34">
        <f>'Cash Flow'!BJ61</f>
        <v/>
      </c>
      <c r="BK11" s="34">
        <f>'Cash Flow'!BK61</f>
        <v/>
      </c>
      <c r="BL11" s="34">
        <f>'Cash Flow'!BL61</f>
        <v/>
      </c>
      <c r="BM11" s="34">
        <f>'Cash Flow'!BM61</f>
        <v/>
      </c>
      <c r="BN11" s="34">
        <f>'Cash Flow'!BN61</f>
        <v/>
      </c>
      <c r="BO11" s="34">
        <f>'Cash Flow'!BO61</f>
        <v/>
      </c>
      <c r="BP11" s="34">
        <f>'Cash Flow'!BP61</f>
        <v/>
      </c>
      <c r="BQ11" s="34">
        <f>'Cash Flow'!BQ61</f>
        <v/>
      </c>
      <c r="BR11" s="34">
        <f>'Cash Flow'!BR61</f>
        <v/>
      </c>
      <c r="BS11" s="34">
        <f>'Cash Flow'!BS61</f>
        <v/>
      </c>
      <c r="BT11" s="34">
        <f>'Cash Flow'!BT61</f>
        <v/>
      </c>
      <c r="BU11" s="34">
        <f>'Cash Flow'!BU61</f>
        <v/>
      </c>
      <c r="BV11" s="34">
        <f>'Cash Flow'!BV61</f>
        <v/>
      </c>
      <c r="BW11" s="34">
        <f>'Cash Flow'!BW61</f>
        <v/>
      </c>
      <c r="BX11" s="34">
        <f>'Cash Flow'!BX61</f>
        <v/>
      </c>
      <c r="BY11" s="34">
        <f>'Cash Flow'!BY61</f>
        <v/>
      </c>
      <c r="BZ11" s="34">
        <f>'Cash Flow'!BZ61</f>
        <v/>
      </c>
      <c r="CA11" s="34">
        <f>'Cash Flow'!CA61</f>
        <v/>
      </c>
      <c r="CB11" s="34">
        <f>'Cash Flow'!CB61</f>
        <v/>
      </c>
      <c r="CC11" s="34">
        <f>'Cash Flow'!CC61</f>
        <v/>
      </c>
      <c r="CD11" s="34">
        <f>'Cash Flow'!CD61</f>
        <v/>
      </c>
      <c r="CE11" s="34">
        <f>'Cash Flow'!CE61</f>
        <v/>
      </c>
      <c r="CF11" s="34">
        <f>'Cash Flow'!CF61</f>
        <v/>
      </c>
      <c r="CG11" s="34">
        <f>'Cash Flow'!CG61</f>
        <v/>
      </c>
      <c r="CH11" s="34">
        <f>'Cash Flow'!CH61</f>
        <v/>
      </c>
      <c r="CI11" s="34">
        <f>'Cash Flow'!CI61</f>
        <v/>
      </c>
      <c r="CJ11" s="34">
        <f>'Cash Flow'!CJ61</f>
        <v/>
      </c>
      <c r="CK11" s="34">
        <f>'Cash Flow'!CK61</f>
        <v/>
      </c>
      <c r="CL11" s="34">
        <f>'Cash Flow'!CL61</f>
        <v/>
      </c>
      <c r="CM11" s="34">
        <f>'Cash Flow'!CM61</f>
        <v/>
      </c>
      <c r="CN11" s="34">
        <f>'Cash Flow'!CN61</f>
        <v/>
      </c>
      <c r="CO11" s="34">
        <f>'Cash Flow'!CO61</f>
        <v/>
      </c>
      <c r="CP11" s="34">
        <f>'Cash Flow'!CP61</f>
        <v/>
      </c>
      <c r="CQ11" s="34">
        <f>'Cash Flow'!CQ61</f>
        <v/>
      </c>
      <c r="CR11" s="34">
        <f>'Cash Flow'!CR61</f>
        <v/>
      </c>
      <c r="CS11" s="34">
        <f>'Cash Flow'!CS61</f>
        <v/>
      </c>
      <c r="CT11" s="34">
        <f>'Cash Flow'!CT61</f>
        <v/>
      </c>
      <c r="CU11" s="34">
        <f>'Cash Flow'!CU61</f>
        <v/>
      </c>
    </row>
    <row r="12">
      <c r="A12" s="7" t="inlineStr">
        <is>
          <t>Unreturned capital: opening</t>
        </is>
      </c>
      <c r="B12" s="1" t="n"/>
      <c r="C12" s="11" t="inlineStr"/>
      <c r="D12" s="34">
        <f>0</f>
        <v/>
      </c>
      <c r="E12" s="34">
        <f>D18</f>
        <v/>
      </c>
      <c r="F12" s="34">
        <f>E18</f>
        <v/>
      </c>
      <c r="G12" s="34">
        <f>F18</f>
        <v/>
      </c>
      <c r="H12" s="34">
        <f>G18</f>
        <v/>
      </c>
      <c r="I12" s="34">
        <f>H18</f>
        <v/>
      </c>
      <c r="J12" s="34">
        <f>I18</f>
        <v/>
      </c>
      <c r="K12" s="34">
        <f>J18</f>
        <v/>
      </c>
      <c r="L12" s="34">
        <f>K18</f>
        <v/>
      </c>
      <c r="M12" s="34">
        <f>L18</f>
        <v/>
      </c>
      <c r="N12" s="34">
        <f>M18</f>
        <v/>
      </c>
      <c r="O12" s="34">
        <f>N18</f>
        <v/>
      </c>
      <c r="P12" s="34">
        <f>O18</f>
        <v/>
      </c>
      <c r="Q12" s="34">
        <f>P18</f>
        <v/>
      </c>
      <c r="R12" s="34">
        <f>Q18</f>
        <v/>
      </c>
      <c r="S12" s="34">
        <f>R18</f>
        <v/>
      </c>
      <c r="T12" s="34">
        <f>S18</f>
        <v/>
      </c>
      <c r="U12" s="34">
        <f>T18</f>
        <v/>
      </c>
      <c r="V12" s="34">
        <f>U18</f>
        <v/>
      </c>
      <c r="W12" s="34">
        <f>V18</f>
        <v/>
      </c>
      <c r="X12" s="34">
        <f>W18</f>
        <v/>
      </c>
      <c r="Y12" s="34">
        <f>X18</f>
        <v/>
      </c>
      <c r="Z12" s="34">
        <f>Y18</f>
        <v/>
      </c>
      <c r="AA12" s="34">
        <f>Z18</f>
        <v/>
      </c>
      <c r="AB12" s="34">
        <f>AA18</f>
        <v/>
      </c>
      <c r="AC12" s="34">
        <f>AB18</f>
        <v/>
      </c>
      <c r="AD12" s="34">
        <f>AC18</f>
        <v/>
      </c>
      <c r="AE12" s="34">
        <f>AD18</f>
        <v/>
      </c>
      <c r="AF12" s="34">
        <f>AE18</f>
        <v/>
      </c>
      <c r="AG12" s="34">
        <f>AF18</f>
        <v/>
      </c>
      <c r="AH12" s="34">
        <f>AG18</f>
        <v/>
      </c>
      <c r="AI12" s="34">
        <f>AH18</f>
        <v/>
      </c>
      <c r="AJ12" s="34">
        <f>AI18</f>
        <v/>
      </c>
      <c r="AK12" s="34">
        <f>AJ18</f>
        <v/>
      </c>
      <c r="AL12" s="34">
        <f>AK18</f>
        <v/>
      </c>
      <c r="AM12" s="34">
        <f>AL18</f>
        <v/>
      </c>
      <c r="AN12" s="34">
        <f>AM18</f>
        <v/>
      </c>
      <c r="AO12" s="34">
        <f>AN18</f>
        <v/>
      </c>
      <c r="AP12" s="34">
        <f>AO18</f>
        <v/>
      </c>
      <c r="AQ12" s="34">
        <f>AP18</f>
        <v/>
      </c>
      <c r="AR12" s="34">
        <f>AQ18</f>
        <v/>
      </c>
      <c r="AS12" s="34">
        <f>AR18</f>
        <v/>
      </c>
      <c r="AT12" s="34">
        <f>AS18</f>
        <v/>
      </c>
      <c r="AU12" s="34">
        <f>AT18</f>
        <v/>
      </c>
      <c r="AV12" s="34">
        <f>AU18</f>
        <v/>
      </c>
      <c r="AW12" s="34">
        <f>AV18</f>
        <v/>
      </c>
      <c r="AX12" s="34">
        <f>AW18</f>
        <v/>
      </c>
      <c r="AY12" s="34">
        <f>AX18</f>
        <v/>
      </c>
      <c r="AZ12" s="34">
        <f>AY18</f>
        <v/>
      </c>
      <c r="BA12" s="34">
        <f>AZ18</f>
        <v/>
      </c>
      <c r="BB12" s="34">
        <f>BA18</f>
        <v/>
      </c>
      <c r="BC12" s="34">
        <f>BB18</f>
        <v/>
      </c>
      <c r="BD12" s="34">
        <f>BC18</f>
        <v/>
      </c>
      <c r="BE12" s="34">
        <f>BD18</f>
        <v/>
      </c>
      <c r="BF12" s="34">
        <f>BE18</f>
        <v/>
      </c>
      <c r="BG12" s="34">
        <f>BF18</f>
        <v/>
      </c>
      <c r="BH12" s="34">
        <f>BG18</f>
        <v/>
      </c>
      <c r="BI12" s="34">
        <f>BH18</f>
        <v/>
      </c>
      <c r="BJ12" s="34">
        <f>BI18</f>
        <v/>
      </c>
      <c r="BK12" s="34">
        <f>BJ18</f>
        <v/>
      </c>
      <c r="BL12" s="34">
        <f>BK18</f>
        <v/>
      </c>
      <c r="BM12" s="34">
        <f>BL18</f>
        <v/>
      </c>
      <c r="BN12" s="34">
        <f>BM18</f>
        <v/>
      </c>
      <c r="BO12" s="34">
        <f>BN18</f>
        <v/>
      </c>
      <c r="BP12" s="34">
        <f>BO18</f>
        <v/>
      </c>
      <c r="BQ12" s="34">
        <f>BP18</f>
        <v/>
      </c>
      <c r="BR12" s="34">
        <f>BQ18</f>
        <v/>
      </c>
      <c r="BS12" s="34">
        <f>BR18</f>
        <v/>
      </c>
      <c r="BT12" s="34">
        <f>BS18</f>
        <v/>
      </c>
      <c r="BU12" s="34">
        <f>BT18</f>
        <v/>
      </c>
      <c r="BV12" s="34">
        <f>BU18</f>
        <v/>
      </c>
      <c r="BW12" s="34">
        <f>BV18</f>
        <v/>
      </c>
      <c r="BX12" s="34">
        <f>BW18</f>
        <v/>
      </c>
      <c r="BY12" s="34">
        <f>BX18</f>
        <v/>
      </c>
      <c r="BZ12" s="34">
        <f>BY18</f>
        <v/>
      </c>
      <c r="CA12" s="34">
        <f>BZ18</f>
        <v/>
      </c>
      <c r="CB12" s="34">
        <f>CA18</f>
        <v/>
      </c>
      <c r="CC12" s="34">
        <f>CB18</f>
        <v/>
      </c>
      <c r="CD12" s="34">
        <f>CC18</f>
        <v/>
      </c>
      <c r="CE12" s="34">
        <f>CD18</f>
        <v/>
      </c>
      <c r="CF12" s="34">
        <f>CE18</f>
        <v/>
      </c>
      <c r="CG12" s="34">
        <f>CF18</f>
        <v/>
      </c>
      <c r="CH12" s="34">
        <f>CG18</f>
        <v/>
      </c>
      <c r="CI12" s="34">
        <f>CH18</f>
        <v/>
      </c>
      <c r="CJ12" s="34">
        <f>CI18</f>
        <v/>
      </c>
      <c r="CK12" s="34">
        <f>CJ18</f>
        <v/>
      </c>
      <c r="CL12" s="34">
        <f>CK18</f>
        <v/>
      </c>
      <c r="CM12" s="34">
        <f>CL18</f>
        <v/>
      </c>
      <c r="CN12" s="34">
        <f>CM18</f>
        <v/>
      </c>
      <c r="CO12" s="34">
        <f>CN18</f>
        <v/>
      </c>
      <c r="CP12" s="34">
        <f>CO18</f>
        <v/>
      </c>
      <c r="CQ12" s="34">
        <f>CP18</f>
        <v/>
      </c>
      <c r="CR12" s="34">
        <f>CQ18</f>
        <v/>
      </c>
      <c r="CS12" s="34">
        <f>CR18</f>
        <v/>
      </c>
      <c r="CT12" s="34">
        <f>CS18</f>
        <v/>
      </c>
      <c r="CU12" s="34">
        <f>CT18</f>
        <v/>
      </c>
    </row>
    <row r="13">
      <c r="A13" s="7" t="inlineStr">
        <is>
          <t>Accrued preferred return: opening</t>
        </is>
      </c>
      <c r="B13" s="1" t="n"/>
      <c r="C13" s="11" t="inlineStr"/>
      <c r="D13" s="34">
        <f>0</f>
        <v/>
      </c>
      <c r="E13" s="34">
        <f>D19</f>
        <v/>
      </c>
      <c r="F13" s="34">
        <f>E19</f>
        <v/>
      </c>
      <c r="G13" s="34">
        <f>F19</f>
        <v/>
      </c>
      <c r="H13" s="34">
        <f>G19</f>
        <v/>
      </c>
      <c r="I13" s="34">
        <f>H19</f>
        <v/>
      </c>
      <c r="J13" s="34">
        <f>I19</f>
        <v/>
      </c>
      <c r="K13" s="34">
        <f>J19</f>
        <v/>
      </c>
      <c r="L13" s="34">
        <f>K19</f>
        <v/>
      </c>
      <c r="M13" s="34">
        <f>L19</f>
        <v/>
      </c>
      <c r="N13" s="34">
        <f>M19</f>
        <v/>
      </c>
      <c r="O13" s="34">
        <f>N19</f>
        <v/>
      </c>
      <c r="P13" s="34">
        <f>O19</f>
        <v/>
      </c>
      <c r="Q13" s="34">
        <f>P19</f>
        <v/>
      </c>
      <c r="R13" s="34">
        <f>Q19</f>
        <v/>
      </c>
      <c r="S13" s="34">
        <f>R19</f>
        <v/>
      </c>
      <c r="T13" s="34">
        <f>S19</f>
        <v/>
      </c>
      <c r="U13" s="34">
        <f>T19</f>
        <v/>
      </c>
      <c r="V13" s="34">
        <f>U19</f>
        <v/>
      </c>
      <c r="W13" s="34">
        <f>V19</f>
        <v/>
      </c>
      <c r="X13" s="34">
        <f>W19</f>
        <v/>
      </c>
      <c r="Y13" s="34">
        <f>X19</f>
        <v/>
      </c>
      <c r="Z13" s="34">
        <f>Y19</f>
        <v/>
      </c>
      <c r="AA13" s="34">
        <f>Z19</f>
        <v/>
      </c>
      <c r="AB13" s="34">
        <f>AA19</f>
        <v/>
      </c>
      <c r="AC13" s="34">
        <f>AB19</f>
        <v/>
      </c>
      <c r="AD13" s="34">
        <f>AC19</f>
        <v/>
      </c>
      <c r="AE13" s="34">
        <f>AD19</f>
        <v/>
      </c>
      <c r="AF13" s="34">
        <f>AE19</f>
        <v/>
      </c>
      <c r="AG13" s="34">
        <f>AF19</f>
        <v/>
      </c>
      <c r="AH13" s="34">
        <f>AG19</f>
        <v/>
      </c>
      <c r="AI13" s="34">
        <f>AH19</f>
        <v/>
      </c>
      <c r="AJ13" s="34">
        <f>AI19</f>
        <v/>
      </c>
      <c r="AK13" s="34">
        <f>AJ19</f>
        <v/>
      </c>
      <c r="AL13" s="34">
        <f>AK19</f>
        <v/>
      </c>
      <c r="AM13" s="34">
        <f>AL19</f>
        <v/>
      </c>
      <c r="AN13" s="34">
        <f>AM19</f>
        <v/>
      </c>
      <c r="AO13" s="34">
        <f>AN19</f>
        <v/>
      </c>
      <c r="AP13" s="34">
        <f>AO19</f>
        <v/>
      </c>
      <c r="AQ13" s="34">
        <f>AP19</f>
        <v/>
      </c>
      <c r="AR13" s="34">
        <f>AQ19</f>
        <v/>
      </c>
      <c r="AS13" s="34">
        <f>AR19</f>
        <v/>
      </c>
      <c r="AT13" s="34">
        <f>AS19</f>
        <v/>
      </c>
      <c r="AU13" s="34">
        <f>AT19</f>
        <v/>
      </c>
      <c r="AV13" s="34">
        <f>AU19</f>
        <v/>
      </c>
      <c r="AW13" s="34">
        <f>AV19</f>
        <v/>
      </c>
      <c r="AX13" s="34">
        <f>AW19</f>
        <v/>
      </c>
      <c r="AY13" s="34">
        <f>AX19</f>
        <v/>
      </c>
      <c r="AZ13" s="34">
        <f>AY19</f>
        <v/>
      </c>
      <c r="BA13" s="34">
        <f>AZ19</f>
        <v/>
      </c>
      <c r="BB13" s="34">
        <f>BA19</f>
        <v/>
      </c>
      <c r="BC13" s="34">
        <f>BB19</f>
        <v/>
      </c>
      <c r="BD13" s="34">
        <f>BC19</f>
        <v/>
      </c>
      <c r="BE13" s="34">
        <f>BD19</f>
        <v/>
      </c>
      <c r="BF13" s="34">
        <f>BE19</f>
        <v/>
      </c>
      <c r="BG13" s="34">
        <f>BF19</f>
        <v/>
      </c>
      <c r="BH13" s="34">
        <f>BG19</f>
        <v/>
      </c>
      <c r="BI13" s="34">
        <f>BH19</f>
        <v/>
      </c>
      <c r="BJ13" s="34">
        <f>BI19</f>
        <v/>
      </c>
      <c r="BK13" s="34">
        <f>BJ19</f>
        <v/>
      </c>
      <c r="BL13" s="34">
        <f>BK19</f>
        <v/>
      </c>
      <c r="BM13" s="34">
        <f>BL19</f>
        <v/>
      </c>
      <c r="BN13" s="34">
        <f>BM19</f>
        <v/>
      </c>
      <c r="BO13" s="34">
        <f>BN19</f>
        <v/>
      </c>
      <c r="BP13" s="34">
        <f>BO19</f>
        <v/>
      </c>
      <c r="BQ13" s="34">
        <f>BP19</f>
        <v/>
      </c>
      <c r="BR13" s="34">
        <f>BQ19</f>
        <v/>
      </c>
      <c r="BS13" s="34">
        <f>BR19</f>
        <v/>
      </c>
      <c r="BT13" s="34">
        <f>BS19</f>
        <v/>
      </c>
      <c r="BU13" s="34">
        <f>BT19</f>
        <v/>
      </c>
      <c r="BV13" s="34">
        <f>BU19</f>
        <v/>
      </c>
      <c r="BW13" s="34">
        <f>BV19</f>
        <v/>
      </c>
      <c r="BX13" s="34">
        <f>BW19</f>
        <v/>
      </c>
      <c r="BY13" s="34">
        <f>BX19</f>
        <v/>
      </c>
      <c r="BZ13" s="34">
        <f>BY19</f>
        <v/>
      </c>
      <c r="CA13" s="34">
        <f>BZ19</f>
        <v/>
      </c>
      <c r="CB13" s="34">
        <f>CA19</f>
        <v/>
      </c>
      <c r="CC13" s="34">
        <f>CB19</f>
        <v/>
      </c>
      <c r="CD13" s="34">
        <f>CC19</f>
        <v/>
      </c>
      <c r="CE13" s="34">
        <f>CD19</f>
        <v/>
      </c>
      <c r="CF13" s="34">
        <f>CE19</f>
        <v/>
      </c>
      <c r="CG13" s="34">
        <f>CF19</f>
        <v/>
      </c>
      <c r="CH13" s="34">
        <f>CG19</f>
        <v/>
      </c>
      <c r="CI13" s="34">
        <f>CH19</f>
        <v/>
      </c>
      <c r="CJ13" s="34">
        <f>CI19</f>
        <v/>
      </c>
      <c r="CK13" s="34">
        <f>CJ19</f>
        <v/>
      </c>
      <c r="CL13" s="34">
        <f>CK19</f>
        <v/>
      </c>
      <c r="CM13" s="34">
        <f>CL19</f>
        <v/>
      </c>
      <c r="CN13" s="34">
        <f>CM19</f>
        <v/>
      </c>
      <c r="CO13" s="34">
        <f>CN19</f>
        <v/>
      </c>
      <c r="CP13" s="34">
        <f>CO19</f>
        <v/>
      </c>
      <c r="CQ13" s="34">
        <f>CP19</f>
        <v/>
      </c>
      <c r="CR13" s="34">
        <f>CQ19</f>
        <v/>
      </c>
      <c r="CS13" s="34">
        <f>CR19</f>
        <v/>
      </c>
      <c r="CT13" s="34">
        <f>CS19</f>
        <v/>
      </c>
      <c r="CU13" s="34">
        <f>CT19</f>
        <v/>
      </c>
    </row>
    <row r="14">
      <c r="A14" s="7" t="inlineStr">
        <is>
          <t>Preferred return accrued</t>
        </is>
      </c>
      <c r="B14" s="21">
        <f>SUM(D14:CU14)</f>
        <v/>
      </c>
      <c r="C14" s="11" t="inlineStr"/>
      <c r="D14" s="34">
        <f>(D12+D13)*W_rp</f>
        <v/>
      </c>
      <c r="E14" s="34">
        <f>(E12+E13)*W_rp</f>
        <v/>
      </c>
      <c r="F14" s="34">
        <f>(F12+F13)*W_rp</f>
        <v/>
      </c>
      <c r="G14" s="34">
        <f>(G12+G13)*W_rp</f>
        <v/>
      </c>
      <c r="H14" s="34">
        <f>(H12+H13)*W_rp</f>
        <v/>
      </c>
      <c r="I14" s="34">
        <f>(I12+I13)*W_rp</f>
        <v/>
      </c>
      <c r="J14" s="34">
        <f>(J12+J13)*W_rp</f>
        <v/>
      </c>
      <c r="K14" s="34">
        <f>(K12+K13)*W_rp</f>
        <v/>
      </c>
      <c r="L14" s="34">
        <f>(L12+L13)*W_rp</f>
        <v/>
      </c>
      <c r="M14" s="34">
        <f>(M12+M13)*W_rp</f>
        <v/>
      </c>
      <c r="N14" s="34">
        <f>(N12+N13)*W_rp</f>
        <v/>
      </c>
      <c r="O14" s="34">
        <f>(O12+O13)*W_rp</f>
        <v/>
      </c>
      <c r="P14" s="34">
        <f>(P12+P13)*W_rp</f>
        <v/>
      </c>
      <c r="Q14" s="34">
        <f>(Q12+Q13)*W_rp</f>
        <v/>
      </c>
      <c r="R14" s="34">
        <f>(R12+R13)*W_rp</f>
        <v/>
      </c>
      <c r="S14" s="34">
        <f>(S12+S13)*W_rp</f>
        <v/>
      </c>
      <c r="T14" s="34">
        <f>(T12+T13)*W_rp</f>
        <v/>
      </c>
      <c r="U14" s="34">
        <f>(U12+U13)*W_rp</f>
        <v/>
      </c>
      <c r="V14" s="34">
        <f>(V12+V13)*W_rp</f>
        <v/>
      </c>
      <c r="W14" s="34">
        <f>(W12+W13)*W_rp</f>
        <v/>
      </c>
      <c r="X14" s="34">
        <f>(X12+X13)*W_rp</f>
        <v/>
      </c>
      <c r="Y14" s="34">
        <f>(Y12+Y13)*W_rp</f>
        <v/>
      </c>
      <c r="Z14" s="34">
        <f>(Z12+Z13)*W_rp</f>
        <v/>
      </c>
      <c r="AA14" s="34">
        <f>(AA12+AA13)*W_rp</f>
        <v/>
      </c>
      <c r="AB14" s="34">
        <f>(AB12+AB13)*W_rp</f>
        <v/>
      </c>
      <c r="AC14" s="34">
        <f>(AC12+AC13)*W_rp</f>
        <v/>
      </c>
      <c r="AD14" s="34">
        <f>(AD12+AD13)*W_rp</f>
        <v/>
      </c>
      <c r="AE14" s="34">
        <f>(AE12+AE13)*W_rp</f>
        <v/>
      </c>
      <c r="AF14" s="34">
        <f>(AF12+AF13)*W_rp</f>
        <v/>
      </c>
      <c r="AG14" s="34">
        <f>(AG12+AG13)*W_rp</f>
        <v/>
      </c>
      <c r="AH14" s="34">
        <f>(AH12+AH13)*W_rp</f>
        <v/>
      </c>
      <c r="AI14" s="34">
        <f>(AI12+AI13)*W_rp</f>
        <v/>
      </c>
      <c r="AJ14" s="34">
        <f>(AJ12+AJ13)*W_rp</f>
        <v/>
      </c>
      <c r="AK14" s="34">
        <f>(AK12+AK13)*W_rp</f>
        <v/>
      </c>
      <c r="AL14" s="34">
        <f>(AL12+AL13)*W_rp</f>
        <v/>
      </c>
      <c r="AM14" s="34">
        <f>(AM12+AM13)*W_rp</f>
        <v/>
      </c>
      <c r="AN14" s="34">
        <f>(AN12+AN13)*W_rp</f>
        <v/>
      </c>
      <c r="AO14" s="34">
        <f>(AO12+AO13)*W_rp</f>
        <v/>
      </c>
      <c r="AP14" s="34">
        <f>(AP12+AP13)*W_rp</f>
        <v/>
      </c>
      <c r="AQ14" s="34">
        <f>(AQ12+AQ13)*W_rp</f>
        <v/>
      </c>
      <c r="AR14" s="34">
        <f>(AR12+AR13)*W_rp</f>
        <v/>
      </c>
      <c r="AS14" s="34">
        <f>(AS12+AS13)*W_rp</f>
        <v/>
      </c>
      <c r="AT14" s="34">
        <f>(AT12+AT13)*W_rp</f>
        <v/>
      </c>
      <c r="AU14" s="34">
        <f>(AU12+AU13)*W_rp</f>
        <v/>
      </c>
      <c r="AV14" s="34">
        <f>(AV12+AV13)*W_rp</f>
        <v/>
      </c>
      <c r="AW14" s="34">
        <f>(AW12+AW13)*W_rp</f>
        <v/>
      </c>
      <c r="AX14" s="34">
        <f>(AX12+AX13)*W_rp</f>
        <v/>
      </c>
      <c r="AY14" s="34">
        <f>(AY12+AY13)*W_rp</f>
        <v/>
      </c>
      <c r="AZ14" s="34">
        <f>(AZ12+AZ13)*W_rp</f>
        <v/>
      </c>
      <c r="BA14" s="34">
        <f>(BA12+BA13)*W_rp</f>
        <v/>
      </c>
      <c r="BB14" s="34">
        <f>(BB12+BB13)*W_rp</f>
        <v/>
      </c>
      <c r="BC14" s="34">
        <f>(BC12+BC13)*W_rp</f>
        <v/>
      </c>
      <c r="BD14" s="34">
        <f>(BD12+BD13)*W_rp</f>
        <v/>
      </c>
      <c r="BE14" s="34">
        <f>(BE12+BE13)*W_rp</f>
        <v/>
      </c>
      <c r="BF14" s="34">
        <f>(BF12+BF13)*W_rp</f>
        <v/>
      </c>
      <c r="BG14" s="34">
        <f>(BG12+BG13)*W_rp</f>
        <v/>
      </c>
      <c r="BH14" s="34">
        <f>(BH12+BH13)*W_rp</f>
        <v/>
      </c>
      <c r="BI14" s="34">
        <f>(BI12+BI13)*W_rp</f>
        <v/>
      </c>
      <c r="BJ14" s="34">
        <f>(BJ12+BJ13)*W_rp</f>
        <v/>
      </c>
      <c r="BK14" s="34">
        <f>(BK12+BK13)*W_rp</f>
        <v/>
      </c>
      <c r="BL14" s="34">
        <f>(BL12+BL13)*W_rp</f>
        <v/>
      </c>
      <c r="BM14" s="34">
        <f>(BM12+BM13)*W_rp</f>
        <v/>
      </c>
      <c r="BN14" s="34">
        <f>(BN12+BN13)*W_rp</f>
        <v/>
      </c>
      <c r="BO14" s="34">
        <f>(BO12+BO13)*W_rp</f>
        <v/>
      </c>
      <c r="BP14" s="34">
        <f>(BP12+BP13)*W_rp</f>
        <v/>
      </c>
      <c r="BQ14" s="34">
        <f>(BQ12+BQ13)*W_rp</f>
        <v/>
      </c>
      <c r="BR14" s="34">
        <f>(BR12+BR13)*W_rp</f>
        <v/>
      </c>
      <c r="BS14" s="34">
        <f>(BS12+BS13)*W_rp</f>
        <v/>
      </c>
      <c r="BT14" s="34">
        <f>(BT12+BT13)*W_rp</f>
        <v/>
      </c>
      <c r="BU14" s="34">
        <f>(BU12+BU13)*W_rp</f>
        <v/>
      </c>
      <c r="BV14" s="34">
        <f>(BV12+BV13)*W_rp</f>
        <v/>
      </c>
      <c r="BW14" s="34">
        <f>(BW12+BW13)*W_rp</f>
        <v/>
      </c>
      <c r="BX14" s="34">
        <f>(BX12+BX13)*W_rp</f>
        <v/>
      </c>
      <c r="BY14" s="34">
        <f>(BY12+BY13)*W_rp</f>
        <v/>
      </c>
      <c r="BZ14" s="34">
        <f>(BZ12+BZ13)*W_rp</f>
        <v/>
      </c>
      <c r="CA14" s="34">
        <f>(CA12+CA13)*W_rp</f>
        <v/>
      </c>
      <c r="CB14" s="34">
        <f>(CB12+CB13)*W_rp</f>
        <v/>
      </c>
      <c r="CC14" s="34">
        <f>(CC12+CC13)*W_rp</f>
        <v/>
      </c>
      <c r="CD14" s="34">
        <f>(CD12+CD13)*W_rp</f>
        <v/>
      </c>
      <c r="CE14" s="34">
        <f>(CE12+CE13)*W_rp</f>
        <v/>
      </c>
      <c r="CF14" s="34">
        <f>(CF12+CF13)*W_rp</f>
        <v/>
      </c>
      <c r="CG14" s="34">
        <f>(CG12+CG13)*W_rp</f>
        <v/>
      </c>
      <c r="CH14" s="34">
        <f>(CH12+CH13)*W_rp</f>
        <v/>
      </c>
      <c r="CI14" s="34">
        <f>(CI12+CI13)*W_rp</f>
        <v/>
      </c>
      <c r="CJ14" s="34">
        <f>(CJ12+CJ13)*W_rp</f>
        <v/>
      </c>
      <c r="CK14" s="34">
        <f>(CK12+CK13)*W_rp</f>
        <v/>
      </c>
      <c r="CL14" s="34">
        <f>(CL12+CL13)*W_rp</f>
        <v/>
      </c>
      <c r="CM14" s="34">
        <f>(CM12+CM13)*W_rp</f>
        <v/>
      </c>
      <c r="CN14" s="34">
        <f>(CN12+CN13)*W_rp</f>
        <v/>
      </c>
      <c r="CO14" s="34">
        <f>(CO12+CO13)*W_rp</f>
        <v/>
      </c>
      <c r="CP14" s="34">
        <f>(CP12+CP13)*W_rp</f>
        <v/>
      </c>
      <c r="CQ14" s="34">
        <f>(CQ12+CQ13)*W_rp</f>
        <v/>
      </c>
      <c r="CR14" s="34">
        <f>(CR12+CR13)*W_rp</f>
        <v/>
      </c>
      <c r="CS14" s="34">
        <f>(CS12+CS13)*W_rp</f>
        <v/>
      </c>
      <c r="CT14" s="34">
        <f>(CT12+CT13)*W_rp</f>
        <v/>
      </c>
      <c r="CU14" s="34">
        <f>(CU12+CU13)*W_rp</f>
        <v/>
      </c>
    </row>
    <row r="15">
      <c r="A15" s="7" t="inlineStr">
        <is>
          <t>Tier 1: return of capital</t>
        </is>
      </c>
      <c r="B15" s="21">
        <f>SUM(D15:CU15)</f>
        <v/>
      </c>
      <c r="C15" s="11" t="inlineStr"/>
      <c r="D15" s="34">
        <f>MIN(D11,D12+D10)</f>
        <v/>
      </c>
      <c r="E15" s="34">
        <f>MIN(E11,E12+E10)</f>
        <v/>
      </c>
      <c r="F15" s="34">
        <f>MIN(F11,F12+F10)</f>
        <v/>
      </c>
      <c r="G15" s="34">
        <f>MIN(G11,G12+G10)</f>
        <v/>
      </c>
      <c r="H15" s="34">
        <f>MIN(H11,H12+H10)</f>
        <v/>
      </c>
      <c r="I15" s="34">
        <f>MIN(I11,I12+I10)</f>
        <v/>
      </c>
      <c r="J15" s="34">
        <f>MIN(J11,J12+J10)</f>
        <v/>
      </c>
      <c r="K15" s="34">
        <f>MIN(K11,K12+K10)</f>
        <v/>
      </c>
      <c r="L15" s="34">
        <f>MIN(L11,L12+L10)</f>
        <v/>
      </c>
      <c r="M15" s="34">
        <f>MIN(M11,M12+M10)</f>
        <v/>
      </c>
      <c r="N15" s="34">
        <f>MIN(N11,N12+N10)</f>
        <v/>
      </c>
      <c r="O15" s="34">
        <f>MIN(O11,O12+O10)</f>
        <v/>
      </c>
      <c r="P15" s="34">
        <f>MIN(P11,P12+P10)</f>
        <v/>
      </c>
      <c r="Q15" s="34">
        <f>MIN(Q11,Q12+Q10)</f>
        <v/>
      </c>
      <c r="R15" s="34">
        <f>MIN(R11,R12+R10)</f>
        <v/>
      </c>
      <c r="S15" s="34">
        <f>MIN(S11,S12+S10)</f>
        <v/>
      </c>
      <c r="T15" s="34">
        <f>MIN(T11,T12+T10)</f>
        <v/>
      </c>
      <c r="U15" s="34">
        <f>MIN(U11,U12+U10)</f>
        <v/>
      </c>
      <c r="V15" s="34">
        <f>MIN(V11,V12+V10)</f>
        <v/>
      </c>
      <c r="W15" s="34">
        <f>MIN(W11,W12+W10)</f>
        <v/>
      </c>
      <c r="X15" s="34">
        <f>MIN(X11,X12+X10)</f>
        <v/>
      </c>
      <c r="Y15" s="34">
        <f>MIN(Y11,Y12+Y10)</f>
        <v/>
      </c>
      <c r="Z15" s="34">
        <f>MIN(Z11,Z12+Z10)</f>
        <v/>
      </c>
      <c r="AA15" s="34">
        <f>MIN(AA11,AA12+AA10)</f>
        <v/>
      </c>
      <c r="AB15" s="34">
        <f>MIN(AB11,AB12+AB10)</f>
        <v/>
      </c>
      <c r="AC15" s="34">
        <f>MIN(AC11,AC12+AC10)</f>
        <v/>
      </c>
      <c r="AD15" s="34">
        <f>MIN(AD11,AD12+AD10)</f>
        <v/>
      </c>
      <c r="AE15" s="34">
        <f>MIN(AE11,AE12+AE10)</f>
        <v/>
      </c>
      <c r="AF15" s="34">
        <f>MIN(AF11,AF12+AF10)</f>
        <v/>
      </c>
      <c r="AG15" s="34">
        <f>MIN(AG11,AG12+AG10)</f>
        <v/>
      </c>
      <c r="AH15" s="34">
        <f>MIN(AH11,AH12+AH10)</f>
        <v/>
      </c>
      <c r="AI15" s="34">
        <f>MIN(AI11,AI12+AI10)</f>
        <v/>
      </c>
      <c r="AJ15" s="34">
        <f>MIN(AJ11,AJ12+AJ10)</f>
        <v/>
      </c>
      <c r="AK15" s="34">
        <f>MIN(AK11,AK12+AK10)</f>
        <v/>
      </c>
      <c r="AL15" s="34">
        <f>MIN(AL11,AL12+AL10)</f>
        <v/>
      </c>
      <c r="AM15" s="34">
        <f>MIN(AM11,AM12+AM10)</f>
        <v/>
      </c>
      <c r="AN15" s="34">
        <f>MIN(AN11,AN12+AN10)</f>
        <v/>
      </c>
      <c r="AO15" s="34">
        <f>MIN(AO11,AO12+AO10)</f>
        <v/>
      </c>
      <c r="AP15" s="34">
        <f>MIN(AP11,AP12+AP10)</f>
        <v/>
      </c>
      <c r="AQ15" s="34">
        <f>MIN(AQ11,AQ12+AQ10)</f>
        <v/>
      </c>
      <c r="AR15" s="34">
        <f>MIN(AR11,AR12+AR10)</f>
        <v/>
      </c>
      <c r="AS15" s="34">
        <f>MIN(AS11,AS12+AS10)</f>
        <v/>
      </c>
      <c r="AT15" s="34">
        <f>MIN(AT11,AT12+AT10)</f>
        <v/>
      </c>
      <c r="AU15" s="34">
        <f>MIN(AU11,AU12+AU10)</f>
        <v/>
      </c>
      <c r="AV15" s="34">
        <f>MIN(AV11,AV12+AV10)</f>
        <v/>
      </c>
      <c r="AW15" s="34">
        <f>MIN(AW11,AW12+AW10)</f>
        <v/>
      </c>
      <c r="AX15" s="34">
        <f>MIN(AX11,AX12+AX10)</f>
        <v/>
      </c>
      <c r="AY15" s="34">
        <f>MIN(AY11,AY12+AY10)</f>
        <v/>
      </c>
      <c r="AZ15" s="34">
        <f>MIN(AZ11,AZ12+AZ10)</f>
        <v/>
      </c>
      <c r="BA15" s="34">
        <f>MIN(BA11,BA12+BA10)</f>
        <v/>
      </c>
      <c r="BB15" s="34">
        <f>MIN(BB11,BB12+BB10)</f>
        <v/>
      </c>
      <c r="BC15" s="34">
        <f>MIN(BC11,BC12+BC10)</f>
        <v/>
      </c>
      <c r="BD15" s="34">
        <f>MIN(BD11,BD12+BD10)</f>
        <v/>
      </c>
      <c r="BE15" s="34">
        <f>MIN(BE11,BE12+BE10)</f>
        <v/>
      </c>
      <c r="BF15" s="34">
        <f>MIN(BF11,BF12+BF10)</f>
        <v/>
      </c>
      <c r="BG15" s="34">
        <f>MIN(BG11,BG12+BG10)</f>
        <v/>
      </c>
      <c r="BH15" s="34">
        <f>MIN(BH11,BH12+BH10)</f>
        <v/>
      </c>
      <c r="BI15" s="34">
        <f>MIN(BI11,BI12+BI10)</f>
        <v/>
      </c>
      <c r="BJ15" s="34">
        <f>MIN(BJ11,BJ12+BJ10)</f>
        <v/>
      </c>
      <c r="BK15" s="34">
        <f>MIN(BK11,BK12+BK10)</f>
        <v/>
      </c>
      <c r="BL15" s="34">
        <f>MIN(BL11,BL12+BL10)</f>
        <v/>
      </c>
      <c r="BM15" s="34">
        <f>MIN(BM11,BM12+BM10)</f>
        <v/>
      </c>
      <c r="BN15" s="34">
        <f>MIN(BN11,BN12+BN10)</f>
        <v/>
      </c>
      <c r="BO15" s="34">
        <f>MIN(BO11,BO12+BO10)</f>
        <v/>
      </c>
      <c r="BP15" s="34">
        <f>MIN(BP11,BP12+BP10)</f>
        <v/>
      </c>
      <c r="BQ15" s="34">
        <f>MIN(BQ11,BQ12+BQ10)</f>
        <v/>
      </c>
      <c r="BR15" s="34">
        <f>MIN(BR11,BR12+BR10)</f>
        <v/>
      </c>
      <c r="BS15" s="34">
        <f>MIN(BS11,BS12+BS10)</f>
        <v/>
      </c>
      <c r="BT15" s="34">
        <f>MIN(BT11,BT12+BT10)</f>
        <v/>
      </c>
      <c r="BU15" s="34">
        <f>MIN(BU11,BU12+BU10)</f>
        <v/>
      </c>
      <c r="BV15" s="34">
        <f>MIN(BV11,BV12+BV10)</f>
        <v/>
      </c>
      <c r="BW15" s="34">
        <f>MIN(BW11,BW12+BW10)</f>
        <v/>
      </c>
      <c r="BX15" s="34">
        <f>MIN(BX11,BX12+BX10)</f>
        <v/>
      </c>
      <c r="BY15" s="34">
        <f>MIN(BY11,BY12+BY10)</f>
        <v/>
      </c>
      <c r="BZ15" s="34">
        <f>MIN(BZ11,BZ12+BZ10)</f>
        <v/>
      </c>
      <c r="CA15" s="34">
        <f>MIN(CA11,CA12+CA10)</f>
        <v/>
      </c>
      <c r="CB15" s="34">
        <f>MIN(CB11,CB12+CB10)</f>
        <v/>
      </c>
      <c r="CC15" s="34">
        <f>MIN(CC11,CC12+CC10)</f>
        <v/>
      </c>
      <c r="CD15" s="34">
        <f>MIN(CD11,CD12+CD10)</f>
        <v/>
      </c>
      <c r="CE15" s="34">
        <f>MIN(CE11,CE12+CE10)</f>
        <v/>
      </c>
      <c r="CF15" s="34">
        <f>MIN(CF11,CF12+CF10)</f>
        <v/>
      </c>
      <c r="CG15" s="34">
        <f>MIN(CG11,CG12+CG10)</f>
        <v/>
      </c>
      <c r="CH15" s="34">
        <f>MIN(CH11,CH12+CH10)</f>
        <v/>
      </c>
      <c r="CI15" s="34">
        <f>MIN(CI11,CI12+CI10)</f>
        <v/>
      </c>
      <c r="CJ15" s="34">
        <f>MIN(CJ11,CJ12+CJ10)</f>
        <v/>
      </c>
      <c r="CK15" s="34">
        <f>MIN(CK11,CK12+CK10)</f>
        <v/>
      </c>
      <c r="CL15" s="34">
        <f>MIN(CL11,CL12+CL10)</f>
        <v/>
      </c>
      <c r="CM15" s="34">
        <f>MIN(CM11,CM12+CM10)</f>
        <v/>
      </c>
      <c r="CN15" s="34">
        <f>MIN(CN11,CN12+CN10)</f>
        <v/>
      </c>
      <c r="CO15" s="34">
        <f>MIN(CO11,CO12+CO10)</f>
        <v/>
      </c>
      <c r="CP15" s="34">
        <f>MIN(CP11,CP12+CP10)</f>
        <v/>
      </c>
      <c r="CQ15" s="34">
        <f>MIN(CQ11,CQ12+CQ10)</f>
        <v/>
      </c>
      <c r="CR15" s="34">
        <f>MIN(CR11,CR12+CR10)</f>
        <v/>
      </c>
      <c r="CS15" s="34">
        <f>MIN(CS11,CS12+CS10)</f>
        <v/>
      </c>
      <c r="CT15" s="34">
        <f>MIN(CT11,CT12+CT10)</f>
        <v/>
      </c>
      <c r="CU15" s="34">
        <f>MIN(CU11,CU12+CU10)</f>
        <v/>
      </c>
    </row>
    <row r="16">
      <c r="A16" s="7" t="inlineStr">
        <is>
          <t>Tier 2: preferred return</t>
        </is>
      </c>
      <c r="B16" s="21">
        <f>SUM(D16:CU16)</f>
        <v/>
      </c>
      <c r="C16" s="11" t="inlineStr"/>
      <c r="D16" s="34">
        <f>MIN(D11-D15,D13+D14)</f>
        <v/>
      </c>
      <c r="E16" s="34">
        <f>MIN(E11-E15,E13+E14)</f>
        <v/>
      </c>
      <c r="F16" s="34">
        <f>MIN(F11-F15,F13+F14)</f>
        <v/>
      </c>
      <c r="G16" s="34">
        <f>MIN(G11-G15,G13+G14)</f>
        <v/>
      </c>
      <c r="H16" s="34">
        <f>MIN(H11-H15,H13+H14)</f>
        <v/>
      </c>
      <c r="I16" s="34">
        <f>MIN(I11-I15,I13+I14)</f>
        <v/>
      </c>
      <c r="J16" s="34">
        <f>MIN(J11-J15,J13+J14)</f>
        <v/>
      </c>
      <c r="K16" s="34">
        <f>MIN(K11-K15,K13+K14)</f>
        <v/>
      </c>
      <c r="L16" s="34">
        <f>MIN(L11-L15,L13+L14)</f>
        <v/>
      </c>
      <c r="M16" s="34">
        <f>MIN(M11-M15,M13+M14)</f>
        <v/>
      </c>
      <c r="N16" s="34">
        <f>MIN(N11-N15,N13+N14)</f>
        <v/>
      </c>
      <c r="O16" s="34">
        <f>MIN(O11-O15,O13+O14)</f>
        <v/>
      </c>
      <c r="P16" s="34">
        <f>MIN(P11-P15,P13+P14)</f>
        <v/>
      </c>
      <c r="Q16" s="34">
        <f>MIN(Q11-Q15,Q13+Q14)</f>
        <v/>
      </c>
      <c r="R16" s="34">
        <f>MIN(R11-R15,R13+R14)</f>
        <v/>
      </c>
      <c r="S16" s="34">
        <f>MIN(S11-S15,S13+S14)</f>
        <v/>
      </c>
      <c r="T16" s="34">
        <f>MIN(T11-T15,T13+T14)</f>
        <v/>
      </c>
      <c r="U16" s="34">
        <f>MIN(U11-U15,U13+U14)</f>
        <v/>
      </c>
      <c r="V16" s="34">
        <f>MIN(V11-V15,V13+V14)</f>
        <v/>
      </c>
      <c r="W16" s="34">
        <f>MIN(W11-W15,W13+W14)</f>
        <v/>
      </c>
      <c r="X16" s="34">
        <f>MIN(X11-X15,X13+X14)</f>
        <v/>
      </c>
      <c r="Y16" s="34">
        <f>MIN(Y11-Y15,Y13+Y14)</f>
        <v/>
      </c>
      <c r="Z16" s="34">
        <f>MIN(Z11-Z15,Z13+Z14)</f>
        <v/>
      </c>
      <c r="AA16" s="34">
        <f>MIN(AA11-AA15,AA13+AA14)</f>
        <v/>
      </c>
      <c r="AB16" s="34">
        <f>MIN(AB11-AB15,AB13+AB14)</f>
        <v/>
      </c>
      <c r="AC16" s="34">
        <f>MIN(AC11-AC15,AC13+AC14)</f>
        <v/>
      </c>
      <c r="AD16" s="34">
        <f>MIN(AD11-AD15,AD13+AD14)</f>
        <v/>
      </c>
      <c r="AE16" s="34">
        <f>MIN(AE11-AE15,AE13+AE14)</f>
        <v/>
      </c>
      <c r="AF16" s="34">
        <f>MIN(AF11-AF15,AF13+AF14)</f>
        <v/>
      </c>
      <c r="AG16" s="34">
        <f>MIN(AG11-AG15,AG13+AG14)</f>
        <v/>
      </c>
      <c r="AH16" s="34">
        <f>MIN(AH11-AH15,AH13+AH14)</f>
        <v/>
      </c>
      <c r="AI16" s="34">
        <f>MIN(AI11-AI15,AI13+AI14)</f>
        <v/>
      </c>
      <c r="AJ16" s="34">
        <f>MIN(AJ11-AJ15,AJ13+AJ14)</f>
        <v/>
      </c>
      <c r="AK16" s="34">
        <f>MIN(AK11-AK15,AK13+AK14)</f>
        <v/>
      </c>
      <c r="AL16" s="34">
        <f>MIN(AL11-AL15,AL13+AL14)</f>
        <v/>
      </c>
      <c r="AM16" s="34">
        <f>MIN(AM11-AM15,AM13+AM14)</f>
        <v/>
      </c>
      <c r="AN16" s="34">
        <f>MIN(AN11-AN15,AN13+AN14)</f>
        <v/>
      </c>
      <c r="AO16" s="34">
        <f>MIN(AO11-AO15,AO13+AO14)</f>
        <v/>
      </c>
      <c r="AP16" s="34">
        <f>MIN(AP11-AP15,AP13+AP14)</f>
        <v/>
      </c>
      <c r="AQ16" s="34">
        <f>MIN(AQ11-AQ15,AQ13+AQ14)</f>
        <v/>
      </c>
      <c r="AR16" s="34">
        <f>MIN(AR11-AR15,AR13+AR14)</f>
        <v/>
      </c>
      <c r="AS16" s="34">
        <f>MIN(AS11-AS15,AS13+AS14)</f>
        <v/>
      </c>
      <c r="AT16" s="34">
        <f>MIN(AT11-AT15,AT13+AT14)</f>
        <v/>
      </c>
      <c r="AU16" s="34">
        <f>MIN(AU11-AU15,AU13+AU14)</f>
        <v/>
      </c>
      <c r="AV16" s="34">
        <f>MIN(AV11-AV15,AV13+AV14)</f>
        <v/>
      </c>
      <c r="AW16" s="34">
        <f>MIN(AW11-AW15,AW13+AW14)</f>
        <v/>
      </c>
      <c r="AX16" s="34">
        <f>MIN(AX11-AX15,AX13+AX14)</f>
        <v/>
      </c>
      <c r="AY16" s="34">
        <f>MIN(AY11-AY15,AY13+AY14)</f>
        <v/>
      </c>
      <c r="AZ16" s="34">
        <f>MIN(AZ11-AZ15,AZ13+AZ14)</f>
        <v/>
      </c>
      <c r="BA16" s="34">
        <f>MIN(BA11-BA15,BA13+BA14)</f>
        <v/>
      </c>
      <c r="BB16" s="34">
        <f>MIN(BB11-BB15,BB13+BB14)</f>
        <v/>
      </c>
      <c r="BC16" s="34">
        <f>MIN(BC11-BC15,BC13+BC14)</f>
        <v/>
      </c>
      <c r="BD16" s="34">
        <f>MIN(BD11-BD15,BD13+BD14)</f>
        <v/>
      </c>
      <c r="BE16" s="34">
        <f>MIN(BE11-BE15,BE13+BE14)</f>
        <v/>
      </c>
      <c r="BF16" s="34">
        <f>MIN(BF11-BF15,BF13+BF14)</f>
        <v/>
      </c>
      <c r="BG16" s="34">
        <f>MIN(BG11-BG15,BG13+BG14)</f>
        <v/>
      </c>
      <c r="BH16" s="34">
        <f>MIN(BH11-BH15,BH13+BH14)</f>
        <v/>
      </c>
      <c r="BI16" s="34">
        <f>MIN(BI11-BI15,BI13+BI14)</f>
        <v/>
      </c>
      <c r="BJ16" s="34">
        <f>MIN(BJ11-BJ15,BJ13+BJ14)</f>
        <v/>
      </c>
      <c r="BK16" s="34">
        <f>MIN(BK11-BK15,BK13+BK14)</f>
        <v/>
      </c>
      <c r="BL16" s="34">
        <f>MIN(BL11-BL15,BL13+BL14)</f>
        <v/>
      </c>
      <c r="BM16" s="34">
        <f>MIN(BM11-BM15,BM13+BM14)</f>
        <v/>
      </c>
      <c r="BN16" s="34">
        <f>MIN(BN11-BN15,BN13+BN14)</f>
        <v/>
      </c>
      <c r="BO16" s="34">
        <f>MIN(BO11-BO15,BO13+BO14)</f>
        <v/>
      </c>
      <c r="BP16" s="34">
        <f>MIN(BP11-BP15,BP13+BP14)</f>
        <v/>
      </c>
      <c r="BQ16" s="34">
        <f>MIN(BQ11-BQ15,BQ13+BQ14)</f>
        <v/>
      </c>
      <c r="BR16" s="34">
        <f>MIN(BR11-BR15,BR13+BR14)</f>
        <v/>
      </c>
      <c r="BS16" s="34">
        <f>MIN(BS11-BS15,BS13+BS14)</f>
        <v/>
      </c>
      <c r="BT16" s="34">
        <f>MIN(BT11-BT15,BT13+BT14)</f>
        <v/>
      </c>
      <c r="BU16" s="34">
        <f>MIN(BU11-BU15,BU13+BU14)</f>
        <v/>
      </c>
      <c r="BV16" s="34">
        <f>MIN(BV11-BV15,BV13+BV14)</f>
        <v/>
      </c>
      <c r="BW16" s="34">
        <f>MIN(BW11-BW15,BW13+BW14)</f>
        <v/>
      </c>
      <c r="BX16" s="34">
        <f>MIN(BX11-BX15,BX13+BX14)</f>
        <v/>
      </c>
      <c r="BY16" s="34">
        <f>MIN(BY11-BY15,BY13+BY14)</f>
        <v/>
      </c>
      <c r="BZ16" s="34">
        <f>MIN(BZ11-BZ15,BZ13+BZ14)</f>
        <v/>
      </c>
      <c r="CA16" s="34">
        <f>MIN(CA11-CA15,CA13+CA14)</f>
        <v/>
      </c>
      <c r="CB16" s="34">
        <f>MIN(CB11-CB15,CB13+CB14)</f>
        <v/>
      </c>
      <c r="CC16" s="34">
        <f>MIN(CC11-CC15,CC13+CC14)</f>
        <v/>
      </c>
      <c r="CD16" s="34">
        <f>MIN(CD11-CD15,CD13+CD14)</f>
        <v/>
      </c>
      <c r="CE16" s="34">
        <f>MIN(CE11-CE15,CE13+CE14)</f>
        <v/>
      </c>
      <c r="CF16" s="34">
        <f>MIN(CF11-CF15,CF13+CF14)</f>
        <v/>
      </c>
      <c r="CG16" s="34">
        <f>MIN(CG11-CG15,CG13+CG14)</f>
        <v/>
      </c>
      <c r="CH16" s="34">
        <f>MIN(CH11-CH15,CH13+CH14)</f>
        <v/>
      </c>
      <c r="CI16" s="34">
        <f>MIN(CI11-CI15,CI13+CI14)</f>
        <v/>
      </c>
      <c r="CJ16" s="34">
        <f>MIN(CJ11-CJ15,CJ13+CJ14)</f>
        <v/>
      </c>
      <c r="CK16" s="34">
        <f>MIN(CK11-CK15,CK13+CK14)</f>
        <v/>
      </c>
      <c r="CL16" s="34">
        <f>MIN(CL11-CL15,CL13+CL14)</f>
        <v/>
      </c>
      <c r="CM16" s="34">
        <f>MIN(CM11-CM15,CM13+CM14)</f>
        <v/>
      </c>
      <c r="CN16" s="34">
        <f>MIN(CN11-CN15,CN13+CN14)</f>
        <v/>
      </c>
      <c r="CO16" s="34">
        <f>MIN(CO11-CO15,CO13+CO14)</f>
        <v/>
      </c>
      <c r="CP16" s="34">
        <f>MIN(CP11-CP15,CP13+CP14)</f>
        <v/>
      </c>
      <c r="CQ16" s="34">
        <f>MIN(CQ11-CQ15,CQ13+CQ14)</f>
        <v/>
      </c>
      <c r="CR16" s="34">
        <f>MIN(CR11-CR15,CR13+CR14)</f>
        <v/>
      </c>
      <c r="CS16" s="34">
        <f>MIN(CS11-CS15,CS13+CS14)</f>
        <v/>
      </c>
      <c r="CT16" s="34">
        <f>MIN(CT11-CT15,CT13+CT14)</f>
        <v/>
      </c>
      <c r="CU16" s="34">
        <f>MIN(CU11-CU15,CU13+CU14)</f>
        <v/>
      </c>
    </row>
    <row r="17">
      <c r="A17" s="7" t="inlineStr">
        <is>
          <t>Tier 3: residual</t>
        </is>
      </c>
      <c r="B17" s="21">
        <f>SUM(D17:CU17)</f>
        <v/>
      </c>
      <c r="C17" s="11" t="inlineStr"/>
      <c r="D17" s="34">
        <f>D11-D15-D16</f>
        <v/>
      </c>
      <c r="E17" s="34">
        <f>E11-E15-E16</f>
        <v/>
      </c>
      <c r="F17" s="34">
        <f>F11-F15-F16</f>
        <v/>
      </c>
      <c r="G17" s="34">
        <f>G11-G15-G16</f>
        <v/>
      </c>
      <c r="H17" s="34">
        <f>H11-H15-H16</f>
        <v/>
      </c>
      <c r="I17" s="34">
        <f>I11-I15-I16</f>
        <v/>
      </c>
      <c r="J17" s="34">
        <f>J11-J15-J16</f>
        <v/>
      </c>
      <c r="K17" s="34">
        <f>K11-K15-K16</f>
        <v/>
      </c>
      <c r="L17" s="34">
        <f>L11-L15-L16</f>
        <v/>
      </c>
      <c r="M17" s="34">
        <f>M11-M15-M16</f>
        <v/>
      </c>
      <c r="N17" s="34">
        <f>N11-N15-N16</f>
        <v/>
      </c>
      <c r="O17" s="34">
        <f>O11-O15-O16</f>
        <v/>
      </c>
      <c r="P17" s="34">
        <f>P11-P15-P16</f>
        <v/>
      </c>
      <c r="Q17" s="34">
        <f>Q11-Q15-Q16</f>
        <v/>
      </c>
      <c r="R17" s="34">
        <f>R11-R15-R16</f>
        <v/>
      </c>
      <c r="S17" s="34">
        <f>S11-S15-S16</f>
        <v/>
      </c>
      <c r="T17" s="34">
        <f>T11-T15-T16</f>
        <v/>
      </c>
      <c r="U17" s="34">
        <f>U11-U15-U16</f>
        <v/>
      </c>
      <c r="V17" s="34">
        <f>V11-V15-V16</f>
        <v/>
      </c>
      <c r="W17" s="34">
        <f>W11-W15-W16</f>
        <v/>
      </c>
      <c r="X17" s="34">
        <f>X11-X15-X16</f>
        <v/>
      </c>
      <c r="Y17" s="34">
        <f>Y11-Y15-Y16</f>
        <v/>
      </c>
      <c r="Z17" s="34">
        <f>Z11-Z15-Z16</f>
        <v/>
      </c>
      <c r="AA17" s="34">
        <f>AA11-AA15-AA16</f>
        <v/>
      </c>
      <c r="AB17" s="34">
        <f>AB11-AB15-AB16</f>
        <v/>
      </c>
      <c r="AC17" s="34">
        <f>AC11-AC15-AC16</f>
        <v/>
      </c>
      <c r="AD17" s="34">
        <f>AD11-AD15-AD16</f>
        <v/>
      </c>
      <c r="AE17" s="34">
        <f>AE11-AE15-AE16</f>
        <v/>
      </c>
      <c r="AF17" s="34">
        <f>AF11-AF15-AF16</f>
        <v/>
      </c>
      <c r="AG17" s="34">
        <f>AG11-AG15-AG16</f>
        <v/>
      </c>
      <c r="AH17" s="34">
        <f>AH11-AH15-AH16</f>
        <v/>
      </c>
      <c r="AI17" s="34">
        <f>AI11-AI15-AI16</f>
        <v/>
      </c>
      <c r="AJ17" s="34">
        <f>AJ11-AJ15-AJ16</f>
        <v/>
      </c>
      <c r="AK17" s="34">
        <f>AK11-AK15-AK16</f>
        <v/>
      </c>
      <c r="AL17" s="34">
        <f>AL11-AL15-AL16</f>
        <v/>
      </c>
      <c r="AM17" s="34">
        <f>AM11-AM15-AM16</f>
        <v/>
      </c>
      <c r="AN17" s="34">
        <f>AN11-AN15-AN16</f>
        <v/>
      </c>
      <c r="AO17" s="34">
        <f>AO11-AO15-AO16</f>
        <v/>
      </c>
      <c r="AP17" s="34">
        <f>AP11-AP15-AP16</f>
        <v/>
      </c>
      <c r="AQ17" s="34">
        <f>AQ11-AQ15-AQ16</f>
        <v/>
      </c>
      <c r="AR17" s="34">
        <f>AR11-AR15-AR16</f>
        <v/>
      </c>
      <c r="AS17" s="34">
        <f>AS11-AS15-AS16</f>
        <v/>
      </c>
      <c r="AT17" s="34">
        <f>AT11-AT15-AT16</f>
        <v/>
      </c>
      <c r="AU17" s="34">
        <f>AU11-AU15-AU16</f>
        <v/>
      </c>
      <c r="AV17" s="34">
        <f>AV11-AV15-AV16</f>
        <v/>
      </c>
      <c r="AW17" s="34">
        <f>AW11-AW15-AW16</f>
        <v/>
      </c>
      <c r="AX17" s="34">
        <f>AX11-AX15-AX16</f>
        <v/>
      </c>
      <c r="AY17" s="34">
        <f>AY11-AY15-AY16</f>
        <v/>
      </c>
      <c r="AZ17" s="34">
        <f>AZ11-AZ15-AZ16</f>
        <v/>
      </c>
      <c r="BA17" s="34">
        <f>BA11-BA15-BA16</f>
        <v/>
      </c>
      <c r="BB17" s="34">
        <f>BB11-BB15-BB16</f>
        <v/>
      </c>
      <c r="BC17" s="34">
        <f>BC11-BC15-BC16</f>
        <v/>
      </c>
      <c r="BD17" s="34">
        <f>BD11-BD15-BD16</f>
        <v/>
      </c>
      <c r="BE17" s="34">
        <f>BE11-BE15-BE16</f>
        <v/>
      </c>
      <c r="BF17" s="34">
        <f>BF11-BF15-BF16</f>
        <v/>
      </c>
      <c r="BG17" s="34">
        <f>BG11-BG15-BG16</f>
        <v/>
      </c>
      <c r="BH17" s="34">
        <f>BH11-BH15-BH16</f>
        <v/>
      </c>
      <c r="BI17" s="34">
        <f>BI11-BI15-BI16</f>
        <v/>
      </c>
      <c r="BJ17" s="34">
        <f>BJ11-BJ15-BJ16</f>
        <v/>
      </c>
      <c r="BK17" s="34">
        <f>BK11-BK15-BK16</f>
        <v/>
      </c>
      <c r="BL17" s="34">
        <f>BL11-BL15-BL16</f>
        <v/>
      </c>
      <c r="BM17" s="34">
        <f>BM11-BM15-BM16</f>
        <v/>
      </c>
      <c r="BN17" s="34">
        <f>BN11-BN15-BN16</f>
        <v/>
      </c>
      <c r="BO17" s="34">
        <f>BO11-BO15-BO16</f>
        <v/>
      </c>
      <c r="BP17" s="34">
        <f>BP11-BP15-BP16</f>
        <v/>
      </c>
      <c r="BQ17" s="34">
        <f>BQ11-BQ15-BQ16</f>
        <v/>
      </c>
      <c r="BR17" s="34">
        <f>BR11-BR15-BR16</f>
        <v/>
      </c>
      <c r="BS17" s="34">
        <f>BS11-BS15-BS16</f>
        <v/>
      </c>
      <c r="BT17" s="34">
        <f>BT11-BT15-BT16</f>
        <v/>
      </c>
      <c r="BU17" s="34">
        <f>BU11-BU15-BU16</f>
        <v/>
      </c>
      <c r="BV17" s="34">
        <f>BV11-BV15-BV16</f>
        <v/>
      </c>
      <c r="BW17" s="34">
        <f>BW11-BW15-BW16</f>
        <v/>
      </c>
      <c r="BX17" s="34">
        <f>BX11-BX15-BX16</f>
        <v/>
      </c>
      <c r="BY17" s="34">
        <f>BY11-BY15-BY16</f>
        <v/>
      </c>
      <c r="BZ17" s="34">
        <f>BZ11-BZ15-BZ16</f>
        <v/>
      </c>
      <c r="CA17" s="34">
        <f>CA11-CA15-CA16</f>
        <v/>
      </c>
      <c r="CB17" s="34">
        <f>CB11-CB15-CB16</f>
        <v/>
      </c>
      <c r="CC17" s="34">
        <f>CC11-CC15-CC16</f>
        <v/>
      </c>
      <c r="CD17" s="34">
        <f>CD11-CD15-CD16</f>
        <v/>
      </c>
      <c r="CE17" s="34">
        <f>CE11-CE15-CE16</f>
        <v/>
      </c>
      <c r="CF17" s="34">
        <f>CF11-CF15-CF16</f>
        <v/>
      </c>
      <c r="CG17" s="34">
        <f>CG11-CG15-CG16</f>
        <v/>
      </c>
      <c r="CH17" s="34">
        <f>CH11-CH15-CH16</f>
        <v/>
      </c>
      <c r="CI17" s="34">
        <f>CI11-CI15-CI16</f>
        <v/>
      </c>
      <c r="CJ17" s="34">
        <f>CJ11-CJ15-CJ16</f>
        <v/>
      </c>
      <c r="CK17" s="34">
        <f>CK11-CK15-CK16</f>
        <v/>
      </c>
      <c r="CL17" s="34">
        <f>CL11-CL15-CL16</f>
        <v/>
      </c>
      <c r="CM17" s="34">
        <f>CM11-CM15-CM16</f>
        <v/>
      </c>
      <c r="CN17" s="34">
        <f>CN11-CN15-CN16</f>
        <v/>
      </c>
      <c r="CO17" s="34">
        <f>CO11-CO15-CO16</f>
        <v/>
      </c>
      <c r="CP17" s="34">
        <f>CP11-CP15-CP16</f>
        <v/>
      </c>
      <c r="CQ17" s="34">
        <f>CQ11-CQ15-CQ16</f>
        <v/>
      </c>
      <c r="CR17" s="34">
        <f>CR11-CR15-CR16</f>
        <v/>
      </c>
      <c r="CS17" s="34">
        <f>CS11-CS15-CS16</f>
        <v/>
      </c>
      <c r="CT17" s="34">
        <f>CT11-CT15-CT16</f>
        <v/>
      </c>
      <c r="CU17" s="34">
        <f>CU11-CU15-CU16</f>
        <v/>
      </c>
    </row>
    <row r="18">
      <c r="A18" s="7" t="inlineStr">
        <is>
          <t>Unreturned capital: closing</t>
        </is>
      </c>
      <c r="B18" s="1" t="n"/>
      <c r="C18" s="11" t="inlineStr"/>
      <c r="D18" s="34">
        <f>D12+D10-D15</f>
        <v/>
      </c>
      <c r="E18" s="34">
        <f>E12+E10-E15</f>
        <v/>
      </c>
      <c r="F18" s="34">
        <f>F12+F10-F15</f>
        <v/>
      </c>
      <c r="G18" s="34">
        <f>G12+G10-G15</f>
        <v/>
      </c>
      <c r="H18" s="34">
        <f>H12+H10-H15</f>
        <v/>
      </c>
      <c r="I18" s="34">
        <f>I12+I10-I15</f>
        <v/>
      </c>
      <c r="J18" s="34">
        <f>J12+J10-J15</f>
        <v/>
      </c>
      <c r="K18" s="34">
        <f>K12+K10-K15</f>
        <v/>
      </c>
      <c r="L18" s="34">
        <f>L12+L10-L15</f>
        <v/>
      </c>
      <c r="M18" s="34">
        <f>M12+M10-M15</f>
        <v/>
      </c>
      <c r="N18" s="34">
        <f>N12+N10-N15</f>
        <v/>
      </c>
      <c r="O18" s="34">
        <f>O12+O10-O15</f>
        <v/>
      </c>
      <c r="P18" s="34">
        <f>P12+P10-P15</f>
        <v/>
      </c>
      <c r="Q18" s="34">
        <f>Q12+Q10-Q15</f>
        <v/>
      </c>
      <c r="R18" s="34">
        <f>R12+R10-R15</f>
        <v/>
      </c>
      <c r="S18" s="34">
        <f>S12+S10-S15</f>
        <v/>
      </c>
      <c r="T18" s="34">
        <f>T12+T10-T15</f>
        <v/>
      </c>
      <c r="U18" s="34">
        <f>U12+U10-U15</f>
        <v/>
      </c>
      <c r="V18" s="34">
        <f>V12+V10-V15</f>
        <v/>
      </c>
      <c r="W18" s="34">
        <f>W12+W10-W15</f>
        <v/>
      </c>
      <c r="X18" s="34">
        <f>X12+X10-X15</f>
        <v/>
      </c>
      <c r="Y18" s="34">
        <f>Y12+Y10-Y15</f>
        <v/>
      </c>
      <c r="Z18" s="34">
        <f>Z12+Z10-Z15</f>
        <v/>
      </c>
      <c r="AA18" s="34">
        <f>AA12+AA10-AA15</f>
        <v/>
      </c>
      <c r="AB18" s="34">
        <f>AB12+AB10-AB15</f>
        <v/>
      </c>
      <c r="AC18" s="34">
        <f>AC12+AC10-AC15</f>
        <v/>
      </c>
      <c r="AD18" s="34">
        <f>AD12+AD10-AD15</f>
        <v/>
      </c>
      <c r="AE18" s="34">
        <f>AE12+AE10-AE15</f>
        <v/>
      </c>
      <c r="AF18" s="34">
        <f>AF12+AF10-AF15</f>
        <v/>
      </c>
      <c r="AG18" s="34">
        <f>AG12+AG10-AG15</f>
        <v/>
      </c>
      <c r="AH18" s="34">
        <f>AH12+AH10-AH15</f>
        <v/>
      </c>
      <c r="AI18" s="34">
        <f>AI12+AI10-AI15</f>
        <v/>
      </c>
      <c r="AJ18" s="34">
        <f>AJ12+AJ10-AJ15</f>
        <v/>
      </c>
      <c r="AK18" s="34">
        <f>AK12+AK10-AK15</f>
        <v/>
      </c>
      <c r="AL18" s="34">
        <f>AL12+AL10-AL15</f>
        <v/>
      </c>
      <c r="AM18" s="34">
        <f>AM12+AM10-AM15</f>
        <v/>
      </c>
      <c r="AN18" s="34">
        <f>AN12+AN10-AN15</f>
        <v/>
      </c>
      <c r="AO18" s="34">
        <f>AO12+AO10-AO15</f>
        <v/>
      </c>
      <c r="AP18" s="34">
        <f>AP12+AP10-AP15</f>
        <v/>
      </c>
      <c r="AQ18" s="34">
        <f>AQ12+AQ10-AQ15</f>
        <v/>
      </c>
      <c r="AR18" s="34">
        <f>AR12+AR10-AR15</f>
        <v/>
      </c>
      <c r="AS18" s="34">
        <f>AS12+AS10-AS15</f>
        <v/>
      </c>
      <c r="AT18" s="34">
        <f>AT12+AT10-AT15</f>
        <v/>
      </c>
      <c r="AU18" s="34">
        <f>AU12+AU10-AU15</f>
        <v/>
      </c>
      <c r="AV18" s="34">
        <f>AV12+AV10-AV15</f>
        <v/>
      </c>
      <c r="AW18" s="34">
        <f>AW12+AW10-AW15</f>
        <v/>
      </c>
      <c r="AX18" s="34">
        <f>AX12+AX10-AX15</f>
        <v/>
      </c>
      <c r="AY18" s="34">
        <f>AY12+AY10-AY15</f>
        <v/>
      </c>
      <c r="AZ18" s="34">
        <f>AZ12+AZ10-AZ15</f>
        <v/>
      </c>
      <c r="BA18" s="34">
        <f>BA12+BA10-BA15</f>
        <v/>
      </c>
      <c r="BB18" s="34">
        <f>BB12+BB10-BB15</f>
        <v/>
      </c>
      <c r="BC18" s="34">
        <f>BC12+BC10-BC15</f>
        <v/>
      </c>
      <c r="BD18" s="34">
        <f>BD12+BD10-BD15</f>
        <v/>
      </c>
      <c r="BE18" s="34">
        <f>BE12+BE10-BE15</f>
        <v/>
      </c>
      <c r="BF18" s="34">
        <f>BF12+BF10-BF15</f>
        <v/>
      </c>
      <c r="BG18" s="34">
        <f>BG12+BG10-BG15</f>
        <v/>
      </c>
      <c r="BH18" s="34">
        <f>BH12+BH10-BH15</f>
        <v/>
      </c>
      <c r="BI18" s="34">
        <f>BI12+BI10-BI15</f>
        <v/>
      </c>
      <c r="BJ18" s="34">
        <f>BJ12+BJ10-BJ15</f>
        <v/>
      </c>
      <c r="BK18" s="34">
        <f>BK12+BK10-BK15</f>
        <v/>
      </c>
      <c r="BL18" s="34">
        <f>BL12+BL10-BL15</f>
        <v/>
      </c>
      <c r="BM18" s="34">
        <f>BM12+BM10-BM15</f>
        <v/>
      </c>
      <c r="BN18" s="34">
        <f>BN12+BN10-BN15</f>
        <v/>
      </c>
      <c r="BO18" s="34">
        <f>BO12+BO10-BO15</f>
        <v/>
      </c>
      <c r="BP18" s="34">
        <f>BP12+BP10-BP15</f>
        <v/>
      </c>
      <c r="BQ18" s="34">
        <f>BQ12+BQ10-BQ15</f>
        <v/>
      </c>
      <c r="BR18" s="34">
        <f>BR12+BR10-BR15</f>
        <v/>
      </c>
      <c r="BS18" s="34">
        <f>BS12+BS10-BS15</f>
        <v/>
      </c>
      <c r="BT18" s="34">
        <f>BT12+BT10-BT15</f>
        <v/>
      </c>
      <c r="BU18" s="34">
        <f>BU12+BU10-BU15</f>
        <v/>
      </c>
      <c r="BV18" s="34">
        <f>BV12+BV10-BV15</f>
        <v/>
      </c>
      <c r="BW18" s="34">
        <f>BW12+BW10-BW15</f>
        <v/>
      </c>
      <c r="BX18" s="34">
        <f>BX12+BX10-BX15</f>
        <v/>
      </c>
      <c r="BY18" s="34">
        <f>BY12+BY10-BY15</f>
        <v/>
      </c>
      <c r="BZ18" s="34">
        <f>BZ12+BZ10-BZ15</f>
        <v/>
      </c>
      <c r="CA18" s="34">
        <f>CA12+CA10-CA15</f>
        <v/>
      </c>
      <c r="CB18" s="34">
        <f>CB12+CB10-CB15</f>
        <v/>
      </c>
      <c r="CC18" s="34">
        <f>CC12+CC10-CC15</f>
        <v/>
      </c>
      <c r="CD18" s="34">
        <f>CD12+CD10-CD15</f>
        <v/>
      </c>
      <c r="CE18" s="34">
        <f>CE12+CE10-CE15</f>
        <v/>
      </c>
      <c r="CF18" s="34">
        <f>CF12+CF10-CF15</f>
        <v/>
      </c>
      <c r="CG18" s="34">
        <f>CG12+CG10-CG15</f>
        <v/>
      </c>
      <c r="CH18" s="34">
        <f>CH12+CH10-CH15</f>
        <v/>
      </c>
      <c r="CI18" s="34">
        <f>CI12+CI10-CI15</f>
        <v/>
      </c>
      <c r="CJ18" s="34">
        <f>CJ12+CJ10-CJ15</f>
        <v/>
      </c>
      <c r="CK18" s="34">
        <f>CK12+CK10-CK15</f>
        <v/>
      </c>
      <c r="CL18" s="34">
        <f>CL12+CL10-CL15</f>
        <v/>
      </c>
      <c r="CM18" s="34">
        <f>CM12+CM10-CM15</f>
        <v/>
      </c>
      <c r="CN18" s="34">
        <f>CN12+CN10-CN15</f>
        <v/>
      </c>
      <c r="CO18" s="34">
        <f>CO12+CO10-CO15</f>
        <v/>
      </c>
      <c r="CP18" s="34">
        <f>CP12+CP10-CP15</f>
        <v/>
      </c>
      <c r="CQ18" s="34">
        <f>CQ12+CQ10-CQ15</f>
        <v/>
      </c>
      <c r="CR18" s="34">
        <f>CR12+CR10-CR15</f>
        <v/>
      </c>
      <c r="CS18" s="34">
        <f>CS12+CS10-CS15</f>
        <v/>
      </c>
      <c r="CT18" s="34">
        <f>CT12+CT10-CT15</f>
        <v/>
      </c>
      <c r="CU18" s="34">
        <f>CU12+CU10-CU15</f>
        <v/>
      </c>
    </row>
    <row r="19">
      <c r="A19" s="7" t="inlineStr">
        <is>
          <t>Accrued preferred return: closing</t>
        </is>
      </c>
      <c r="B19" s="1" t="n"/>
      <c r="C19" s="11" t="inlineStr"/>
      <c r="D19" s="34">
        <f>D13+D14-D16</f>
        <v/>
      </c>
      <c r="E19" s="34">
        <f>E13+E14-E16</f>
        <v/>
      </c>
      <c r="F19" s="34">
        <f>F13+F14-F16</f>
        <v/>
      </c>
      <c r="G19" s="34">
        <f>G13+G14-G16</f>
        <v/>
      </c>
      <c r="H19" s="34">
        <f>H13+H14-H16</f>
        <v/>
      </c>
      <c r="I19" s="34">
        <f>I13+I14-I16</f>
        <v/>
      </c>
      <c r="J19" s="34">
        <f>J13+J14-J16</f>
        <v/>
      </c>
      <c r="K19" s="34">
        <f>K13+K14-K16</f>
        <v/>
      </c>
      <c r="L19" s="34">
        <f>L13+L14-L16</f>
        <v/>
      </c>
      <c r="M19" s="34">
        <f>M13+M14-M16</f>
        <v/>
      </c>
      <c r="N19" s="34">
        <f>N13+N14-N16</f>
        <v/>
      </c>
      <c r="O19" s="34">
        <f>O13+O14-O16</f>
        <v/>
      </c>
      <c r="P19" s="34">
        <f>P13+P14-P16</f>
        <v/>
      </c>
      <c r="Q19" s="34">
        <f>Q13+Q14-Q16</f>
        <v/>
      </c>
      <c r="R19" s="34">
        <f>R13+R14-R16</f>
        <v/>
      </c>
      <c r="S19" s="34">
        <f>S13+S14-S16</f>
        <v/>
      </c>
      <c r="T19" s="34">
        <f>T13+T14-T16</f>
        <v/>
      </c>
      <c r="U19" s="34">
        <f>U13+U14-U16</f>
        <v/>
      </c>
      <c r="V19" s="34">
        <f>V13+V14-V16</f>
        <v/>
      </c>
      <c r="W19" s="34">
        <f>W13+W14-W16</f>
        <v/>
      </c>
      <c r="X19" s="34">
        <f>X13+X14-X16</f>
        <v/>
      </c>
      <c r="Y19" s="34">
        <f>Y13+Y14-Y16</f>
        <v/>
      </c>
      <c r="Z19" s="34">
        <f>Z13+Z14-Z16</f>
        <v/>
      </c>
      <c r="AA19" s="34">
        <f>AA13+AA14-AA16</f>
        <v/>
      </c>
      <c r="AB19" s="34">
        <f>AB13+AB14-AB16</f>
        <v/>
      </c>
      <c r="AC19" s="34">
        <f>AC13+AC14-AC16</f>
        <v/>
      </c>
      <c r="AD19" s="34">
        <f>AD13+AD14-AD16</f>
        <v/>
      </c>
      <c r="AE19" s="34">
        <f>AE13+AE14-AE16</f>
        <v/>
      </c>
      <c r="AF19" s="34">
        <f>AF13+AF14-AF16</f>
        <v/>
      </c>
      <c r="AG19" s="34">
        <f>AG13+AG14-AG16</f>
        <v/>
      </c>
      <c r="AH19" s="34">
        <f>AH13+AH14-AH16</f>
        <v/>
      </c>
      <c r="AI19" s="34">
        <f>AI13+AI14-AI16</f>
        <v/>
      </c>
      <c r="AJ19" s="34">
        <f>AJ13+AJ14-AJ16</f>
        <v/>
      </c>
      <c r="AK19" s="34">
        <f>AK13+AK14-AK16</f>
        <v/>
      </c>
      <c r="AL19" s="34">
        <f>AL13+AL14-AL16</f>
        <v/>
      </c>
      <c r="AM19" s="34">
        <f>AM13+AM14-AM16</f>
        <v/>
      </c>
      <c r="AN19" s="34">
        <f>AN13+AN14-AN16</f>
        <v/>
      </c>
      <c r="AO19" s="34">
        <f>AO13+AO14-AO16</f>
        <v/>
      </c>
      <c r="AP19" s="34">
        <f>AP13+AP14-AP16</f>
        <v/>
      </c>
      <c r="AQ19" s="34">
        <f>AQ13+AQ14-AQ16</f>
        <v/>
      </c>
      <c r="AR19" s="34">
        <f>AR13+AR14-AR16</f>
        <v/>
      </c>
      <c r="AS19" s="34">
        <f>AS13+AS14-AS16</f>
        <v/>
      </c>
      <c r="AT19" s="34">
        <f>AT13+AT14-AT16</f>
        <v/>
      </c>
      <c r="AU19" s="34">
        <f>AU13+AU14-AU16</f>
        <v/>
      </c>
      <c r="AV19" s="34">
        <f>AV13+AV14-AV16</f>
        <v/>
      </c>
      <c r="AW19" s="34">
        <f>AW13+AW14-AW16</f>
        <v/>
      </c>
      <c r="AX19" s="34">
        <f>AX13+AX14-AX16</f>
        <v/>
      </c>
      <c r="AY19" s="34">
        <f>AY13+AY14-AY16</f>
        <v/>
      </c>
      <c r="AZ19" s="34">
        <f>AZ13+AZ14-AZ16</f>
        <v/>
      </c>
      <c r="BA19" s="34">
        <f>BA13+BA14-BA16</f>
        <v/>
      </c>
      <c r="BB19" s="34">
        <f>BB13+BB14-BB16</f>
        <v/>
      </c>
      <c r="BC19" s="34">
        <f>BC13+BC14-BC16</f>
        <v/>
      </c>
      <c r="BD19" s="34">
        <f>BD13+BD14-BD16</f>
        <v/>
      </c>
      <c r="BE19" s="34">
        <f>BE13+BE14-BE16</f>
        <v/>
      </c>
      <c r="BF19" s="34">
        <f>BF13+BF14-BF16</f>
        <v/>
      </c>
      <c r="BG19" s="34">
        <f>BG13+BG14-BG16</f>
        <v/>
      </c>
      <c r="BH19" s="34">
        <f>BH13+BH14-BH16</f>
        <v/>
      </c>
      <c r="BI19" s="34">
        <f>BI13+BI14-BI16</f>
        <v/>
      </c>
      <c r="BJ19" s="34">
        <f>BJ13+BJ14-BJ16</f>
        <v/>
      </c>
      <c r="BK19" s="34">
        <f>BK13+BK14-BK16</f>
        <v/>
      </c>
      <c r="BL19" s="34">
        <f>BL13+BL14-BL16</f>
        <v/>
      </c>
      <c r="BM19" s="34">
        <f>BM13+BM14-BM16</f>
        <v/>
      </c>
      <c r="BN19" s="34">
        <f>BN13+BN14-BN16</f>
        <v/>
      </c>
      <c r="BO19" s="34">
        <f>BO13+BO14-BO16</f>
        <v/>
      </c>
      <c r="BP19" s="34">
        <f>BP13+BP14-BP16</f>
        <v/>
      </c>
      <c r="BQ19" s="34">
        <f>BQ13+BQ14-BQ16</f>
        <v/>
      </c>
      <c r="BR19" s="34">
        <f>BR13+BR14-BR16</f>
        <v/>
      </c>
      <c r="BS19" s="34">
        <f>BS13+BS14-BS16</f>
        <v/>
      </c>
      <c r="BT19" s="34">
        <f>BT13+BT14-BT16</f>
        <v/>
      </c>
      <c r="BU19" s="34">
        <f>BU13+BU14-BU16</f>
        <v/>
      </c>
      <c r="BV19" s="34">
        <f>BV13+BV14-BV16</f>
        <v/>
      </c>
      <c r="BW19" s="34">
        <f>BW13+BW14-BW16</f>
        <v/>
      </c>
      <c r="BX19" s="34">
        <f>BX13+BX14-BX16</f>
        <v/>
      </c>
      <c r="BY19" s="34">
        <f>BY13+BY14-BY16</f>
        <v/>
      </c>
      <c r="BZ19" s="34">
        <f>BZ13+BZ14-BZ16</f>
        <v/>
      </c>
      <c r="CA19" s="34">
        <f>CA13+CA14-CA16</f>
        <v/>
      </c>
      <c r="CB19" s="34">
        <f>CB13+CB14-CB16</f>
        <v/>
      </c>
      <c r="CC19" s="34">
        <f>CC13+CC14-CC16</f>
        <v/>
      </c>
      <c r="CD19" s="34">
        <f>CD13+CD14-CD16</f>
        <v/>
      </c>
      <c r="CE19" s="34">
        <f>CE13+CE14-CE16</f>
        <v/>
      </c>
      <c r="CF19" s="34">
        <f>CF13+CF14-CF16</f>
        <v/>
      </c>
      <c r="CG19" s="34">
        <f>CG13+CG14-CG16</f>
        <v/>
      </c>
      <c r="CH19" s="34">
        <f>CH13+CH14-CH16</f>
        <v/>
      </c>
      <c r="CI19" s="34">
        <f>CI13+CI14-CI16</f>
        <v/>
      </c>
      <c r="CJ19" s="34">
        <f>CJ13+CJ14-CJ16</f>
        <v/>
      </c>
      <c r="CK19" s="34">
        <f>CK13+CK14-CK16</f>
        <v/>
      </c>
      <c r="CL19" s="34">
        <f>CL13+CL14-CL16</f>
        <v/>
      </c>
      <c r="CM19" s="34">
        <f>CM13+CM14-CM16</f>
        <v/>
      </c>
      <c r="CN19" s="34">
        <f>CN13+CN14-CN16</f>
        <v/>
      </c>
      <c r="CO19" s="34">
        <f>CO13+CO14-CO16</f>
        <v/>
      </c>
      <c r="CP19" s="34">
        <f>CP13+CP14-CP16</f>
        <v/>
      </c>
      <c r="CQ19" s="34">
        <f>CQ13+CQ14-CQ16</f>
        <v/>
      </c>
      <c r="CR19" s="34">
        <f>CR13+CR14-CR16</f>
        <v/>
      </c>
      <c r="CS19" s="34">
        <f>CS13+CS14-CS16</f>
        <v/>
      </c>
      <c r="CT19" s="34">
        <f>CT13+CT14-CT16</f>
        <v/>
      </c>
      <c r="CU19" s="34">
        <f>CU13+CU14-CU16</f>
        <v/>
      </c>
    </row>
    <row r="20">
      <c r="A20" s="38" t="inlineStr">
        <is>
          <t>Investor cash flow</t>
        </is>
      </c>
      <c r="B20" s="39">
        <f>SUM(D20:CU20)</f>
        <v/>
      </c>
      <c r="C20" s="40" t="inlineStr"/>
      <c r="D20" s="39">
        <f>(-D10+D15+D16+D17*(1-W_promote))*(1-W_s)</f>
        <v/>
      </c>
      <c r="E20" s="39">
        <f>(-E10+E15+E16+E17*(1-W_promote))*(1-W_s)</f>
        <v/>
      </c>
      <c r="F20" s="39">
        <f>(-F10+F15+F16+F17*(1-W_promote))*(1-W_s)</f>
        <v/>
      </c>
      <c r="G20" s="39">
        <f>(-G10+G15+G16+G17*(1-W_promote))*(1-W_s)</f>
        <v/>
      </c>
      <c r="H20" s="39">
        <f>(-H10+H15+H16+H17*(1-W_promote))*(1-W_s)</f>
        <v/>
      </c>
      <c r="I20" s="39">
        <f>(-I10+I15+I16+I17*(1-W_promote))*(1-W_s)</f>
        <v/>
      </c>
      <c r="J20" s="39">
        <f>(-J10+J15+J16+J17*(1-W_promote))*(1-W_s)</f>
        <v/>
      </c>
      <c r="K20" s="39">
        <f>(-K10+K15+K16+K17*(1-W_promote))*(1-W_s)</f>
        <v/>
      </c>
      <c r="L20" s="39">
        <f>(-L10+L15+L16+L17*(1-W_promote))*(1-W_s)</f>
        <v/>
      </c>
      <c r="M20" s="39">
        <f>(-M10+M15+M16+M17*(1-W_promote))*(1-W_s)</f>
        <v/>
      </c>
      <c r="N20" s="39">
        <f>(-N10+N15+N16+N17*(1-W_promote))*(1-W_s)</f>
        <v/>
      </c>
      <c r="O20" s="39">
        <f>(-O10+O15+O16+O17*(1-W_promote))*(1-W_s)</f>
        <v/>
      </c>
      <c r="P20" s="39">
        <f>(-P10+P15+P16+P17*(1-W_promote))*(1-W_s)</f>
        <v/>
      </c>
      <c r="Q20" s="39">
        <f>(-Q10+Q15+Q16+Q17*(1-W_promote))*(1-W_s)</f>
        <v/>
      </c>
      <c r="R20" s="39">
        <f>(-R10+R15+R16+R17*(1-W_promote))*(1-W_s)</f>
        <v/>
      </c>
      <c r="S20" s="39">
        <f>(-S10+S15+S16+S17*(1-W_promote))*(1-W_s)</f>
        <v/>
      </c>
      <c r="T20" s="39">
        <f>(-T10+T15+T16+T17*(1-W_promote))*(1-W_s)</f>
        <v/>
      </c>
      <c r="U20" s="39">
        <f>(-U10+U15+U16+U17*(1-W_promote))*(1-W_s)</f>
        <v/>
      </c>
      <c r="V20" s="39">
        <f>(-V10+V15+V16+V17*(1-W_promote))*(1-W_s)</f>
        <v/>
      </c>
      <c r="W20" s="39">
        <f>(-W10+W15+W16+W17*(1-W_promote))*(1-W_s)</f>
        <v/>
      </c>
      <c r="X20" s="39">
        <f>(-X10+X15+X16+X17*(1-W_promote))*(1-W_s)</f>
        <v/>
      </c>
      <c r="Y20" s="39">
        <f>(-Y10+Y15+Y16+Y17*(1-W_promote))*(1-W_s)</f>
        <v/>
      </c>
      <c r="Z20" s="39">
        <f>(-Z10+Z15+Z16+Z17*(1-W_promote))*(1-W_s)</f>
        <v/>
      </c>
      <c r="AA20" s="39">
        <f>(-AA10+AA15+AA16+AA17*(1-W_promote))*(1-W_s)</f>
        <v/>
      </c>
      <c r="AB20" s="39">
        <f>(-AB10+AB15+AB16+AB17*(1-W_promote))*(1-W_s)</f>
        <v/>
      </c>
      <c r="AC20" s="39">
        <f>(-AC10+AC15+AC16+AC17*(1-W_promote))*(1-W_s)</f>
        <v/>
      </c>
      <c r="AD20" s="39">
        <f>(-AD10+AD15+AD16+AD17*(1-W_promote))*(1-W_s)</f>
        <v/>
      </c>
      <c r="AE20" s="39">
        <f>(-AE10+AE15+AE16+AE17*(1-W_promote))*(1-W_s)</f>
        <v/>
      </c>
      <c r="AF20" s="39">
        <f>(-AF10+AF15+AF16+AF17*(1-W_promote))*(1-W_s)</f>
        <v/>
      </c>
      <c r="AG20" s="39">
        <f>(-AG10+AG15+AG16+AG17*(1-W_promote))*(1-W_s)</f>
        <v/>
      </c>
      <c r="AH20" s="39">
        <f>(-AH10+AH15+AH16+AH17*(1-W_promote))*(1-W_s)</f>
        <v/>
      </c>
      <c r="AI20" s="39">
        <f>(-AI10+AI15+AI16+AI17*(1-W_promote))*(1-W_s)</f>
        <v/>
      </c>
      <c r="AJ20" s="39">
        <f>(-AJ10+AJ15+AJ16+AJ17*(1-W_promote))*(1-W_s)</f>
        <v/>
      </c>
      <c r="AK20" s="39">
        <f>(-AK10+AK15+AK16+AK17*(1-W_promote))*(1-W_s)</f>
        <v/>
      </c>
      <c r="AL20" s="39">
        <f>(-AL10+AL15+AL16+AL17*(1-W_promote))*(1-W_s)</f>
        <v/>
      </c>
      <c r="AM20" s="39">
        <f>(-AM10+AM15+AM16+AM17*(1-W_promote))*(1-W_s)</f>
        <v/>
      </c>
      <c r="AN20" s="39">
        <f>(-AN10+AN15+AN16+AN17*(1-W_promote))*(1-W_s)</f>
        <v/>
      </c>
      <c r="AO20" s="39">
        <f>(-AO10+AO15+AO16+AO17*(1-W_promote))*(1-W_s)</f>
        <v/>
      </c>
      <c r="AP20" s="39">
        <f>(-AP10+AP15+AP16+AP17*(1-W_promote))*(1-W_s)</f>
        <v/>
      </c>
      <c r="AQ20" s="39">
        <f>(-AQ10+AQ15+AQ16+AQ17*(1-W_promote))*(1-W_s)</f>
        <v/>
      </c>
      <c r="AR20" s="39">
        <f>(-AR10+AR15+AR16+AR17*(1-W_promote))*(1-W_s)</f>
        <v/>
      </c>
      <c r="AS20" s="39">
        <f>(-AS10+AS15+AS16+AS17*(1-W_promote))*(1-W_s)</f>
        <v/>
      </c>
      <c r="AT20" s="39">
        <f>(-AT10+AT15+AT16+AT17*(1-W_promote))*(1-W_s)</f>
        <v/>
      </c>
      <c r="AU20" s="39">
        <f>(-AU10+AU15+AU16+AU17*(1-W_promote))*(1-W_s)</f>
        <v/>
      </c>
      <c r="AV20" s="39">
        <f>(-AV10+AV15+AV16+AV17*(1-W_promote))*(1-W_s)</f>
        <v/>
      </c>
      <c r="AW20" s="39">
        <f>(-AW10+AW15+AW16+AW17*(1-W_promote))*(1-W_s)</f>
        <v/>
      </c>
      <c r="AX20" s="39">
        <f>(-AX10+AX15+AX16+AX17*(1-W_promote))*(1-W_s)</f>
        <v/>
      </c>
      <c r="AY20" s="39">
        <f>(-AY10+AY15+AY16+AY17*(1-W_promote))*(1-W_s)</f>
        <v/>
      </c>
      <c r="AZ20" s="39">
        <f>(-AZ10+AZ15+AZ16+AZ17*(1-W_promote))*(1-W_s)</f>
        <v/>
      </c>
      <c r="BA20" s="39">
        <f>(-BA10+BA15+BA16+BA17*(1-W_promote))*(1-W_s)</f>
        <v/>
      </c>
      <c r="BB20" s="39">
        <f>(-BB10+BB15+BB16+BB17*(1-W_promote))*(1-W_s)</f>
        <v/>
      </c>
      <c r="BC20" s="39">
        <f>(-BC10+BC15+BC16+BC17*(1-W_promote))*(1-W_s)</f>
        <v/>
      </c>
      <c r="BD20" s="39">
        <f>(-BD10+BD15+BD16+BD17*(1-W_promote))*(1-W_s)</f>
        <v/>
      </c>
      <c r="BE20" s="39">
        <f>(-BE10+BE15+BE16+BE17*(1-W_promote))*(1-W_s)</f>
        <v/>
      </c>
      <c r="BF20" s="39">
        <f>(-BF10+BF15+BF16+BF17*(1-W_promote))*(1-W_s)</f>
        <v/>
      </c>
      <c r="BG20" s="39">
        <f>(-BG10+BG15+BG16+BG17*(1-W_promote))*(1-W_s)</f>
        <v/>
      </c>
      <c r="BH20" s="39">
        <f>(-BH10+BH15+BH16+BH17*(1-W_promote))*(1-W_s)</f>
        <v/>
      </c>
      <c r="BI20" s="39">
        <f>(-BI10+BI15+BI16+BI17*(1-W_promote))*(1-W_s)</f>
        <v/>
      </c>
      <c r="BJ20" s="39">
        <f>(-BJ10+BJ15+BJ16+BJ17*(1-W_promote))*(1-W_s)</f>
        <v/>
      </c>
      <c r="BK20" s="39">
        <f>(-BK10+BK15+BK16+BK17*(1-W_promote))*(1-W_s)</f>
        <v/>
      </c>
      <c r="BL20" s="39">
        <f>(-BL10+BL15+BL16+BL17*(1-W_promote))*(1-W_s)</f>
        <v/>
      </c>
      <c r="BM20" s="39">
        <f>(-BM10+BM15+BM16+BM17*(1-W_promote))*(1-W_s)</f>
        <v/>
      </c>
      <c r="BN20" s="39">
        <f>(-BN10+BN15+BN16+BN17*(1-W_promote))*(1-W_s)</f>
        <v/>
      </c>
      <c r="BO20" s="39">
        <f>(-BO10+BO15+BO16+BO17*(1-W_promote))*(1-W_s)</f>
        <v/>
      </c>
      <c r="BP20" s="39">
        <f>(-BP10+BP15+BP16+BP17*(1-W_promote))*(1-W_s)</f>
        <v/>
      </c>
      <c r="BQ20" s="39">
        <f>(-BQ10+BQ15+BQ16+BQ17*(1-W_promote))*(1-W_s)</f>
        <v/>
      </c>
      <c r="BR20" s="39">
        <f>(-BR10+BR15+BR16+BR17*(1-W_promote))*(1-W_s)</f>
        <v/>
      </c>
      <c r="BS20" s="39">
        <f>(-BS10+BS15+BS16+BS17*(1-W_promote))*(1-W_s)</f>
        <v/>
      </c>
      <c r="BT20" s="39">
        <f>(-BT10+BT15+BT16+BT17*(1-W_promote))*(1-W_s)</f>
        <v/>
      </c>
      <c r="BU20" s="39">
        <f>(-BU10+BU15+BU16+BU17*(1-W_promote))*(1-W_s)</f>
        <v/>
      </c>
      <c r="BV20" s="39">
        <f>(-BV10+BV15+BV16+BV17*(1-W_promote))*(1-W_s)</f>
        <v/>
      </c>
      <c r="BW20" s="39">
        <f>(-BW10+BW15+BW16+BW17*(1-W_promote))*(1-W_s)</f>
        <v/>
      </c>
      <c r="BX20" s="39">
        <f>(-BX10+BX15+BX16+BX17*(1-W_promote))*(1-W_s)</f>
        <v/>
      </c>
      <c r="BY20" s="39">
        <f>(-BY10+BY15+BY16+BY17*(1-W_promote))*(1-W_s)</f>
        <v/>
      </c>
      <c r="BZ20" s="39">
        <f>(-BZ10+BZ15+BZ16+BZ17*(1-W_promote))*(1-W_s)</f>
        <v/>
      </c>
      <c r="CA20" s="39">
        <f>(-CA10+CA15+CA16+CA17*(1-W_promote))*(1-W_s)</f>
        <v/>
      </c>
      <c r="CB20" s="39">
        <f>(-CB10+CB15+CB16+CB17*(1-W_promote))*(1-W_s)</f>
        <v/>
      </c>
      <c r="CC20" s="39">
        <f>(-CC10+CC15+CC16+CC17*(1-W_promote))*(1-W_s)</f>
        <v/>
      </c>
      <c r="CD20" s="39">
        <f>(-CD10+CD15+CD16+CD17*(1-W_promote))*(1-W_s)</f>
        <v/>
      </c>
      <c r="CE20" s="39">
        <f>(-CE10+CE15+CE16+CE17*(1-W_promote))*(1-W_s)</f>
        <v/>
      </c>
      <c r="CF20" s="39">
        <f>(-CF10+CF15+CF16+CF17*(1-W_promote))*(1-W_s)</f>
        <v/>
      </c>
      <c r="CG20" s="39">
        <f>(-CG10+CG15+CG16+CG17*(1-W_promote))*(1-W_s)</f>
        <v/>
      </c>
      <c r="CH20" s="39">
        <f>(-CH10+CH15+CH16+CH17*(1-W_promote))*(1-W_s)</f>
        <v/>
      </c>
      <c r="CI20" s="39">
        <f>(-CI10+CI15+CI16+CI17*(1-W_promote))*(1-W_s)</f>
        <v/>
      </c>
      <c r="CJ20" s="39">
        <f>(-CJ10+CJ15+CJ16+CJ17*(1-W_promote))*(1-W_s)</f>
        <v/>
      </c>
      <c r="CK20" s="39">
        <f>(-CK10+CK15+CK16+CK17*(1-W_promote))*(1-W_s)</f>
        <v/>
      </c>
      <c r="CL20" s="39">
        <f>(-CL10+CL15+CL16+CL17*(1-W_promote))*(1-W_s)</f>
        <v/>
      </c>
      <c r="CM20" s="39">
        <f>(-CM10+CM15+CM16+CM17*(1-W_promote))*(1-W_s)</f>
        <v/>
      </c>
      <c r="CN20" s="39">
        <f>(-CN10+CN15+CN16+CN17*(1-W_promote))*(1-W_s)</f>
        <v/>
      </c>
      <c r="CO20" s="39">
        <f>(-CO10+CO15+CO16+CO17*(1-W_promote))*(1-W_s)</f>
        <v/>
      </c>
      <c r="CP20" s="39">
        <f>(-CP10+CP15+CP16+CP17*(1-W_promote))*(1-W_s)</f>
        <v/>
      </c>
      <c r="CQ20" s="39">
        <f>(-CQ10+CQ15+CQ16+CQ17*(1-W_promote))*(1-W_s)</f>
        <v/>
      </c>
      <c r="CR20" s="39">
        <f>(-CR10+CR15+CR16+CR17*(1-W_promote))*(1-W_s)</f>
        <v/>
      </c>
      <c r="CS20" s="39">
        <f>(-CS10+CS15+CS16+CS17*(1-W_promote))*(1-W_s)</f>
        <v/>
      </c>
      <c r="CT20" s="39">
        <f>(-CT10+CT15+CT16+CT17*(1-W_promote))*(1-W_s)</f>
        <v/>
      </c>
      <c r="CU20" s="39">
        <f>(-CU10+CU15+CU16+CU17*(1-W_promote))*(1-W_s)</f>
        <v/>
      </c>
    </row>
    <row r="21">
      <c r="A21" s="38" t="inlineStr">
        <is>
          <t>Sponsor cash flow</t>
        </is>
      </c>
      <c r="B21" s="39">
        <f>SUM(D21:CU21)</f>
        <v/>
      </c>
      <c r="C21" s="40" t="inlineStr"/>
      <c r="D21" s="39">
        <f>(-D10+D15+D16+D17*(1-W_promote))*W_s+D17*W_promote</f>
        <v/>
      </c>
      <c r="E21" s="39">
        <f>(-E10+E15+E16+E17*(1-W_promote))*W_s+E17*W_promote</f>
        <v/>
      </c>
      <c r="F21" s="39">
        <f>(-F10+F15+F16+F17*(1-W_promote))*W_s+F17*W_promote</f>
        <v/>
      </c>
      <c r="G21" s="39">
        <f>(-G10+G15+G16+G17*(1-W_promote))*W_s+G17*W_promote</f>
        <v/>
      </c>
      <c r="H21" s="39">
        <f>(-H10+H15+H16+H17*(1-W_promote))*W_s+H17*W_promote</f>
        <v/>
      </c>
      <c r="I21" s="39">
        <f>(-I10+I15+I16+I17*(1-W_promote))*W_s+I17*W_promote</f>
        <v/>
      </c>
      <c r="J21" s="39">
        <f>(-J10+J15+J16+J17*(1-W_promote))*W_s+J17*W_promote</f>
        <v/>
      </c>
      <c r="K21" s="39">
        <f>(-K10+K15+K16+K17*(1-W_promote))*W_s+K17*W_promote</f>
        <v/>
      </c>
      <c r="L21" s="39">
        <f>(-L10+L15+L16+L17*(1-W_promote))*W_s+L17*W_promote</f>
        <v/>
      </c>
      <c r="M21" s="39">
        <f>(-M10+M15+M16+M17*(1-W_promote))*W_s+M17*W_promote</f>
        <v/>
      </c>
      <c r="N21" s="39">
        <f>(-N10+N15+N16+N17*(1-W_promote))*W_s+N17*W_promote</f>
        <v/>
      </c>
      <c r="O21" s="39">
        <f>(-O10+O15+O16+O17*(1-W_promote))*W_s+O17*W_promote</f>
        <v/>
      </c>
      <c r="P21" s="39">
        <f>(-P10+P15+P16+P17*(1-W_promote))*W_s+P17*W_promote</f>
        <v/>
      </c>
      <c r="Q21" s="39">
        <f>(-Q10+Q15+Q16+Q17*(1-W_promote))*W_s+Q17*W_promote</f>
        <v/>
      </c>
      <c r="R21" s="39">
        <f>(-R10+R15+R16+R17*(1-W_promote))*W_s+R17*W_promote</f>
        <v/>
      </c>
      <c r="S21" s="39">
        <f>(-S10+S15+S16+S17*(1-W_promote))*W_s+S17*W_promote</f>
        <v/>
      </c>
      <c r="T21" s="39">
        <f>(-T10+T15+T16+T17*(1-W_promote))*W_s+T17*W_promote</f>
        <v/>
      </c>
      <c r="U21" s="39">
        <f>(-U10+U15+U16+U17*(1-W_promote))*W_s+U17*W_promote</f>
        <v/>
      </c>
      <c r="V21" s="39">
        <f>(-V10+V15+V16+V17*(1-W_promote))*W_s+V17*W_promote</f>
        <v/>
      </c>
      <c r="W21" s="39">
        <f>(-W10+W15+W16+W17*(1-W_promote))*W_s+W17*W_promote</f>
        <v/>
      </c>
      <c r="X21" s="39">
        <f>(-X10+X15+X16+X17*(1-W_promote))*W_s+X17*W_promote</f>
        <v/>
      </c>
      <c r="Y21" s="39">
        <f>(-Y10+Y15+Y16+Y17*(1-W_promote))*W_s+Y17*W_promote</f>
        <v/>
      </c>
      <c r="Z21" s="39">
        <f>(-Z10+Z15+Z16+Z17*(1-W_promote))*W_s+Z17*W_promote</f>
        <v/>
      </c>
      <c r="AA21" s="39">
        <f>(-AA10+AA15+AA16+AA17*(1-W_promote))*W_s+AA17*W_promote</f>
        <v/>
      </c>
      <c r="AB21" s="39">
        <f>(-AB10+AB15+AB16+AB17*(1-W_promote))*W_s+AB17*W_promote</f>
        <v/>
      </c>
      <c r="AC21" s="39">
        <f>(-AC10+AC15+AC16+AC17*(1-W_promote))*W_s+AC17*W_promote</f>
        <v/>
      </c>
      <c r="AD21" s="39">
        <f>(-AD10+AD15+AD16+AD17*(1-W_promote))*W_s+AD17*W_promote</f>
        <v/>
      </c>
      <c r="AE21" s="39">
        <f>(-AE10+AE15+AE16+AE17*(1-W_promote))*W_s+AE17*W_promote</f>
        <v/>
      </c>
      <c r="AF21" s="39">
        <f>(-AF10+AF15+AF16+AF17*(1-W_promote))*W_s+AF17*W_promote</f>
        <v/>
      </c>
      <c r="AG21" s="39">
        <f>(-AG10+AG15+AG16+AG17*(1-W_promote))*W_s+AG17*W_promote</f>
        <v/>
      </c>
      <c r="AH21" s="39">
        <f>(-AH10+AH15+AH16+AH17*(1-W_promote))*W_s+AH17*W_promote</f>
        <v/>
      </c>
      <c r="AI21" s="39">
        <f>(-AI10+AI15+AI16+AI17*(1-W_promote))*W_s+AI17*W_promote</f>
        <v/>
      </c>
      <c r="AJ21" s="39">
        <f>(-AJ10+AJ15+AJ16+AJ17*(1-W_promote))*W_s+AJ17*W_promote</f>
        <v/>
      </c>
      <c r="AK21" s="39">
        <f>(-AK10+AK15+AK16+AK17*(1-W_promote))*W_s+AK17*W_promote</f>
        <v/>
      </c>
      <c r="AL21" s="39">
        <f>(-AL10+AL15+AL16+AL17*(1-W_promote))*W_s+AL17*W_promote</f>
        <v/>
      </c>
      <c r="AM21" s="39">
        <f>(-AM10+AM15+AM16+AM17*(1-W_promote))*W_s+AM17*W_promote</f>
        <v/>
      </c>
      <c r="AN21" s="39">
        <f>(-AN10+AN15+AN16+AN17*(1-W_promote))*W_s+AN17*W_promote</f>
        <v/>
      </c>
      <c r="AO21" s="39">
        <f>(-AO10+AO15+AO16+AO17*(1-W_promote))*W_s+AO17*W_promote</f>
        <v/>
      </c>
      <c r="AP21" s="39">
        <f>(-AP10+AP15+AP16+AP17*(1-W_promote))*W_s+AP17*W_promote</f>
        <v/>
      </c>
      <c r="AQ21" s="39">
        <f>(-AQ10+AQ15+AQ16+AQ17*(1-W_promote))*W_s+AQ17*W_promote</f>
        <v/>
      </c>
      <c r="AR21" s="39">
        <f>(-AR10+AR15+AR16+AR17*(1-W_promote))*W_s+AR17*W_promote</f>
        <v/>
      </c>
      <c r="AS21" s="39">
        <f>(-AS10+AS15+AS16+AS17*(1-W_promote))*W_s+AS17*W_promote</f>
        <v/>
      </c>
      <c r="AT21" s="39">
        <f>(-AT10+AT15+AT16+AT17*(1-W_promote))*W_s+AT17*W_promote</f>
        <v/>
      </c>
      <c r="AU21" s="39">
        <f>(-AU10+AU15+AU16+AU17*(1-W_promote))*W_s+AU17*W_promote</f>
        <v/>
      </c>
      <c r="AV21" s="39">
        <f>(-AV10+AV15+AV16+AV17*(1-W_promote))*W_s+AV17*W_promote</f>
        <v/>
      </c>
      <c r="AW21" s="39">
        <f>(-AW10+AW15+AW16+AW17*(1-W_promote))*W_s+AW17*W_promote</f>
        <v/>
      </c>
      <c r="AX21" s="39">
        <f>(-AX10+AX15+AX16+AX17*(1-W_promote))*W_s+AX17*W_promote</f>
        <v/>
      </c>
      <c r="AY21" s="39">
        <f>(-AY10+AY15+AY16+AY17*(1-W_promote))*W_s+AY17*W_promote</f>
        <v/>
      </c>
      <c r="AZ21" s="39">
        <f>(-AZ10+AZ15+AZ16+AZ17*(1-W_promote))*W_s+AZ17*W_promote</f>
        <v/>
      </c>
      <c r="BA21" s="39">
        <f>(-BA10+BA15+BA16+BA17*(1-W_promote))*W_s+BA17*W_promote</f>
        <v/>
      </c>
      <c r="BB21" s="39">
        <f>(-BB10+BB15+BB16+BB17*(1-W_promote))*W_s+BB17*W_promote</f>
        <v/>
      </c>
      <c r="BC21" s="39">
        <f>(-BC10+BC15+BC16+BC17*(1-W_promote))*W_s+BC17*W_promote</f>
        <v/>
      </c>
      <c r="BD21" s="39">
        <f>(-BD10+BD15+BD16+BD17*(1-W_promote))*W_s+BD17*W_promote</f>
        <v/>
      </c>
      <c r="BE21" s="39">
        <f>(-BE10+BE15+BE16+BE17*(1-W_promote))*W_s+BE17*W_promote</f>
        <v/>
      </c>
      <c r="BF21" s="39">
        <f>(-BF10+BF15+BF16+BF17*(1-W_promote))*W_s+BF17*W_promote</f>
        <v/>
      </c>
      <c r="BG21" s="39">
        <f>(-BG10+BG15+BG16+BG17*(1-W_promote))*W_s+BG17*W_promote</f>
        <v/>
      </c>
      <c r="BH21" s="39">
        <f>(-BH10+BH15+BH16+BH17*(1-W_promote))*W_s+BH17*W_promote</f>
        <v/>
      </c>
      <c r="BI21" s="39">
        <f>(-BI10+BI15+BI16+BI17*(1-W_promote))*W_s+BI17*W_promote</f>
        <v/>
      </c>
      <c r="BJ21" s="39">
        <f>(-BJ10+BJ15+BJ16+BJ17*(1-W_promote))*W_s+BJ17*W_promote</f>
        <v/>
      </c>
      <c r="BK21" s="39">
        <f>(-BK10+BK15+BK16+BK17*(1-W_promote))*W_s+BK17*W_promote</f>
        <v/>
      </c>
      <c r="BL21" s="39">
        <f>(-BL10+BL15+BL16+BL17*(1-W_promote))*W_s+BL17*W_promote</f>
        <v/>
      </c>
      <c r="BM21" s="39">
        <f>(-BM10+BM15+BM16+BM17*(1-W_promote))*W_s+BM17*W_promote</f>
        <v/>
      </c>
      <c r="BN21" s="39">
        <f>(-BN10+BN15+BN16+BN17*(1-W_promote))*W_s+BN17*W_promote</f>
        <v/>
      </c>
      <c r="BO21" s="39">
        <f>(-BO10+BO15+BO16+BO17*(1-W_promote))*W_s+BO17*W_promote</f>
        <v/>
      </c>
      <c r="BP21" s="39">
        <f>(-BP10+BP15+BP16+BP17*(1-W_promote))*W_s+BP17*W_promote</f>
        <v/>
      </c>
      <c r="BQ21" s="39">
        <f>(-BQ10+BQ15+BQ16+BQ17*(1-W_promote))*W_s+BQ17*W_promote</f>
        <v/>
      </c>
      <c r="BR21" s="39">
        <f>(-BR10+BR15+BR16+BR17*(1-W_promote))*W_s+BR17*W_promote</f>
        <v/>
      </c>
      <c r="BS21" s="39">
        <f>(-BS10+BS15+BS16+BS17*(1-W_promote))*W_s+BS17*W_promote</f>
        <v/>
      </c>
      <c r="BT21" s="39">
        <f>(-BT10+BT15+BT16+BT17*(1-W_promote))*W_s+BT17*W_promote</f>
        <v/>
      </c>
      <c r="BU21" s="39">
        <f>(-BU10+BU15+BU16+BU17*(1-W_promote))*W_s+BU17*W_promote</f>
        <v/>
      </c>
      <c r="BV21" s="39">
        <f>(-BV10+BV15+BV16+BV17*(1-W_promote))*W_s+BV17*W_promote</f>
        <v/>
      </c>
      <c r="BW21" s="39">
        <f>(-BW10+BW15+BW16+BW17*(1-W_promote))*W_s+BW17*W_promote</f>
        <v/>
      </c>
      <c r="BX21" s="39">
        <f>(-BX10+BX15+BX16+BX17*(1-W_promote))*W_s+BX17*W_promote</f>
        <v/>
      </c>
      <c r="BY21" s="39">
        <f>(-BY10+BY15+BY16+BY17*(1-W_promote))*W_s+BY17*W_promote</f>
        <v/>
      </c>
      <c r="BZ21" s="39">
        <f>(-BZ10+BZ15+BZ16+BZ17*(1-W_promote))*W_s+BZ17*W_promote</f>
        <v/>
      </c>
      <c r="CA21" s="39">
        <f>(-CA10+CA15+CA16+CA17*(1-W_promote))*W_s+CA17*W_promote</f>
        <v/>
      </c>
      <c r="CB21" s="39">
        <f>(-CB10+CB15+CB16+CB17*(1-W_promote))*W_s+CB17*W_promote</f>
        <v/>
      </c>
      <c r="CC21" s="39">
        <f>(-CC10+CC15+CC16+CC17*(1-W_promote))*W_s+CC17*W_promote</f>
        <v/>
      </c>
      <c r="CD21" s="39">
        <f>(-CD10+CD15+CD16+CD17*(1-W_promote))*W_s+CD17*W_promote</f>
        <v/>
      </c>
      <c r="CE21" s="39">
        <f>(-CE10+CE15+CE16+CE17*(1-W_promote))*W_s+CE17*W_promote</f>
        <v/>
      </c>
      <c r="CF21" s="39">
        <f>(-CF10+CF15+CF16+CF17*(1-W_promote))*W_s+CF17*W_promote</f>
        <v/>
      </c>
      <c r="CG21" s="39">
        <f>(-CG10+CG15+CG16+CG17*(1-W_promote))*W_s+CG17*W_promote</f>
        <v/>
      </c>
      <c r="CH21" s="39">
        <f>(-CH10+CH15+CH16+CH17*(1-W_promote))*W_s+CH17*W_promote</f>
        <v/>
      </c>
      <c r="CI21" s="39">
        <f>(-CI10+CI15+CI16+CI17*(1-W_promote))*W_s+CI17*W_promote</f>
        <v/>
      </c>
      <c r="CJ21" s="39">
        <f>(-CJ10+CJ15+CJ16+CJ17*(1-W_promote))*W_s+CJ17*W_promote</f>
        <v/>
      </c>
      <c r="CK21" s="39">
        <f>(-CK10+CK15+CK16+CK17*(1-W_promote))*W_s+CK17*W_promote</f>
        <v/>
      </c>
      <c r="CL21" s="39">
        <f>(-CL10+CL15+CL16+CL17*(1-W_promote))*W_s+CL17*W_promote</f>
        <v/>
      </c>
      <c r="CM21" s="39">
        <f>(-CM10+CM15+CM16+CM17*(1-W_promote))*W_s+CM17*W_promote</f>
        <v/>
      </c>
      <c r="CN21" s="39">
        <f>(-CN10+CN15+CN16+CN17*(1-W_promote))*W_s+CN17*W_promote</f>
        <v/>
      </c>
      <c r="CO21" s="39">
        <f>(-CO10+CO15+CO16+CO17*(1-W_promote))*W_s+CO17*W_promote</f>
        <v/>
      </c>
      <c r="CP21" s="39">
        <f>(-CP10+CP15+CP16+CP17*(1-W_promote))*W_s+CP17*W_promote</f>
        <v/>
      </c>
      <c r="CQ21" s="39">
        <f>(-CQ10+CQ15+CQ16+CQ17*(1-W_promote))*W_s+CQ17*W_promote</f>
        <v/>
      </c>
      <c r="CR21" s="39">
        <f>(-CR10+CR15+CR16+CR17*(1-W_promote))*W_s+CR17*W_promote</f>
        <v/>
      </c>
      <c r="CS21" s="39">
        <f>(-CS10+CS15+CS16+CS17*(1-W_promote))*W_s+CS17*W_promote</f>
        <v/>
      </c>
      <c r="CT21" s="39">
        <f>(-CT10+CT15+CT16+CT17*(1-W_promote))*W_s+CT17*W_promote</f>
        <v/>
      </c>
      <c r="CU21" s="39">
        <f>(-CU10+CU15+CU16+CU17*(1-W_promote))*W_s+CU17*W_promote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7345E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>
      <c r="A1" s="10" t="inlineStr">
        <is>
          <t>Development budget</t>
        </is>
      </c>
      <c r="B1" s="1" t="n"/>
      <c r="C1" s="1" t="n"/>
      <c r="D1" s="1" t="n"/>
      <c r="E1" s="1" t="n"/>
      <c r="F1" s="1" t="n"/>
      <c r="G1" s="1" t="n"/>
    </row>
    <row r="2">
      <c r="A2" s="11" t="inlineStr">
        <is>
          <t>MXN. Every line links to the monthly schedules; per m² of total GBA and per unit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2" t="inlineStr">
        <is>
          <t>Line item</t>
        </is>
      </c>
      <c r="B4" s="12" t="inlineStr">
        <is>
          <t>Amount (MXN)</t>
        </is>
      </c>
      <c r="C4" s="12" t="inlineStr">
        <is>
          <t>Per m² GBA</t>
        </is>
      </c>
      <c r="D4" s="12" t="inlineStr">
        <is>
          <t>Per unit</t>
        </is>
      </c>
      <c r="E4" s="12" t="inlineStr">
        <is>
          <t>% of total</t>
        </is>
      </c>
      <c r="F4" s="12" t="inlineStr">
        <is>
          <t>Basis</t>
        </is>
      </c>
      <c r="G4" s="1" t="n"/>
    </row>
    <row r="5">
      <c r="A5" s="13" t="inlineStr">
        <is>
          <t>Acquisition</t>
        </is>
      </c>
      <c r="B5" s="14" t="n"/>
      <c r="C5" s="14" t="n"/>
      <c r="D5" s="14" t="n"/>
      <c r="E5" s="14" t="n"/>
      <c r="F5" s="14" t="n"/>
      <c r="G5" s="1" t="n"/>
    </row>
    <row r="6">
      <c r="A6" s="7" t="inlineStr">
        <is>
          <t>Land / property price</t>
        </is>
      </c>
      <c r="B6" s="34">
        <f>SUM(M_land)</f>
        <v/>
      </c>
      <c r="C6" s="34">
        <f>IF((D_GBA+D_Below)&gt;0,B6/(D_GBA+D_Below),0)</f>
        <v/>
      </c>
      <c r="D6" s="34">
        <f>IF(D_Units&gt;0,B6/D_Units,0)</f>
        <v/>
      </c>
      <c r="E6" s="44">
        <f>IF(TotalCost&lt;&gt;0,B6/TotalCost,0)</f>
        <v/>
      </c>
      <c r="F6" s="11" t="inlineStr">
        <is>
          <t>Land payment schedule</t>
        </is>
      </c>
      <c r="G6" s="1" t="n"/>
    </row>
    <row r="7">
      <c r="A7" s="7" t="inlineStr">
        <is>
          <t>Taxes, notary, brokerage &amp; due diligence</t>
        </is>
      </c>
      <c r="B7" s="34">
        <f>SUM(M_acq)</f>
        <v/>
      </c>
      <c r="C7" s="34">
        <f>IF((D_GBA+D_Below)&gt;0,B7/(D_GBA+D_Below),0)</f>
        <v/>
      </c>
      <c r="D7" s="34">
        <f>IF(D_Units&gt;0,B7/D_Units,0)</f>
        <v/>
      </c>
      <c r="E7" s="44">
        <f>IF(TotalCost&lt;&gt;0,B7/TotalCost,0)</f>
        <v/>
      </c>
      <c r="F7" s="11" t="inlineStr">
        <is>
          <t>% of land price + fixed</t>
        </is>
      </c>
      <c r="G7" s="1" t="n"/>
    </row>
    <row r="8">
      <c r="A8" s="13" t="inlineStr">
        <is>
          <t>Construction</t>
        </is>
      </c>
      <c r="B8" s="14" t="n"/>
      <c r="C8" s="14" t="n"/>
      <c r="D8" s="14" t="n"/>
      <c r="E8" s="14" t="n"/>
      <c r="F8" s="14" t="n"/>
      <c r="G8" s="1" t="n"/>
    </row>
    <row r="9">
      <c r="A9" s="7" t="inlineStr">
        <is>
          <t>Hard costs (escalated, incl. sustainability capex)</t>
        </is>
      </c>
      <c r="B9" s="34">
        <f>SUM(M_hard)</f>
        <v/>
      </c>
      <c r="C9" s="34">
        <f>IF((D_GBA+D_Below)&gt;0,B9/(D_GBA+D_Below),0)</f>
        <v/>
      </c>
      <c r="D9" s="34">
        <f>IF(D_Units&gt;0,B9/D_Units,0)</f>
        <v/>
      </c>
      <c r="E9" s="44">
        <f>IF(TotalCost&lt;&gt;0,B9/TotalCost,0)</f>
        <v/>
      </c>
      <c r="F9" s="11" t="inlineStr">
        <is>
          <t>per m² × GBA, S-curve, escalation</t>
        </is>
      </c>
      <c r="G9" s="1" t="n"/>
    </row>
    <row r="10">
      <c r="A10" s="7" t="inlineStr">
        <is>
          <t>Soft costs</t>
        </is>
      </c>
      <c r="B10" s="34">
        <f>SUM(M_soft)</f>
        <v/>
      </c>
      <c r="C10" s="34">
        <f>IF((D_GBA+D_Below)&gt;0,B10/(D_GBA+D_Below),0)</f>
        <v/>
      </c>
      <c r="D10" s="34">
        <f>IF(D_Units&gt;0,B10/D_Units,0)</f>
        <v/>
      </c>
      <c r="E10" s="44">
        <f>IF(TotalCost&lt;&gt;0,B10/TotalCost,0)</f>
        <v/>
      </c>
      <c r="F10" s="11" t="inlineStr">
        <is>
          <t>% of hard-cost base</t>
        </is>
      </c>
      <c r="G10" s="1" t="n"/>
    </row>
    <row r="11">
      <c r="A11" s="7" t="inlineStr">
        <is>
          <t>Contingency</t>
        </is>
      </c>
      <c r="B11" s="34">
        <f>SUM(M_cont)</f>
        <v/>
      </c>
      <c r="C11" s="34">
        <f>IF((D_GBA+D_Below)&gt;0,B11/(D_GBA+D_Below),0)</f>
        <v/>
      </c>
      <c r="D11" s="34">
        <f>IF(D_Units&gt;0,B11/D_Units,0)</f>
        <v/>
      </c>
      <c r="E11" s="44">
        <f>IF(TotalCost&lt;&gt;0,B11/TotalCost,0)</f>
        <v/>
      </c>
      <c r="F11" s="11" t="inlineStr">
        <is>
          <t>% of hard + soft</t>
        </is>
      </c>
      <c r="G11" s="1" t="n"/>
    </row>
    <row r="12">
      <c r="A12" s="7" t="inlineStr">
        <is>
          <t>Developer fee</t>
        </is>
      </c>
      <c r="B12" s="34">
        <f>SUM(M_fee)</f>
        <v/>
      </c>
      <c r="C12" s="34">
        <f>IF((D_GBA+D_Below)&gt;0,B12/(D_GBA+D_Below),0)</f>
        <v/>
      </c>
      <c r="D12" s="34">
        <f>IF(D_Units&gt;0,B12/D_Units,0)</f>
        <v/>
      </c>
      <c r="E12" s="44">
        <f>IF(TotalCost&lt;&gt;0,B12/TotalCost,0)</f>
        <v/>
      </c>
      <c r="F12" s="11" t="inlineStr">
        <is>
          <t>% of hard + soft</t>
        </is>
      </c>
      <c r="G12" s="1" t="n"/>
    </row>
    <row r="13">
      <c r="A13" s="7" t="inlineStr">
        <is>
          <t>User-defined variable costs</t>
        </is>
      </c>
      <c r="B13" s="34">
        <f>SUM(M_cv)</f>
        <v/>
      </c>
      <c r="C13" s="34">
        <f>IF((D_GBA+D_Below)&gt;0,B13/(D_GBA+D_Below),0)</f>
        <v/>
      </c>
      <c r="D13" s="34">
        <f>IF(D_Units&gt;0,B13/D_Units,0)</f>
        <v/>
      </c>
      <c r="E13" s="44">
        <f>IF(TotalCost&lt;&gt;0,B13/TotalCost,0)</f>
        <v/>
      </c>
      <c r="F13" s="11" t="inlineStr">
        <is>
          <t>Assumptions → user-defined variables</t>
        </is>
      </c>
      <c r="G13" s="1" t="n"/>
    </row>
    <row r="14">
      <c r="A14" s="7" t="inlineStr">
        <is>
          <t>Custom one-off costs</t>
        </is>
      </c>
      <c r="B14" s="34">
        <f>SUM(M_cflow)</f>
        <v/>
      </c>
      <c r="C14" s="34">
        <f>IF((D_GBA+D_Below)&gt;0,B14/(D_GBA+D_Below),0)</f>
        <v/>
      </c>
      <c r="D14" s="34">
        <f>IF(D_Units&gt;0,B14/D_Units,0)</f>
        <v/>
      </c>
      <c r="E14" s="44">
        <f>IF(TotalCost&lt;&gt;0,B14/TotalCost,0)</f>
        <v/>
      </c>
      <c r="F14" s="11" t="inlineStr">
        <is>
          <t>Assumptions → custom cash flows</t>
        </is>
      </c>
      <c r="G14" s="1" t="n"/>
    </row>
    <row r="15">
      <c r="A15" s="13" t="inlineStr">
        <is>
          <t>Sales &amp; marketing</t>
        </is>
      </c>
      <c r="B15" s="14" t="n"/>
      <c r="C15" s="14" t="n"/>
      <c r="D15" s="14" t="n"/>
      <c r="E15" s="14" t="n"/>
      <c r="F15" s="14" t="n"/>
      <c r="G15" s="1" t="n"/>
    </row>
    <row r="16">
      <c r="A16" s="7" t="inlineStr">
        <is>
          <t>Sales costs (commissions, marketing, % of collections)</t>
        </is>
      </c>
      <c r="B16" s="34">
        <f>IF(in_mode_sale=1,SUM(M_SalesCost),0)</f>
        <v/>
      </c>
      <c r="C16" s="34">
        <f>IF((D_GBA+D_Below)&gt;0,B16/(D_GBA+D_Below),0)</f>
        <v/>
      </c>
      <c r="D16" s="34">
        <f>IF(D_Units&gt;0,B16/D_Units,0)</f>
        <v/>
      </c>
      <c r="E16" s="44">
        <f>IF(TotalCost&lt;&gt;0,B16/TotalCost,0)</f>
        <v/>
      </c>
      <c r="F16" s="11" t="inlineStr">
        <is>
          <t>% of contract value / revenue</t>
        </is>
      </c>
      <c r="G16" s="1" t="n"/>
    </row>
    <row r="17">
      <c r="A17" s="13" t="inlineStr">
        <is>
          <t>Financing</t>
        </is>
      </c>
      <c r="B17" s="14" t="n"/>
      <c r="C17" s="14" t="n"/>
      <c r="D17" s="14" t="n"/>
      <c r="E17" s="14" t="n"/>
      <c r="F17" s="14" t="n"/>
      <c r="G17" s="1" t="n"/>
    </row>
    <row r="18">
      <c r="A18" s="7" t="inlineStr">
        <is>
          <t>Interest and loan fees</t>
        </is>
      </c>
      <c r="B18" s="34">
        <f>FinCost</f>
        <v/>
      </c>
      <c r="C18" s="34">
        <f>IF((D_GBA+D_Below)&gt;0,B18/(D_GBA+D_Below),0)</f>
        <v/>
      </c>
      <c r="D18" s="34">
        <f>IF(D_Units&gt;0,B18/D_Units,0)</f>
        <v/>
      </c>
      <c r="E18" s="44">
        <f>IF(TotalCost&lt;&gt;0,B18/TotalCost,0)</f>
        <v/>
      </c>
      <c r="F18" s="11" t="inlineStr">
        <is>
          <t>On actual monthly balances</t>
        </is>
      </c>
      <c r="G18" s="1" t="n"/>
    </row>
    <row r="19">
      <c r="A19" s="38" t="inlineStr">
        <is>
          <t>Total cost incl. financing</t>
        </is>
      </c>
      <c r="B19" s="39">
        <f>SUM(B5:B18)</f>
        <v/>
      </c>
      <c r="C19" s="47" t="n"/>
      <c r="D19" s="47" t="n"/>
      <c r="E19" s="47" t="n"/>
      <c r="F19" s="40" t="inlineStr">
        <is>
          <t>Check vs Cash Flow:</t>
        </is>
      </c>
      <c r="G19" s="48">
        <f>ROUND(B19-TotalCost,0)</f>
        <v/>
      </c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3" t="inlineStr">
        <is>
          <t>Hard-cost breakdown by category (today's prices, above ground)</t>
        </is>
      </c>
      <c r="B22" s="14" t="n"/>
      <c r="C22" s="14" t="n"/>
      <c r="D22" s="14" t="n"/>
      <c r="E22" s="14" t="n"/>
      <c r="F22" s="14" t="n"/>
      <c r="G22" s="1" t="n"/>
    </row>
    <row r="23">
      <c r="A23" s="7">
        <f>Assumptions!A123</f>
        <v/>
      </c>
      <c r="B23" s="23">
        <f>C_HardAbove*Assumptions!B123</f>
        <v/>
      </c>
      <c r="C23" s="1" t="n"/>
      <c r="D23" s="1" t="n"/>
      <c r="E23" s="1" t="n"/>
      <c r="F23" s="1" t="n"/>
      <c r="G23" s="1" t="n"/>
    </row>
    <row r="24">
      <c r="A24" s="7">
        <f>Assumptions!A124</f>
        <v/>
      </c>
      <c r="B24" s="23">
        <f>C_HardAbove*Assumptions!B124</f>
        <v/>
      </c>
      <c r="C24" s="1" t="n"/>
      <c r="D24" s="1" t="n"/>
      <c r="E24" s="1" t="n"/>
      <c r="F24" s="1" t="n"/>
      <c r="G24" s="1" t="n"/>
    </row>
    <row r="25">
      <c r="A25" s="7">
        <f>Assumptions!A125</f>
        <v/>
      </c>
      <c r="B25" s="23">
        <f>C_HardAbove*Assumptions!B125</f>
        <v/>
      </c>
      <c r="C25" s="1" t="n"/>
      <c r="D25" s="1" t="n"/>
      <c r="E25" s="1" t="n"/>
      <c r="F25" s="1" t="n"/>
      <c r="G25" s="1" t="n"/>
    </row>
    <row r="26">
      <c r="A26" s="7">
        <f>Assumptions!A126</f>
        <v/>
      </c>
      <c r="B26" s="23">
        <f>C_HardAbove*Assumptions!B126</f>
        <v/>
      </c>
      <c r="C26" s="1" t="n"/>
      <c r="D26" s="1" t="n"/>
      <c r="E26" s="1" t="n"/>
      <c r="F26" s="1" t="n"/>
      <c r="G26" s="1" t="n"/>
    </row>
    <row r="27">
      <c r="A27" s="7">
        <f>Assumptions!A127</f>
        <v/>
      </c>
      <c r="B27" s="23">
        <f>C_HardAbove*Assumptions!B127</f>
        <v/>
      </c>
      <c r="C27" s="1" t="n"/>
      <c r="D27" s="1" t="n"/>
      <c r="E27" s="1" t="n"/>
      <c r="F27" s="1" t="n"/>
      <c r="G27" s="1" t="n"/>
    </row>
    <row r="28">
      <c r="A28" s="7">
        <f>Assumptions!A128</f>
        <v/>
      </c>
      <c r="B28" s="23">
        <f>C_HardAbove*Assumptions!B128</f>
        <v/>
      </c>
      <c r="C28" s="1" t="n"/>
      <c r="D28" s="1" t="n"/>
      <c r="E28" s="1" t="n"/>
      <c r="F28" s="1" t="n"/>
      <c r="G28" s="1" t="n"/>
    </row>
    <row r="29">
      <c r="A29" s="7">
        <f>Assumptions!A129</f>
        <v/>
      </c>
      <c r="B29" s="23">
        <f>C_HardAbove*Assumptions!B129</f>
        <v/>
      </c>
      <c r="C29" s="1" t="n"/>
      <c r="D29" s="1" t="n"/>
      <c r="E29" s="1" t="n"/>
      <c r="F29" s="1" t="n"/>
      <c r="G29" s="1" t="n"/>
    </row>
    <row r="30">
      <c r="A30" s="7">
        <f>Assumptions!A130</f>
        <v/>
      </c>
      <c r="B30" s="23">
        <f>C_HardAbove*Assumptions!B130</f>
        <v/>
      </c>
      <c r="C30" s="1" t="n"/>
      <c r="D30" s="1" t="n"/>
      <c r="E30" s="1" t="n"/>
      <c r="F30" s="1" t="n"/>
      <c r="G30" s="1" t="n"/>
    </row>
    <row r="31">
      <c r="A31" s="7">
        <f>Assumptions!A131</f>
        <v/>
      </c>
      <c r="B31" s="23">
        <f>C_HardAbove*Assumptions!B131</f>
        <v/>
      </c>
      <c r="C31" s="1" t="n"/>
      <c r="D31" s="1" t="n"/>
      <c r="E31" s="1" t="n"/>
      <c r="F31" s="1" t="n"/>
      <c r="G31" s="1" t="n"/>
    </row>
    <row r="32">
      <c r="A32" s="7">
        <f>Assumptions!A132</f>
        <v/>
      </c>
      <c r="B32" s="23">
        <f>C_HardAbove*Assumptions!B132</f>
        <v/>
      </c>
      <c r="C32" s="1" t="n"/>
      <c r="D32" s="1" t="n"/>
      <c r="E32" s="1" t="n"/>
      <c r="F32" s="1" t="n"/>
      <c r="G32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250D6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0" t="inlineStr">
        <is>
          <t>Sensitivity &amp; scenarios (TerraMind engine snapshot)</t>
        </is>
      </c>
      <c r="B1" s="1" t="n"/>
      <c r="C1" s="1" t="n"/>
      <c r="D1" s="1" t="n"/>
      <c r="E1" s="1" t="n"/>
      <c r="F1" s="1" t="n"/>
    </row>
    <row r="2">
      <c r="A2" s="11" t="inlineStr">
        <is>
          <t>Values computed by TerraMind's engine at export. Re-export after major changes.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2" t="inlineStr">
        <is>
          <t>Scenario</t>
        </is>
      </c>
      <c r="B4" s="12" t="inlineStr">
        <is>
          <t>Equity IRR</t>
        </is>
      </c>
      <c r="C4" s="12" t="inlineStr">
        <is>
          <t>Profit</t>
        </is>
      </c>
      <c r="D4" s="12" t="inlineStr">
        <is>
          <t>Net margin</t>
        </is>
      </c>
      <c r="E4" s="12" t="inlineStr">
        <is>
          <t>MOIC</t>
        </is>
      </c>
      <c r="F4" s="12" t="inlineStr">
        <is>
          <t>Peak equity</t>
        </is>
      </c>
    </row>
    <row r="5">
      <c r="A5" s="1" t="inlineStr">
        <is>
          <t>Base</t>
        </is>
      </c>
      <c r="B5" s="17" t="n">
        <v>0.2491376521768638</v>
      </c>
      <c r="C5" s="23" t="n">
        <v>281239096.7011305</v>
      </c>
      <c r="D5" s="17" t="n">
        <v>0.2713402380168969</v>
      </c>
      <c r="E5" s="20" t="n">
        <v>1.677059326146157</v>
      </c>
      <c r="F5" s="23" t="n">
        <v>415383240.1983919</v>
      </c>
    </row>
    <row r="6">
      <c r="A6" s="1" t="inlineStr">
        <is>
          <t>Upside</t>
        </is>
      </c>
      <c r="B6" s="17" t="n">
        <v>0.3176555840037361</v>
      </c>
      <c r="C6" s="23" t="n">
        <v>365253023.2044953</v>
      </c>
      <c r="D6" s="17" t="n">
        <v>0.3313985986690433</v>
      </c>
      <c r="E6" s="20" t="n">
        <v>1.901198987578798</v>
      </c>
      <c r="F6" s="23" t="n">
        <v>405296752.7025309</v>
      </c>
    </row>
    <row r="7">
      <c r="A7" s="1" t="inlineStr">
        <is>
          <t>Downside</t>
        </is>
      </c>
      <c r="B7" s="17" t="n">
        <v>0.1149244493394592</v>
      </c>
      <c r="C7" s="23" t="n">
        <v>154440803.1189579</v>
      </c>
      <c r="D7" s="17" t="n">
        <v>0.1617285374715666</v>
      </c>
      <c r="E7" s="20" t="n">
        <v>1.350783605457656</v>
      </c>
      <c r="F7" s="23" t="n">
        <v>440273720.6531189</v>
      </c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4" t="inlineStr">
        <is>
          <t>Equity IRR sensitivity (tornado)</t>
        </is>
      </c>
      <c r="B10" s="1" t="n"/>
      <c r="C10" s="1" t="n"/>
      <c r="D10" s="1" t="n"/>
      <c r="E10" s="1" t="n"/>
      <c r="F10" s="1" t="n"/>
    </row>
    <row r="11">
      <c r="A11" s="12" t="inlineStr">
        <is>
          <t>Driver</t>
        </is>
      </c>
      <c r="B11" s="12" t="inlineStr">
        <is>
          <t>Low</t>
        </is>
      </c>
      <c r="C11" s="12" t="inlineStr">
        <is>
          <t>High</t>
        </is>
      </c>
      <c r="D11" s="1" t="n"/>
      <c r="E11" s="1" t="n"/>
      <c r="F11" s="1" t="n"/>
    </row>
    <row r="12">
      <c r="A12" s="1" t="inlineStr">
        <is>
          <t>Sale price ±10%</t>
        </is>
      </c>
      <c r="B12" s="17" t="n">
        <v>0.1691463489871377</v>
      </c>
      <c r="C12" s="17" t="n">
        <v>0.3224386201505127</v>
      </c>
      <c r="D12" s="1" t="n"/>
      <c r="E12" s="1" t="n"/>
      <c r="F12" s="1" t="n"/>
    </row>
    <row r="13">
      <c r="A13" s="1" t="inlineStr">
        <is>
          <t>Construction ±6 months</t>
        </is>
      </c>
      <c r="B13" s="17" t="n">
        <v>0.3142738009088706</v>
      </c>
      <c r="C13" s="17" t="n">
        <v>0.2021403664520771</v>
      </c>
      <c r="D13" s="1" t="n"/>
      <c r="E13" s="1" t="n"/>
      <c r="F13" s="1" t="n"/>
    </row>
    <row r="14">
      <c r="A14" s="1" t="inlineStr">
        <is>
          <t>Land price ±10%</t>
        </is>
      </c>
      <c r="B14" s="17" t="n">
        <v>0.2892352466793926</v>
      </c>
      <c r="C14" s="17" t="n">
        <v>0.2130557593189115</v>
      </c>
      <c r="D14" s="1" t="n"/>
      <c r="E14" s="1" t="n"/>
      <c r="F14" s="1" t="n"/>
    </row>
    <row r="15">
      <c r="A15" s="1" t="inlineStr">
        <is>
          <t>Hard cost ±10%</t>
        </is>
      </c>
      <c r="B15" s="17" t="n">
        <v>0.2809227406560812</v>
      </c>
      <c r="C15" s="17" t="n">
        <v>0.217532411870925</v>
      </c>
      <c r="D15" s="1" t="n"/>
      <c r="E15" s="1" t="n"/>
      <c r="F15" s="1" t="n"/>
    </row>
    <row r="16">
      <c r="A16" s="1" t="inlineStr">
        <is>
          <t>Interest rate ±200 bp</t>
        </is>
      </c>
      <c r="B16" s="17" t="n">
        <v>0.2502128199391829</v>
      </c>
      <c r="C16" s="17" t="n">
        <v>0.2480708527519015</v>
      </c>
      <c r="D16" s="1" t="n"/>
      <c r="E16" s="1" t="n"/>
      <c r="F16" s="1" t="n"/>
    </row>
    <row r="17">
      <c r="A17" s="1" t="inlineStr">
        <is>
          <t>Absorption ±25%</t>
        </is>
      </c>
      <c r="B17" s="17" t="n">
        <v>0.2465111642462599</v>
      </c>
      <c r="C17" s="17" t="n">
        <v>0.2456749454245424</v>
      </c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4" t="inlineStr">
        <is>
          <t>Equity IRR: Hard cost above ground (rows) × Base sale price (columns), % change</t>
        </is>
      </c>
      <c r="B20" s="1" t="n"/>
      <c r="C20" s="1" t="n"/>
      <c r="D20" s="1" t="n"/>
      <c r="E20" s="1" t="n"/>
      <c r="F20" s="1" t="n"/>
    </row>
    <row r="21">
      <c r="A21" s="12" t="inlineStr">
        <is>
          <t>Cost Δ \ Price Δ</t>
        </is>
      </c>
      <c r="B21" s="49" t="n">
        <v>-0.15</v>
      </c>
      <c r="C21" s="49" t="n">
        <v>-0.075</v>
      </c>
      <c r="D21" s="49" t="n">
        <v>0</v>
      </c>
      <c r="E21" s="49" t="n">
        <v>0.075</v>
      </c>
      <c r="F21" s="49" t="n">
        <v>0.15</v>
      </c>
    </row>
    <row r="22">
      <c r="A22" s="15" t="n">
        <v>-0.15</v>
      </c>
      <c r="B22" s="17" t="n">
        <v>0.1769448085352052</v>
      </c>
      <c r="C22" s="17" t="n">
        <v>0.239084844259132</v>
      </c>
      <c r="D22" s="17" t="n">
        <v>0.2969013722182277</v>
      </c>
      <c r="E22" s="17" t="n">
        <v>0.3512283814663844</v>
      </c>
      <c r="F22" s="17" t="n">
        <v>0.4025854862735485</v>
      </c>
    </row>
    <row r="23">
      <c r="A23" s="15" t="n">
        <v>-0.075</v>
      </c>
      <c r="B23" s="17" t="n">
        <v>0.1514398238493038</v>
      </c>
      <c r="C23" s="17" t="n">
        <v>0.2144214405359728</v>
      </c>
      <c r="D23" s="17" t="n">
        <v>0.2729636346835163</v>
      </c>
      <c r="E23" s="17" t="n">
        <v>0.3278860040772702</v>
      </c>
      <c r="F23" s="17" t="n">
        <v>0.3797580097670155</v>
      </c>
    </row>
    <row r="24">
      <c r="A24" s="15" t="n">
        <v>0</v>
      </c>
      <c r="B24" s="17" t="n">
        <v>0.1260401615634614</v>
      </c>
      <c r="C24" s="17" t="n">
        <v>0.1898644710264881</v>
      </c>
      <c r="D24" s="17" t="n">
        <v>0.2491376521768638</v>
      </c>
      <c r="E24" s="17" t="n">
        <v>0.304664248829231</v>
      </c>
      <c r="F24" s="17" t="n">
        <v>0.3570466118039353</v>
      </c>
    </row>
    <row r="25">
      <c r="A25" s="15" t="n">
        <v>0.075</v>
      </c>
      <c r="B25" s="17" t="n">
        <v>0.1007431223910633</v>
      </c>
      <c r="C25" s="17" t="n">
        <v>0.1654236973625149</v>
      </c>
      <c r="D25" s="17" t="n">
        <v>0.2254142993500448</v>
      </c>
      <c r="E25" s="17" t="n">
        <v>0.2815444282396731</v>
      </c>
      <c r="F25" s="17" t="n">
        <v>0.3344575199234505</v>
      </c>
    </row>
    <row r="26">
      <c r="A26" s="15" t="n">
        <v>0.15</v>
      </c>
      <c r="B26" s="17" t="n">
        <v>0.07552368389709807</v>
      </c>
      <c r="C26" s="17" t="n">
        <v>0.1411065242982334</v>
      </c>
      <c r="D26" s="17" t="n">
        <v>0.2018077130062201</v>
      </c>
      <c r="E26" s="17" t="n">
        <v>0.2585301525699717</v>
      </c>
      <c r="F26" s="17" t="n">
        <v>0.3119771716100497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2026-10-24T14:53:36Z</dcterms:created>
  <dcterms:modified xmlns:dcterms="http://purl.org/dc/terms/" xmlns:xsi="http://www.w3.org/2001/XMLSchema-instance" xsi:type="dcterms:W3CDTF">2026-10-24T14:53:37Z</dcterms:modified>
</cp:coreProperties>
</file>